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timelines/timeline1.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4.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https://d.docs.live.net/1c8d42095c23a1ee/Desktop/Excel DSDA/"/>
    </mc:Choice>
  </mc:AlternateContent>
  <xr:revisionPtr revIDLastSave="32" documentId="13_ncr:1_{9A412CE3-E3AB-460A-ABBF-FD04704D487B}" xr6:coauthVersionLast="47" xr6:coauthVersionMax="47" xr10:uidLastSave="{B600F595-563F-4EEC-A40A-62477217B7BB}"/>
  <bookViews>
    <workbookView xWindow="-110" yWindow="-110" windowWidth="19420" windowHeight="10300" activeTab="5" xr2:uid="{00000000-000D-0000-FFFF-FFFF00000000}"/>
  </bookViews>
  <sheets>
    <sheet name="Sale(s-c)" sheetId="7" r:id="rId1"/>
    <sheet name="Sale-c" sheetId="8" r:id="rId2"/>
    <sheet name="Profit-c" sheetId="9" r:id="rId3"/>
    <sheet name="Month(P-S)" sheetId="10" r:id="rId4"/>
    <sheet name="Dashboard" sheetId="11" r:id="rId5"/>
    <sheet name="Sample - Superstore" sheetId="1" r:id="rId6"/>
  </sheets>
  <definedNames>
    <definedName name="NativeTimeline_Order_Date">#N/A</definedName>
    <definedName name="Slicer_Month">#N/A</definedName>
    <definedName name="Slicer_State">#N/A</definedName>
    <definedName name="Slicer_Sub_Category">#N/A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75" i="1" l="1"/>
  <c r="A76" i="1"/>
  <c r="A74" i="1"/>
  <c r="A73" i="1"/>
  <c r="A72" i="1"/>
  <c r="J72" i="1" s="1"/>
  <c r="A68" i="1"/>
  <c r="A65" i="1"/>
  <c r="A66" i="1"/>
  <c r="A67" i="1"/>
  <c r="A64" i="1"/>
  <c r="J64" i="1" s="1"/>
  <c r="A58" i="1"/>
  <c r="A59" i="1"/>
  <c r="A60" i="1"/>
  <c r="A61" i="1"/>
  <c r="A62" i="1"/>
  <c r="A63" i="1"/>
  <c r="A57" i="1"/>
  <c r="A52" i="1"/>
  <c r="A53" i="1"/>
  <c r="A54" i="1"/>
  <c r="A51" i="1"/>
  <c r="A50" i="1"/>
  <c r="A49" i="1"/>
  <c r="J49" i="1" s="1"/>
  <c r="A48" i="1"/>
  <c r="J48" i="1" s="1"/>
  <c r="A148" i="1"/>
  <c r="J148" i="1" s="1"/>
  <c r="A146" i="1"/>
  <c r="J146" i="1" s="1"/>
  <c r="A143" i="1"/>
  <c r="A144" i="1"/>
  <c r="A145" i="1"/>
  <c r="A142" i="1"/>
  <c r="A136" i="1"/>
  <c r="A137" i="1"/>
  <c r="A138" i="1"/>
  <c r="A139" i="1"/>
  <c r="A140" i="1"/>
  <c r="J140" i="1" s="1"/>
  <c r="A141" i="1"/>
  <c r="A135" i="1"/>
  <c r="J135" i="1" s="1"/>
  <c r="A127" i="1"/>
  <c r="J127" i="1" s="1"/>
  <c r="A126" i="1"/>
  <c r="J126" i="1" s="1"/>
  <c r="A116" i="1"/>
  <c r="A117" i="1"/>
  <c r="A118" i="1"/>
  <c r="A115" i="1"/>
  <c r="A112" i="1"/>
  <c r="A111" i="1"/>
  <c r="J111" i="1" s="1"/>
  <c r="A110" i="1"/>
  <c r="J110" i="1" s="1"/>
  <c r="A109" i="1"/>
  <c r="J109" i="1" s="1"/>
  <c r="A108" i="1"/>
  <c r="J108" i="1" s="1"/>
  <c r="A107" i="1"/>
  <c r="J107" i="1"/>
  <c r="A106" i="1"/>
  <c r="A105" i="1"/>
  <c r="A102" i="1"/>
  <c r="A103" i="1"/>
  <c r="J103" i="1" s="1"/>
  <c r="A101" i="1"/>
  <c r="J101" i="1" s="1"/>
  <c r="A99" i="1"/>
  <c r="J99" i="1" s="1"/>
  <c r="A95" i="1"/>
  <c r="A96" i="1"/>
  <c r="A94" i="1"/>
  <c r="A93" i="1"/>
  <c r="A92" i="1"/>
  <c r="A91" i="1"/>
  <c r="J91" i="1" s="1"/>
  <c r="A89" i="1"/>
  <c r="A88" i="1"/>
  <c r="J88" i="1" s="1"/>
  <c r="A87" i="1"/>
  <c r="J87" i="1" s="1"/>
  <c r="A86" i="1"/>
  <c r="J86" i="1" s="1"/>
  <c r="A80" i="1"/>
  <c r="A45" i="1"/>
  <c r="A44" i="1"/>
  <c r="A40" i="1"/>
  <c r="A41" i="1"/>
  <c r="A42" i="1"/>
  <c r="A39" i="1"/>
  <c r="J39" i="1"/>
  <c r="A36" i="1"/>
  <c r="A30" i="1"/>
  <c r="A31" i="1"/>
  <c r="A32" i="1"/>
  <c r="A33" i="1"/>
  <c r="A34" i="1"/>
  <c r="A35" i="1"/>
  <c r="A29" i="1"/>
  <c r="A28" i="1"/>
  <c r="A27" i="1"/>
  <c r="J27" i="1" s="1"/>
  <c r="A26" i="1"/>
  <c r="J26" i="1" s="1"/>
  <c r="A25" i="1"/>
  <c r="J25" i="1"/>
  <c r="A24" i="1"/>
  <c r="J24" i="1"/>
  <c r="J28" i="1"/>
  <c r="J32" i="1"/>
  <c r="J33" i="1"/>
  <c r="J34" i="1"/>
  <c r="J36" i="1"/>
  <c r="J37" i="1"/>
  <c r="J38" i="1"/>
  <c r="J44" i="1"/>
  <c r="J52" i="1"/>
  <c r="J53" i="1"/>
  <c r="J54" i="1"/>
  <c r="J65" i="1"/>
  <c r="J66" i="1"/>
  <c r="J68" i="1"/>
  <c r="J69" i="1"/>
  <c r="J70" i="1"/>
  <c r="J76" i="1"/>
  <c r="J80" i="1"/>
  <c r="J81" i="1"/>
  <c r="J82" i="1"/>
  <c r="J84" i="1"/>
  <c r="J85" i="1"/>
  <c r="J92" i="1"/>
  <c r="J100" i="1"/>
  <c r="J102" i="1"/>
  <c r="J112" i="1"/>
  <c r="J113" i="1"/>
  <c r="J114" i="1"/>
  <c r="J116" i="1"/>
  <c r="J117" i="1"/>
  <c r="J118" i="1"/>
  <c r="J124" i="1"/>
  <c r="J128" i="1"/>
  <c r="J129" i="1"/>
  <c r="J130" i="1"/>
  <c r="J132" i="1"/>
  <c r="J133" i="1"/>
  <c r="J134" i="1"/>
  <c r="J149" i="1"/>
  <c r="J150" i="1"/>
  <c r="A21" i="1"/>
  <c r="A22" i="1"/>
  <c r="A20" i="1"/>
  <c r="J20" i="1" s="1"/>
  <c r="A19" i="1"/>
  <c r="J19" i="1" s="1"/>
  <c r="A17" i="1"/>
  <c r="A16" i="1"/>
  <c r="A14" i="1"/>
  <c r="J14" i="1" s="1"/>
  <c r="J8" i="1"/>
  <c r="J9" i="1"/>
  <c r="J10" i="1"/>
  <c r="J11" i="1"/>
  <c r="J12" i="1"/>
  <c r="J13" i="1"/>
  <c r="J15" i="1"/>
  <c r="J16" i="1"/>
  <c r="J17" i="1"/>
  <c r="J18" i="1"/>
  <c r="J21" i="1"/>
  <c r="J22" i="1"/>
  <c r="J23" i="1"/>
  <c r="J29" i="1"/>
  <c r="J30" i="1"/>
  <c r="J31" i="1"/>
  <c r="J35" i="1"/>
  <c r="J40" i="1"/>
  <c r="J41" i="1"/>
  <c r="J42" i="1"/>
  <c r="J43" i="1"/>
  <c r="J45" i="1"/>
  <c r="J46" i="1"/>
  <c r="J47" i="1"/>
  <c r="J50" i="1"/>
  <c r="J51" i="1"/>
  <c r="J55" i="1"/>
  <c r="J56" i="1"/>
  <c r="J57" i="1"/>
  <c r="J58" i="1"/>
  <c r="J59" i="1"/>
  <c r="J60" i="1"/>
  <c r="J61" i="1"/>
  <c r="J62" i="1"/>
  <c r="J63" i="1"/>
  <c r="J67" i="1"/>
  <c r="J71" i="1"/>
  <c r="J73" i="1"/>
  <c r="J74" i="1"/>
  <c r="J75" i="1"/>
  <c r="J77" i="1"/>
  <c r="J78" i="1"/>
  <c r="J79" i="1"/>
  <c r="J83" i="1"/>
  <c r="J89" i="1"/>
  <c r="J90" i="1"/>
  <c r="J93" i="1"/>
  <c r="J94" i="1"/>
  <c r="J95" i="1"/>
  <c r="J96" i="1"/>
  <c r="J97" i="1"/>
  <c r="J98" i="1"/>
  <c r="J104" i="1"/>
  <c r="J105" i="1"/>
  <c r="J106" i="1"/>
  <c r="J115" i="1"/>
  <c r="J119" i="1"/>
  <c r="J120" i="1"/>
  <c r="J121" i="1"/>
  <c r="J122" i="1"/>
  <c r="J123" i="1"/>
  <c r="J125" i="1"/>
  <c r="J131" i="1"/>
  <c r="J136" i="1"/>
  <c r="J137" i="1"/>
  <c r="J138" i="1"/>
  <c r="J139" i="1"/>
  <c r="J141" i="1"/>
  <c r="J142" i="1"/>
  <c r="J143" i="1"/>
  <c r="J144" i="1"/>
  <c r="J145" i="1"/>
  <c r="J147" i="1"/>
  <c r="J3" i="1"/>
  <c r="J4" i="1"/>
  <c r="J5" i="1"/>
  <c r="J6" i="1"/>
  <c r="J7" i="1"/>
  <c r="J2" i="1"/>
</calcChain>
</file>

<file path=xl/sharedStrings.xml><?xml version="1.0" encoding="utf-8"?>
<sst xmlns="http://schemas.openxmlformats.org/spreadsheetml/2006/main" count="42740" uniqueCount="3874">
  <si>
    <t>Order Date</t>
  </si>
  <si>
    <t>Customer Name</t>
  </si>
  <si>
    <t>City</t>
  </si>
  <si>
    <t>State</t>
  </si>
  <si>
    <t>Sub-Category</t>
  </si>
  <si>
    <t>Product Name</t>
  </si>
  <si>
    <t>Sales</t>
  </si>
  <si>
    <t>Quantity</t>
  </si>
  <si>
    <t>Profit</t>
  </si>
  <si>
    <t>Claire Gute</t>
  </si>
  <si>
    <t>Henderson</t>
  </si>
  <si>
    <t>Kentucky</t>
  </si>
  <si>
    <t>Bookcases</t>
  </si>
  <si>
    <t>Bush Somerset Collection Bookcase</t>
  </si>
  <si>
    <t>Chairs</t>
  </si>
  <si>
    <t>Hon Deluxe Fabric Upholstered Stacking Chairs, Rounded Back</t>
  </si>
  <si>
    <t>Darrin Van Huff</t>
  </si>
  <si>
    <t>Los Angeles</t>
  </si>
  <si>
    <t>California</t>
  </si>
  <si>
    <t>Labels</t>
  </si>
  <si>
    <t>Self-Adhesive Address Labels for Typewriters by Universal</t>
  </si>
  <si>
    <t>Sean O'Donnell</t>
  </si>
  <si>
    <t>Fort Lauderdale</t>
  </si>
  <si>
    <t>Florida</t>
  </si>
  <si>
    <t>Tables</t>
  </si>
  <si>
    <t>Bretford CR4500 Series Slim Rectangular Table</t>
  </si>
  <si>
    <t>Storage</t>
  </si>
  <si>
    <t>Eldon Fold 'N Roll Cart System</t>
  </si>
  <si>
    <t>Brosina Hoffman</t>
  </si>
  <si>
    <t>Furnishings</t>
  </si>
  <si>
    <t>Eldon Expressions Wood and Plastic Desk Accessories, Cherry Wood</t>
  </si>
  <si>
    <t>Art</t>
  </si>
  <si>
    <t>Newell 322</t>
  </si>
  <si>
    <t>Phones</t>
  </si>
  <si>
    <t>Mitel 5320 IP Phone VoIP phone</t>
  </si>
  <si>
    <t>Binders</t>
  </si>
  <si>
    <t>DXL Angle-View Binders with Locking Rings by Samsill</t>
  </si>
  <si>
    <t>Appliances</t>
  </si>
  <si>
    <t>Belkin F5C206VTEL 6 Outlet Surge</t>
  </si>
  <si>
    <t>Chromcraft Rectangular Conference Tables</t>
  </si>
  <si>
    <t>Konftel 250 Conference phone - Charcoal black</t>
  </si>
  <si>
    <t>Andrew Allen</t>
  </si>
  <si>
    <t>Concord</t>
  </si>
  <si>
    <t>North Carolina</t>
  </si>
  <si>
    <t>Paper</t>
  </si>
  <si>
    <t>Xerox 1967</t>
  </si>
  <si>
    <t>Irene Maddox</t>
  </si>
  <si>
    <t>Seattle</t>
  </si>
  <si>
    <t>Washington</t>
  </si>
  <si>
    <t>Fellowes PB200 Plastic Comb Binding Machine</t>
  </si>
  <si>
    <t>Harold Pawlan</t>
  </si>
  <si>
    <t>Fort Worth</t>
  </si>
  <si>
    <t>Texas</t>
  </si>
  <si>
    <t>Holmes Replacement Filter for HEPA Air Cleaner, Very Large Room, HEPA Filter</t>
  </si>
  <si>
    <t>Storex DuraTech Recycled Plastic Frosted Binders</t>
  </si>
  <si>
    <t>Pete Kriz</t>
  </si>
  <si>
    <t>Madison</t>
  </si>
  <si>
    <t>Wisconsin</t>
  </si>
  <si>
    <t>Stur-D-Stor Shelving, Vertical 5-Shelf: 72"H x 36"W x 18 1/2"D</t>
  </si>
  <si>
    <t>Alejandro Grove</t>
  </si>
  <si>
    <t>West Jordan</t>
  </si>
  <si>
    <t>Utah</t>
  </si>
  <si>
    <t>Fellowes Super Stor/Drawer</t>
  </si>
  <si>
    <t>Zuschuss Donatelli</t>
  </si>
  <si>
    <t>San Francisco</t>
  </si>
  <si>
    <t>Newell 341</t>
  </si>
  <si>
    <t>Cisco SPA 501G IP Phone</t>
  </si>
  <si>
    <t>Wilson Jones Hanging View Binder, White, 1"</t>
  </si>
  <si>
    <t>Ken Black</t>
  </si>
  <si>
    <t>Fremont</t>
  </si>
  <si>
    <t>Nebraska</t>
  </si>
  <si>
    <t>Newell 318</t>
  </si>
  <si>
    <t>Acco Six-Outlet Power Strip, 4' Cord Length</t>
  </si>
  <si>
    <t>Sandra Flanagan</t>
  </si>
  <si>
    <t>Philadelphia</t>
  </si>
  <si>
    <t>Pennsylvania</t>
  </si>
  <si>
    <t>Global Deluxe Stacking Chair, Gray</t>
  </si>
  <si>
    <t>Emily Burns</t>
  </si>
  <si>
    <t>Orem</t>
  </si>
  <si>
    <t>Eric Hoffmann</t>
  </si>
  <si>
    <t>Wilson Jones Active Use Binders</t>
  </si>
  <si>
    <t>Accessories</t>
  </si>
  <si>
    <t>Imation 8GB Mini TravelDrive USB 2.0 Flash Drive</t>
  </si>
  <si>
    <t>Tracy Blumstein</t>
  </si>
  <si>
    <t>Riverside Palais Royal Lawyers Bookcase, Royale Cherry Finish</t>
  </si>
  <si>
    <t>Avery Recycled Flexi-View Covers for Binding Systems</t>
  </si>
  <si>
    <t>Howard Miller 13-3/4" Diameter Brushed Chrome Round Wall Clock</t>
  </si>
  <si>
    <t>Envelopes</t>
  </si>
  <si>
    <t>Poly String Tie Envelopes</t>
  </si>
  <si>
    <t>BOSTON Model 1800 Electric Pencil Sharpeners, Putty/Woodgrain</t>
  </si>
  <si>
    <t>Acco Pressboard Covers with Storage Hooks, 14 7/8" x 11", Executive Red</t>
  </si>
  <si>
    <t>Lumber Crayons</t>
  </si>
  <si>
    <t>Matt Abelman</t>
  </si>
  <si>
    <t>Houston</t>
  </si>
  <si>
    <t>Easy-staple paper</t>
  </si>
  <si>
    <t>Gene Hale</t>
  </si>
  <si>
    <t>Richardson</t>
  </si>
  <si>
    <t>GE 30524EE4</t>
  </si>
  <si>
    <t>Electrix Architect's Clamp-On Swing Arm Lamp, Black</t>
  </si>
  <si>
    <t>Steve Nguyen</t>
  </si>
  <si>
    <t>#10-4 1/8" x 9 1/2" Premium Diagonal Seam Envelopes</t>
  </si>
  <si>
    <t>Atlantic Metals Mobile 3-Shelf Bookcases, Custom Colors</t>
  </si>
  <si>
    <t>Global Fabric Manager's Chair, Dark Gray</t>
  </si>
  <si>
    <t>Plantronics HL10 Handset Lifter</t>
  </si>
  <si>
    <t>Linda Cazamias</t>
  </si>
  <si>
    <t>Naperville</t>
  </si>
  <si>
    <t>Illinois</t>
  </si>
  <si>
    <t>Panasonic Kx-TS550</t>
  </si>
  <si>
    <t>Ruben Ausman</t>
  </si>
  <si>
    <t>Eldon Base for stackable storage shelf, platinum</t>
  </si>
  <si>
    <t>Erin Smith</t>
  </si>
  <si>
    <t>Melbourne</t>
  </si>
  <si>
    <t>Advantus 10-Drawer Portable Organizer, Chrome Metal Frame, Smoke Drawers</t>
  </si>
  <si>
    <t>Odella Nelson</t>
  </si>
  <si>
    <t>Eagan</t>
  </si>
  <si>
    <t>Minnesota</t>
  </si>
  <si>
    <t>Verbatim 25 GB 6x Blu-ray Single Layer Recordable Disc, 25/Pack</t>
  </si>
  <si>
    <t>Wilson Jones Leather-Like Binders with DublLock Round Rings</t>
  </si>
  <si>
    <t>Patrick O'Donnell</t>
  </si>
  <si>
    <t>Westland</t>
  </si>
  <si>
    <t>Michigan</t>
  </si>
  <si>
    <t>Gould Plastics 9-Pocket Panel Bin, 18-3/8w x 5-1/4d x 20-1/2h, Black</t>
  </si>
  <si>
    <t>Lena Hernandez</t>
  </si>
  <si>
    <t>Dover</t>
  </si>
  <si>
    <t>Delaware</t>
  </si>
  <si>
    <t>Imation 8gb Micro Traveldrive Usb 2.0 Flash Drive</t>
  </si>
  <si>
    <t>LF Elite 3D Dazzle Designer Hard Case Cover, Lf Stylus Pen and Wiper For Apple Iphone 5c Mini Lite</t>
  </si>
  <si>
    <t>Darren Powers</t>
  </si>
  <si>
    <t>New Albany</t>
  </si>
  <si>
    <t>Indiana</t>
  </si>
  <si>
    <t>C-Line Peel &amp; Stick Add-On Filing Pockets, 8-3/4 x 5-1/8, 10/Pack</t>
  </si>
  <si>
    <t>Avery 485</t>
  </si>
  <si>
    <t>Longer-Life Soft White Bulbs</t>
  </si>
  <si>
    <t>Global Leather Task Chair, Black</t>
  </si>
  <si>
    <t>Janet Molinari</t>
  </si>
  <si>
    <t>New York City</t>
  </si>
  <si>
    <t>New York</t>
  </si>
  <si>
    <t>Fasteners</t>
  </si>
  <si>
    <t>Advantus Push Pins</t>
  </si>
  <si>
    <t>AT&amp;T CL83451 4-Handset Telephone</t>
  </si>
  <si>
    <t>Ted Butterfield</t>
  </si>
  <si>
    <t>Troy</t>
  </si>
  <si>
    <t>Home/Office Personal File Carts</t>
  </si>
  <si>
    <t>Xerox 232</t>
  </si>
  <si>
    <t>Novimex Turbo Task Chair</t>
  </si>
  <si>
    <t>Array Parchment Paper, Assorted Colors</t>
  </si>
  <si>
    <t>Plastic Binding Combs</t>
  </si>
  <si>
    <t>Prang Dustless Chalk Sticks</t>
  </si>
  <si>
    <t>Kunst Miller</t>
  </si>
  <si>
    <t>Verbatim 25 GB 6x Blu-ray Single Layer Recordable Disc, 3/Pack</t>
  </si>
  <si>
    <t>Acco PRESSTEX Data Binder with Storage Hooks, Dark Blue, 14 7/8" X 11"</t>
  </si>
  <si>
    <t>Xerox 1943</t>
  </si>
  <si>
    <t>Luxo Economy Swing Arm Lamp</t>
  </si>
  <si>
    <t>Paul Stevenson</t>
  </si>
  <si>
    <t>Chicago</t>
  </si>
  <si>
    <t>Global Value Mid-Back Manager's Chair, Gray</t>
  </si>
  <si>
    <t>Brendan Sweed</t>
  </si>
  <si>
    <t>Gilbert</t>
  </si>
  <si>
    <t>Arizona</t>
  </si>
  <si>
    <t>Hunt BOSTON Model 1606 High-Volume Electric Pencil Sharpener, Beige</t>
  </si>
  <si>
    <t>netTALK DUO VoIP Telephone Service</t>
  </si>
  <si>
    <t>Karen Daniels</t>
  </si>
  <si>
    <t>Springfield</t>
  </si>
  <si>
    <t>Virginia</t>
  </si>
  <si>
    <t>Snap-A-Way Black Print Carbonless Ruled Speed Letter, Triplicate</t>
  </si>
  <si>
    <t>Henry MacAllister</t>
  </si>
  <si>
    <t>Avery Binding System Hidden Tab Executive Style Index Sets</t>
  </si>
  <si>
    <t>Jackson</t>
  </si>
  <si>
    <t>Telephone Message Books with Fax/Mobile Section, 5 1/2" x 3 3/16"</t>
  </si>
  <si>
    <t>Joel Eaton</t>
  </si>
  <si>
    <t>Memphis</t>
  </si>
  <si>
    <t>Tennessee</t>
  </si>
  <si>
    <t>High-Back Leather Manager's Chair</t>
  </si>
  <si>
    <t>Tenex Traditional Chairmats for Medium Pile Carpet, Standard Lip, 36" x 48"</t>
  </si>
  <si>
    <t>Safco Industrial Wire Shelving System</t>
  </si>
  <si>
    <t>Ken Brennan</t>
  </si>
  <si>
    <t>Economy Binders</t>
  </si>
  <si>
    <t>6" Cubicle Wall Clock, Black</t>
  </si>
  <si>
    <t>SimpliFile Personal File, Black Granite, 15w x 6-15/16d x 11-1/4h</t>
  </si>
  <si>
    <t>Eldon Expressions Desk Accessory, Wood Pencil Holder, Oak</t>
  </si>
  <si>
    <t>Stewart Carmichael</t>
  </si>
  <si>
    <t>Decatur</t>
  </si>
  <si>
    <t>Alabama</t>
  </si>
  <si>
    <t>1.7 Cubic Foot Compact "Cube" Office Refrigerators</t>
  </si>
  <si>
    <t>Avery Heavy-Duty EZD  Binder With Locking Rings</t>
  </si>
  <si>
    <t>Duane Noonan</t>
  </si>
  <si>
    <t>Premium Writing Pencils, Soft, #2 by Central Association for the Blind</t>
  </si>
  <si>
    <t>Sortfiler Multipurpose Personal File Organizer, Black</t>
  </si>
  <si>
    <t>Julie Creighton</t>
  </si>
  <si>
    <t>Durham</t>
  </si>
  <si>
    <t>Jet-Pak Recycled Peel 'N' Seal Padded Mailers</t>
  </si>
  <si>
    <t>Christopher Schild</t>
  </si>
  <si>
    <t>Safco Industrial Wire Shelving</t>
  </si>
  <si>
    <t>Columbia</t>
  </si>
  <si>
    <t>South Carolina</t>
  </si>
  <si>
    <t>Novimex Swivel Fabric Task Chair</t>
  </si>
  <si>
    <t>Paul Gonzalez</t>
  </si>
  <si>
    <t>Rochester</t>
  </si>
  <si>
    <t>Logitech LS21 Speaker System - PC Multimedia - 2.1-CH - Wired</t>
  </si>
  <si>
    <t>Avery 511</t>
  </si>
  <si>
    <t>Gary Mitchum</t>
  </si>
  <si>
    <t>Eldon Portable Mobile Manager</t>
  </si>
  <si>
    <t>Jim Sink</t>
  </si>
  <si>
    <t>Turquoise Lead Holder with Pocket Clip</t>
  </si>
  <si>
    <t>Xerox 1995</t>
  </si>
  <si>
    <t>Karl Braun</t>
  </si>
  <si>
    <t>Minneapolis</t>
  </si>
  <si>
    <t>Xerox 1999</t>
  </si>
  <si>
    <t>Seth Thomas 13 1/2" Wall Clock</t>
  </si>
  <si>
    <t>Ibico Standard Transparent Covers</t>
  </si>
  <si>
    <t>Roger Barcio</t>
  </si>
  <si>
    <t>Portland</t>
  </si>
  <si>
    <t>Oregon</t>
  </si>
  <si>
    <t>Flexible Leather- Look Classic Collection Ring Binder</t>
  </si>
  <si>
    <t>Parhena Norris</t>
  </si>
  <si>
    <t>9-3/4 Diameter Round Wall Clock</t>
  </si>
  <si>
    <t>Katherine Ducich</t>
  </si>
  <si>
    <t>Trimflex Flexible Post Binders</t>
  </si>
  <si>
    <t>Elpida Rittenbach</t>
  </si>
  <si>
    <t>Saint Paul</t>
  </si>
  <si>
    <t>Fellowes Basic Home/Office Series Surge Protectors</t>
  </si>
  <si>
    <t>Rick Bensley</t>
  </si>
  <si>
    <t>Avery Personal Creations Heavyweight Cards</t>
  </si>
  <si>
    <t>SanDisk Ultra 64 GB MicroSDHC Class 10 Memory Card</t>
  </si>
  <si>
    <t>Avery Hidden Tab Dividers for Binding Systems</t>
  </si>
  <si>
    <t>Gary Zandusky</t>
  </si>
  <si>
    <t>Universal Premium White Copier/Laser Paper (20Lb. and 87 Bright)</t>
  </si>
  <si>
    <t>Lena Cacioppo</t>
  </si>
  <si>
    <t>Aurora</t>
  </si>
  <si>
    <t>Colorado</t>
  </si>
  <si>
    <t>Logitech K350 2.4Ghz Wireless Keyboard</t>
  </si>
  <si>
    <t>Deflect-o DuraMat Lighweight, Studded, Beveled Mat for Low Pile Carpeting</t>
  </si>
  <si>
    <t>Avery Trapezoid Ring Binder, 3" Capacity, Black, 1040 sheets</t>
  </si>
  <si>
    <t>Janet Martin</t>
  </si>
  <si>
    <t>Charlotte</t>
  </si>
  <si>
    <t>Memorex Mini Travel Drive 8 GB USB 2.0 Flash Drive</t>
  </si>
  <si>
    <t>Speck Products Candyshell Flip Case</t>
  </si>
  <si>
    <t>Newell Chalk Holder</t>
  </si>
  <si>
    <t>Pete Armstrong</t>
  </si>
  <si>
    <t>Orland Park</t>
  </si>
  <si>
    <t>Logitech Gaming G510s - Keyboard</t>
  </si>
  <si>
    <t>Cynthia Voltz</t>
  </si>
  <si>
    <t>Magnifier Swing Arm Lamp</t>
  </si>
  <si>
    <t>Clay Ludtke</t>
  </si>
  <si>
    <t>Urbandale</t>
  </si>
  <si>
    <t>Iowa</t>
  </si>
  <si>
    <t>Hunt PowerHouse Electric Pencil Sharpener, Blue</t>
  </si>
  <si>
    <t>Avery Durable Plastic 1" Binders</t>
  </si>
  <si>
    <t>Ryan Crowe</t>
  </si>
  <si>
    <t>Columbus</t>
  </si>
  <si>
    <t>Ohio</t>
  </si>
  <si>
    <t>OIC Colored Binder Clips, Assorted Sizes</t>
  </si>
  <si>
    <t>Redi-Strip #10 Envelopes, 4 1/8 x 9 1/2</t>
  </si>
  <si>
    <t>Xerox 1921</t>
  </si>
  <si>
    <t>Tyvek  Top-Opening Peel &amp; Seel Envelopes, Plain White</t>
  </si>
  <si>
    <t>Dave Kipp</t>
  </si>
  <si>
    <t>Hon Racetrack Conference Tables</t>
  </si>
  <si>
    <t>Greg Guthrie</t>
  </si>
  <si>
    <t>Bristol</t>
  </si>
  <si>
    <t>GBC DocuBind 300 Electric Binding Machine</t>
  </si>
  <si>
    <t>Steven Cartwright</t>
  </si>
  <si>
    <t>Wilmington</t>
  </si>
  <si>
    <t>Artistic Insta-Plaque</t>
  </si>
  <si>
    <t>Companion Letter/Legal File, Black</t>
  </si>
  <si>
    <t>Globe Weis Peel &amp; Seel First Class Envelopes</t>
  </si>
  <si>
    <t>KLD Oscar II Style Snap-on Ultra Thin Side Flip Synthetic Leather Cover Case for HTC One HTC M7</t>
  </si>
  <si>
    <t>Alan Dominguez</t>
  </si>
  <si>
    <t>Global Deluxe High-Back Manager's Chair</t>
  </si>
  <si>
    <t>Philip Fox</t>
  </si>
  <si>
    <t>Bloomington</t>
  </si>
  <si>
    <t>Bevis 44 x 96 Conference Tables</t>
  </si>
  <si>
    <t>Troy Staebel</t>
  </si>
  <si>
    <t>Phoenix</t>
  </si>
  <si>
    <t>Avery Durable Slant Ring Binders, No Labels</t>
  </si>
  <si>
    <t>Trav-L-File Heavy-Duty Shuttle II, Black</t>
  </si>
  <si>
    <t>Lindsay Shagiari</t>
  </si>
  <si>
    <t>Global Task Chair, Black</t>
  </si>
  <si>
    <t>Eldon Cleatmat Plus Chair Mats for High Pile Carpets</t>
  </si>
  <si>
    <t>Dorothy Wardle</t>
  </si>
  <si>
    <t>Anker 36W 4-Port USB Wall Charger Travel Power Adapter for iPhone 5s 5c 5</t>
  </si>
  <si>
    <t>Xerox 1916</t>
  </si>
  <si>
    <t>Staples</t>
  </si>
  <si>
    <t>Lena Creighton</t>
  </si>
  <si>
    <t>Roseville</t>
  </si>
  <si>
    <t>Xerox 195</t>
  </si>
  <si>
    <t>Xerox 1880</t>
  </si>
  <si>
    <t>Sanford Colorific Colored Pencils, 12/Box</t>
  </si>
  <si>
    <t>Ideal Clamps</t>
  </si>
  <si>
    <t>GBC Wire Binding Strips</t>
  </si>
  <si>
    <t>Supplies</t>
  </si>
  <si>
    <t>Fiskars Softgrip Scissors</t>
  </si>
  <si>
    <t>Jonathan Doherty</t>
  </si>
  <si>
    <t>Sally Hughsby</t>
  </si>
  <si>
    <t>Newell 343</t>
  </si>
  <si>
    <t>Convenience Packs of Business Envelopes</t>
  </si>
  <si>
    <t>Xerox 1911</t>
  </si>
  <si>
    <t>Sandra Glassco</t>
  </si>
  <si>
    <t>Independence</t>
  </si>
  <si>
    <t>Missouri</t>
  </si>
  <si>
    <t>Sanyo 2.5 Cubic Foot Mid-Size Office Refrigerators</t>
  </si>
  <si>
    <t>Helen Andreada</t>
  </si>
  <si>
    <t>Pasadena</t>
  </si>
  <si>
    <t>Maureen Gastineau</t>
  </si>
  <si>
    <t>Newark</t>
  </si>
  <si>
    <t>Seth Thomas 14" Putty-Colored Wall Clock</t>
  </si>
  <si>
    <t>Justin Ellison</t>
  </si>
  <si>
    <t>Franklin</t>
  </si>
  <si>
    <t>Plantronics Cordless Phone Headset with In-line Volume - M214C</t>
  </si>
  <si>
    <t>Anker Astro 15000mAh USB Portable Charger</t>
  </si>
  <si>
    <t>GBC Prestige Therm-A-Bind Covers</t>
  </si>
  <si>
    <t>Tamara Willingham</t>
  </si>
  <si>
    <t>Scottsdale</t>
  </si>
  <si>
    <t>Jabra BIZ 2300 Duo QD Duo Corded Headset</t>
  </si>
  <si>
    <t>Stephanie Phelps</t>
  </si>
  <si>
    <t>San Jose</t>
  </si>
  <si>
    <t>Southworth 25% Cotton Antique Laid Paper &amp; Envelopes</t>
  </si>
  <si>
    <t>Xerox 1883</t>
  </si>
  <si>
    <t>Tenex Personal Project File with Scoop Front Design, Black</t>
  </si>
  <si>
    <t>Neil Knudson</t>
  </si>
  <si>
    <t>Newell 311</t>
  </si>
  <si>
    <t>Dave Brooks</t>
  </si>
  <si>
    <t>Nora Paige</t>
  </si>
  <si>
    <t>Oklahoma</t>
  </si>
  <si>
    <t>Avery 519</t>
  </si>
  <si>
    <t>Avaya 5420 Digital phone</t>
  </si>
  <si>
    <t>Ted Trevino</t>
  </si>
  <si>
    <t>Xerox 1920</t>
  </si>
  <si>
    <t>Eric Murdock</t>
  </si>
  <si>
    <t>Lenovo 17-Key USB Numeric Keypad</t>
  </si>
  <si>
    <t>Ruben Dartt</t>
  </si>
  <si>
    <t>Carlsbad</t>
  </si>
  <si>
    <t>New Mexico</t>
  </si>
  <si>
    <t>Staple envelope</t>
  </si>
  <si>
    <t>Max Jones</t>
  </si>
  <si>
    <t>Wilson Jones International Size A4 Ring Binders</t>
  </si>
  <si>
    <t>Becky Martin</t>
  </si>
  <si>
    <t>San Antonio</t>
  </si>
  <si>
    <t>BIC Brite Liner Highlighters</t>
  </si>
  <si>
    <t>Machines</t>
  </si>
  <si>
    <t>Lexmark MX611dhe Monochrome Laser Printer</t>
  </si>
  <si>
    <t>Space Solutions HD Industrial Steel Shelving.</t>
  </si>
  <si>
    <t>SAFCO Arco Folding Chair</t>
  </si>
  <si>
    <t>Sanford Liquid Accent Highlighters</t>
  </si>
  <si>
    <t>Kensington 7 Outlet MasterPiece Power Center</t>
  </si>
  <si>
    <t>JBL Micro Wireless Portable Bluetooth Speaker</t>
  </si>
  <si>
    <t>Chad Sievert</t>
  </si>
  <si>
    <t>Adams Phone Message Book, Professional, 400 Message Capacity, 5 3/6” x 11”</t>
  </si>
  <si>
    <t>Xerox 1913</t>
  </si>
  <si>
    <t>Global Value Steno Chair, Gray</t>
  </si>
  <si>
    <t>Jennifer Braxton</t>
  </si>
  <si>
    <t>Kensington 7 Outlet MasterPiece HOMEOFFICE Power Control Center</t>
  </si>
  <si>
    <t>Avery 51</t>
  </si>
  <si>
    <t>Shirley Jackson</t>
  </si>
  <si>
    <t>Acco 7-Outlet Masterpiece Power Center, Wihtout Fax/Phone Line Protection</t>
  </si>
  <si>
    <t>Padded Folding Chairs, Black, 4/Carton</t>
  </si>
  <si>
    <t>Acme Rosewood Handle Letter Opener</t>
  </si>
  <si>
    <t>Jim Kriz</t>
  </si>
  <si>
    <t>Sanford Colorific Eraseable Coloring Pencils, 12 Count</t>
  </si>
  <si>
    <t>David Kendrick</t>
  </si>
  <si>
    <t>Tenex File Box, Personal Filing Tote with Lid, Black</t>
  </si>
  <si>
    <t>Robert Marley</t>
  </si>
  <si>
    <t>Monroe</t>
  </si>
  <si>
    <t>Louisiana</t>
  </si>
  <si>
    <t>AT&amp;T TR1909W</t>
  </si>
  <si>
    <t>Nokia Lumia 521 (T-Mobile)</t>
  </si>
  <si>
    <t>HP Standard 104 key PS/2 Keyboard</t>
  </si>
  <si>
    <t>Sally Knutson</t>
  </si>
  <si>
    <t>Fairfield</t>
  </si>
  <si>
    <t>Connecticut</t>
  </si>
  <si>
    <t>Avery Poly Binder Pockets</t>
  </si>
  <si>
    <t>Frank Merwin</t>
  </si>
  <si>
    <t>SanDisk Ultra 32 GB MicroSDHC Class 10 Memory Card</t>
  </si>
  <si>
    <t>Alice McCarthy</t>
  </si>
  <si>
    <t>Grand Prairie</t>
  </si>
  <si>
    <t>Personal Filing Tote with Lid, Black/Gray</t>
  </si>
  <si>
    <t>Mark Packer</t>
  </si>
  <si>
    <t>Atlantic Metals Mobile 4-Shelf Bookcases, Custom Colors</t>
  </si>
  <si>
    <t>I Need's 3d Hello Kitty Hybrid Silicone Case Cover for HTC One X 4g with 3d Hello Kitty Stylus Pen Green/pink</t>
  </si>
  <si>
    <t>Xerox 205</t>
  </si>
  <si>
    <t>4009 Highlighters by Sanford</t>
  </si>
  <si>
    <t>Mary Zewe</t>
  </si>
  <si>
    <t>Redlands</t>
  </si>
  <si>
    <t>Cassandra Brandow</t>
  </si>
  <si>
    <t>Hamilton</t>
  </si>
  <si>
    <t>Binney &amp; Smith Crayola Metallic Colored Pencils, 8-Color Set</t>
  </si>
  <si>
    <t>Binney &amp; Smith inkTank Erasable Desk Highlighter, Chisel Tip, Yellow, 12/Box</t>
  </si>
  <si>
    <t>Valerie Mitchum</t>
  </si>
  <si>
    <t>Westfield</t>
  </si>
  <si>
    <t>New Jersey</t>
  </si>
  <si>
    <t>Fred Hopkins</t>
  </si>
  <si>
    <t>Pressboard Covers with Storage Hooks, 9 1/2" x 11", Light Blue</t>
  </si>
  <si>
    <t>Maria Bertelson</t>
  </si>
  <si>
    <t>Akron</t>
  </si>
  <si>
    <t>Southworth 25% Cotton Linen-Finish Paper &amp; Envelopes</t>
  </si>
  <si>
    <t>Bruce Stewart</t>
  </si>
  <si>
    <t>Denver</t>
  </si>
  <si>
    <t>BoxOffice By Design Rectangular and Half-Moon Meeting Room Tables</t>
  </si>
  <si>
    <t>Bravo II Megaboss 12-Amp Hard Body Upright, Replacement Belts, 2 Belts per Pack</t>
  </si>
  <si>
    <t>Logan Currie</t>
  </si>
  <si>
    <t>Dallas</t>
  </si>
  <si>
    <t>Eureka Sanitaire  Commercial Upright</t>
  </si>
  <si>
    <t>Heather Kirkland</t>
  </si>
  <si>
    <t>Eldon 200 Class Desk Accessories, Burgundy</t>
  </si>
  <si>
    <t>Laurel Elliston</t>
  </si>
  <si>
    <t>Nortel Business Series Terminal T7208 Digital phone</t>
  </si>
  <si>
    <t>Joseph Holt</t>
  </si>
  <si>
    <t>Saginaw</t>
  </si>
  <si>
    <t>Tennsco Lockers, Gray</t>
  </si>
  <si>
    <t>Panasonic KX-TG6844B Expandable Digital Cordless Telephone</t>
  </si>
  <si>
    <t>Advantus Push Pins, Aluminum Head</t>
  </si>
  <si>
    <t>Gould Plastics 18-Pocket Panel Bin, 34w x 5-1/4d x 20-1/2h</t>
  </si>
  <si>
    <t>Michael Stewart</t>
  </si>
  <si>
    <t>Memorex Micro Travel Drive 8 GB</t>
  </si>
  <si>
    <t>Victoria Wilson</t>
  </si>
  <si>
    <t>Medina</t>
  </si>
  <si>
    <t>Avery 505</t>
  </si>
  <si>
    <t>O'Sullivan 2-Door Barrister Bookcase in Odessa Pine</t>
  </si>
  <si>
    <t>Cisco 9971 IP Video Phone Charcoal</t>
  </si>
  <si>
    <t>Sony Micro Vault Click 16 GB USB 2.0 Flash Drive</t>
  </si>
  <si>
    <t>Jonathan Howell</t>
  </si>
  <si>
    <t>Adtran 1202752G1</t>
  </si>
  <si>
    <t>Joni Blumstein</t>
  </si>
  <si>
    <t>Dublin</t>
  </si>
  <si>
    <t>OIC Bulk Pack Metal Binder Clips</t>
  </si>
  <si>
    <t>While You Were Out Pads, 50 per Pad, 4 x 5 1/4, Green Cycle</t>
  </si>
  <si>
    <t>Executive Impressions 14" Two-Color Numerals Wall Clock</t>
  </si>
  <si>
    <t>Swingline SM12-08 MicroCut Jam Free Shredder</t>
  </si>
  <si>
    <t>Stanley Bostitch Contemporary Electric Pencil Sharpeners</t>
  </si>
  <si>
    <t>David Smith</t>
  </si>
  <si>
    <t>Detroit</t>
  </si>
  <si>
    <t>Sanford Uni-Blazer View Highlighters, Chisel Tip, Yellow</t>
  </si>
  <si>
    <t>Bevis 36 x 72 Conference Tables</t>
  </si>
  <si>
    <t>Rogers Deluxe File Chest</t>
  </si>
  <si>
    <t>Valerie Dominguez</t>
  </si>
  <si>
    <t>Global Low Back Tilter Chair</t>
  </si>
  <si>
    <t>Global Push Button Manager's Chair, Indigo</t>
  </si>
  <si>
    <t>Erin Ashbrook</t>
  </si>
  <si>
    <t>GBC Instant Index System for Binding Systems</t>
  </si>
  <si>
    <t>Tampa</t>
  </si>
  <si>
    <t>Bush Advantage Collection Round Conference Table</t>
  </si>
  <si>
    <t>Bretford Rectangular Conference Table Tops</t>
  </si>
  <si>
    <t>Tenex Contemporary Contur Chairmats for Low and Medium Pile Carpet, Computer, 39" x 49"</t>
  </si>
  <si>
    <t>Logitech P710e Mobile Speakerphone</t>
  </si>
  <si>
    <t>David Bremer</t>
  </si>
  <si>
    <t>Santa Clara</t>
  </si>
  <si>
    <t>Xerox 4200 Series MultiUse Premium Copy Paper (20Lb. and 84 Bright)</t>
  </si>
  <si>
    <t>Ken Lonsdale</t>
  </si>
  <si>
    <t>Xerox 1957</t>
  </si>
  <si>
    <t>Luxo Professional Fluorescent Magnifier Lamp with Clamp-Mount Base</t>
  </si>
  <si>
    <t>Staple-based wall hangings</t>
  </si>
  <si>
    <t>PureGear Roll-On Screen Protector</t>
  </si>
  <si>
    <t>KI Conference Tables</t>
  </si>
  <si>
    <t>Eldon 100 Class Desk Accessories</t>
  </si>
  <si>
    <t>Dianna Wilson</t>
  </si>
  <si>
    <t>Lakeville</t>
  </si>
  <si>
    <t>Safco Steel Mobile File Cart</t>
  </si>
  <si>
    <t>Adams Telephone Message Book w/Frequently-Called Numbers Space, 400 Messages per Book</t>
  </si>
  <si>
    <t>Honeywell Enviracaire Portable HEPA Air Cleaner for 17' x 22' Room</t>
  </si>
  <si>
    <t>Logan Haushalter</t>
  </si>
  <si>
    <t>Global Leather Highback Executive Chair with Pneumatic Height Adjustment, Black</t>
  </si>
  <si>
    <t>Kelly Collister</t>
  </si>
  <si>
    <t>San Diego</t>
  </si>
  <si>
    <t>Wirebound Message Books, Two 4 1/4" x 5" Forms per Page</t>
  </si>
  <si>
    <t>Delfina Latchford</t>
  </si>
  <si>
    <t>Fellowes Personal Hanging Folder Files, Navy</t>
  </si>
  <si>
    <t>Tyvek Side-Opening Peel &amp; Seel Expanding Envelopes</t>
  </si>
  <si>
    <t>Dan Reichenbach</t>
  </si>
  <si>
    <t>Belkin 19" Vented Equipment Shelf, Black</t>
  </si>
  <si>
    <t>Logitech Mobile Speakerphone P710e - speaker phone</t>
  </si>
  <si>
    <t>Craig Carreira</t>
  </si>
  <si>
    <t>Sabrent 4-Port USB 2.0 Hub</t>
  </si>
  <si>
    <t>Safco Industrial Shelving</t>
  </si>
  <si>
    <t>Acco 3-Hole Punch</t>
  </si>
  <si>
    <t>Dorris liebe</t>
  </si>
  <si>
    <t>Sean Braxton</t>
  </si>
  <si>
    <t>Roy Collins</t>
  </si>
  <si>
    <t>Cisco Small Business SPA 502G VoIP phone</t>
  </si>
  <si>
    <t>Alan Hwang</t>
  </si>
  <si>
    <t>Brentwood</t>
  </si>
  <si>
    <t>Microsoft Sculpt Comfort Mouse</t>
  </si>
  <si>
    <t>Claudia Bergmann</t>
  </si>
  <si>
    <t>Quartet Omega Colored Chalk, 12/Pack</t>
  </si>
  <si>
    <t>Morristown</t>
  </si>
  <si>
    <t>Bagged Rubber Bands</t>
  </si>
  <si>
    <t>Christine Abelman</t>
  </si>
  <si>
    <t>Cincinnati</t>
  </si>
  <si>
    <t>Safco Commercial Shelving</t>
  </si>
  <si>
    <t>Recycled Interoffice Envelopes with String and Button Closure, 10 x 13</t>
  </si>
  <si>
    <t>Kristen Hastings</t>
  </si>
  <si>
    <t>Adjustable Depth Letter/Legal Cart</t>
  </si>
  <si>
    <t>Logitech 910-002974 M325 Wireless Mouse for Web Scrolling</t>
  </si>
  <si>
    <t>Regeneration Desk Collection</t>
  </si>
  <si>
    <t>Presstex Flexible Ring Binders</t>
  </si>
  <si>
    <t>Barry Blumstein</t>
  </si>
  <si>
    <t>Inglewood</t>
  </si>
  <si>
    <t>Ampad Gold Fibre Wirebound Steno Books, 6" x 9", Gregg Ruled</t>
  </si>
  <si>
    <t>Newell 330</t>
  </si>
  <si>
    <t>Andrew Gjertsen</t>
  </si>
  <si>
    <t>Post-it “Important Message” Note Pad, Neon Colors, 50 Sheets/Pad</t>
  </si>
  <si>
    <t>Adams Write n' Stick Phone Message Book, 11" X 5 1/4", 200 Messages</t>
  </si>
  <si>
    <t>Eldon Simplefile Box Office</t>
  </si>
  <si>
    <t>Avery 489</t>
  </si>
  <si>
    <t>Round Ring Binders</t>
  </si>
  <si>
    <t>Bose SoundLink Bluetooth Speaker</t>
  </si>
  <si>
    <t>Jas O'Carroll</t>
  </si>
  <si>
    <t>Bevis Round Bullnose 29" High Table Top</t>
  </si>
  <si>
    <t>Microsoft Arc Touch Mouse</t>
  </si>
  <si>
    <t>Xerox 216</t>
  </si>
  <si>
    <t>Alan Haines</t>
  </si>
  <si>
    <t>Tamarac</t>
  </si>
  <si>
    <t>GBC VeloBinder Electric Binding Machine</t>
  </si>
  <si>
    <t>Premier Automatic Letter Opener</t>
  </si>
  <si>
    <t>Nick Zandusky</t>
  </si>
  <si>
    <t>Advantus SlideClip Paper Clips</t>
  </si>
  <si>
    <t>Avery 512</t>
  </si>
  <si>
    <t>Logitech Wireless Gaming Headset G930</t>
  </si>
  <si>
    <t>Bush Westfield Collection Bookcases, Medium Cherry Finish</t>
  </si>
  <si>
    <t>Kelly Lampkin</t>
  </si>
  <si>
    <t>Colorado Springs</t>
  </si>
  <si>
    <t>Howard Miller 13" Diameter Goldtone Round Wall Clock</t>
  </si>
  <si>
    <t>Global Deluxe Office Fabric Chairs</t>
  </si>
  <si>
    <t>Eldon ClusterMat Chair Mat with Cordless Antistatic Protection</t>
  </si>
  <si>
    <t>Ibico Laser Imprintable Binding System Covers</t>
  </si>
  <si>
    <t>Vinyl Coated Wire Paper Clips in Organizer Box, 800/Box</t>
  </si>
  <si>
    <t>Belleville</t>
  </si>
  <si>
    <t>Xerox 223</t>
  </si>
  <si>
    <t>Tennsco Stur-D-Stor Boltless Shelving, 5 Shelves, 24" Deep, Sand</t>
  </si>
  <si>
    <t>Xerox 1939</t>
  </si>
  <si>
    <t>Floodlight Indoor Halogen Bulbs, 1 Bulb per Pack, 60 Watts</t>
  </si>
  <si>
    <t>Avery Premier Heavy-Duty Binder with Round Locking Rings</t>
  </si>
  <si>
    <t>BPI Conference Tables</t>
  </si>
  <si>
    <t>Alan Schoenberger</t>
  </si>
  <si>
    <t>Electrix 20W Halogen Replacement Bulb for Zoom-In Desk Lamp</t>
  </si>
  <si>
    <t>Taylor</t>
  </si>
  <si>
    <t>Newell 350</t>
  </si>
  <si>
    <t>Corey Roper</t>
  </si>
  <si>
    <t>Lakewood</t>
  </si>
  <si>
    <t>GBC Clear Cover, 8-1/2 x 11, unpunched, 25 covers per pack</t>
  </si>
  <si>
    <t>Boston Heavy-Duty Trimline Electric Pencil Sharpeners</t>
  </si>
  <si>
    <t>Shahid Hopkins</t>
  </si>
  <si>
    <t>Arlington</t>
  </si>
  <si>
    <t>Faber Castell Col-Erase Pencils</t>
  </si>
  <si>
    <t>Ben Peterman</t>
  </si>
  <si>
    <t>C-Line Cubicle Keepers Polyproplyene Holder With Velcro Backings</t>
  </si>
  <si>
    <t>Hon 4070 Series Pagoda Armless Upholstered Stacking Chairs</t>
  </si>
  <si>
    <t>Eldon Expressions Desk Accessory, Wood Photo Frame, Mahogany</t>
  </si>
  <si>
    <t>Avery 509</t>
  </si>
  <si>
    <t>Thomas Seio</t>
  </si>
  <si>
    <t>Deflect-o SuperTray Unbreakable Stackable Tray, Letter, Black</t>
  </si>
  <si>
    <t>Andy Gerbode</t>
  </si>
  <si>
    <t>Saint Petersburg</t>
  </si>
  <si>
    <t>AT&amp;T 1070 Corded Phone</t>
  </si>
  <si>
    <t>Xerox 21</t>
  </si>
  <si>
    <t>Sung Pak</t>
  </si>
  <si>
    <t>Boston School Pro Electric Pencil Sharpener, 1670</t>
  </si>
  <si>
    <t>Nathan Mautz</t>
  </si>
  <si>
    <t>DMI Arturo Collection Mission-style Design Wood Chair</t>
  </si>
  <si>
    <t>NETGEAR N750 Dual Band Wi-Fi Gigabit Router</t>
  </si>
  <si>
    <t>Frank Atkinson</t>
  </si>
  <si>
    <t>Long Beach</t>
  </si>
  <si>
    <t>OIC Binder Clips</t>
  </si>
  <si>
    <t>Grace Kelly</t>
  </si>
  <si>
    <t>Hesperia</t>
  </si>
  <si>
    <t>Logitech Wireless Headset h800</t>
  </si>
  <si>
    <t>Don Jones</t>
  </si>
  <si>
    <t>Murfreesboro</t>
  </si>
  <si>
    <t>Telescoping Adjustable Floor Lamp</t>
  </si>
  <si>
    <t>Patrick O'Brill</t>
  </si>
  <si>
    <t>Aastra 57i VoIP phone</t>
  </si>
  <si>
    <t>File Shuttle II and Handi-File, Black</t>
  </si>
  <si>
    <t>Hon 2090 “Pillow Soft” Series Mid Back Swivel/Tilt Chairs</t>
  </si>
  <si>
    <t>Round Specialty Laser Printer Labels</t>
  </si>
  <si>
    <t>GBC Premium Transparent Covers with Diagonal Lined Pattern</t>
  </si>
  <si>
    <t>John Lucas</t>
  </si>
  <si>
    <t>AT&amp;T 841000 Phone</t>
  </si>
  <si>
    <t>Ibico Recycled Grain-Textured Covers</t>
  </si>
  <si>
    <t>Wilson Jones Custom Binder Spines &amp; Labels</t>
  </si>
  <si>
    <t>Doug Bickford</t>
  </si>
  <si>
    <t>Storex Dura Pro Binders</t>
  </si>
  <si>
    <t>Copiers</t>
  </si>
  <si>
    <t>Hewlett Packard LaserJet 3310 Copier</t>
  </si>
  <si>
    <t>Avery Non-Stick Binders</t>
  </si>
  <si>
    <t>Alyssa Crouse</t>
  </si>
  <si>
    <t>Tuff Stuff Recycled Round Ring Binders</t>
  </si>
  <si>
    <t>Hon 5100 Series Wood Tables</t>
  </si>
  <si>
    <t>OIC Binder Clips, Mini, 1/4" Capacity, Black</t>
  </si>
  <si>
    <t>Newell 314</t>
  </si>
  <si>
    <t>Square Credit Card Reader, 4 1/2" x 4 1/2" x 1", White</t>
  </si>
  <si>
    <t>Austin</t>
  </si>
  <si>
    <t>Clay Cheatham</t>
  </si>
  <si>
    <t>Tamara Dahlen</t>
  </si>
  <si>
    <t>Lowell</t>
  </si>
  <si>
    <t>Massachusetts</t>
  </si>
  <si>
    <t>BIC Brite Liner Highlighters, Chisel Tip</t>
  </si>
  <si>
    <t>Adam Bellavance</t>
  </si>
  <si>
    <t>Xerox 1881</t>
  </si>
  <si>
    <t>Acco Hanging Data Binders</t>
  </si>
  <si>
    <t>GBC DocuBind P400 Electric Binding System</t>
  </si>
  <si>
    <t>Jeremy Lonsdale</t>
  </si>
  <si>
    <t>Sauder Barrister Bookcases</t>
  </si>
  <si>
    <t>#10 Gummed Flap White Envelopes, 100/Box</t>
  </si>
  <si>
    <t>Dixon Prang Watercolor Pencils, 10-Color Set with Brush</t>
  </si>
  <si>
    <t>Adams Phone Message Book, 200 Message Capacity, 8 1/16” x 11”</t>
  </si>
  <si>
    <t>Victoria Brennan</t>
  </si>
  <si>
    <t>Georgia</t>
  </si>
  <si>
    <t>Avery Address/Shipping Labels for Typewriters, 4" x 2"</t>
  </si>
  <si>
    <t>Katrina Willman</t>
  </si>
  <si>
    <t>Global Ergonomic Managers Chair</t>
  </si>
  <si>
    <t>Newell 333</t>
  </si>
  <si>
    <t>Eldon Wave Desk Accessories</t>
  </si>
  <si>
    <t>Julia Dunbar</t>
  </si>
  <si>
    <t>Michael Kennedy</t>
  </si>
  <si>
    <t>Manchester</t>
  </si>
  <si>
    <t>Wilson Jones “Snap” Scratch Pad Binder Tool for Ring Binders</t>
  </si>
  <si>
    <t>Staple remover</t>
  </si>
  <si>
    <t>Pizazz Global Quick File</t>
  </si>
  <si>
    <t>Guy Thornton</t>
  </si>
  <si>
    <t>Harlingen</t>
  </si>
  <si>
    <t>Xerox 1930</t>
  </si>
  <si>
    <t>File Shuttle I and Handi-File</t>
  </si>
  <si>
    <t>Arthur Gainer</t>
  </si>
  <si>
    <t>Tucson</t>
  </si>
  <si>
    <t>NETGEAR AC1750 Dual Band Gigabit Smart WiFi Router</t>
  </si>
  <si>
    <t>Newell 324</t>
  </si>
  <si>
    <t>Microsoft Natural Keyboard Elite</t>
  </si>
  <si>
    <t>Muhammed MacIntyre</t>
  </si>
  <si>
    <t>Quincy</t>
  </si>
  <si>
    <t>Xerox 1960</t>
  </si>
  <si>
    <t>Allen Rosenblatt</t>
  </si>
  <si>
    <t>Office Impressions End Table, 20-1/2"H x 24"W x 20"D</t>
  </si>
  <si>
    <t>Russell Applegate</t>
  </si>
  <si>
    <t>Holmes Odor Grabber</t>
  </si>
  <si>
    <t>Akro-Mils 12-Gallon Tote</t>
  </si>
  <si>
    <t>GBC Twin Loop Wire Binding Elements, 9/16" Spine, Black</t>
  </si>
  <si>
    <t>Alejandro Savely</t>
  </si>
  <si>
    <t>Southworth Structures Collection</t>
  </si>
  <si>
    <t>Square Ring Data Binders, Rigid 75 Pt. Covers, 11" x 14-7/8"</t>
  </si>
  <si>
    <t>Laura Armstrong</t>
  </si>
  <si>
    <t>Sony 32GB Class 10 Micro SDHC R40 Memory Card</t>
  </si>
  <si>
    <t>Denny Ordway</t>
  </si>
  <si>
    <t>Pembroke Pines</t>
  </si>
  <si>
    <t>Hon Practical Foundations 30 x 60 Training Table, Light Gray/Charcoal</t>
  </si>
  <si>
    <t>Logitech Media Keyboard K200</t>
  </si>
  <si>
    <t>Dean Katz</t>
  </si>
  <si>
    <t>Lexmark MarkNet N8150 Wireless Print Server</t>
  </si>
  <si>
    <t>3M Hangers With Command Adhesive</t>
  </si>
  <si>
    <t>Nathan Gelder</t>
  </si>
  <si>
    <t>Crayola Colored Pencils</t>
  </si>
  <si>
    <t>Mike Vittorini</t>
  </si>
  <si>
    <t>Angle-D Binders with Locking Rings, Label Holders</t>
  </si>
  <si>
    <t>Jack Garza</t>
  </si>
  <si>
    <t>Des Moines</t>
  </si>
  <si>
    <t>Nortel Meridian M3904 Professional Digital phone</t>
  </si>
  <si>
    <t>Canon PC1080F Personal Copier</t>
  </si>
  <si>
    <t>Bart Pistole</t>
  </si>
  <si>
    <t>Peoria</t>
  </si>
  <si>
    <t>Wilson Jones Century Plastic Molded Ring Binders</t>
  </si>
  <si>
    <t>Victor Preis</t>
  </si>
  <si>
    <t>Las Vegas</t>
  </si>
  <si>
    <t>Nevada</t>
  </si>
  <si>
    <t>Tuf-Vin Binders</t>
  </si>
  <si>
    <t>Saphhira Shifley</t>
  </si>
  <si>
    <t>Warwick</t>
  </si>
  <si>
    <t>Rhode Island</t>
  </si>
  <si>
    <t>2300 Heavy-Duty Transfer File Systems by Perma</t>
  </si>
  <si>
    <t>Xerox 1958</t>
  </si>
  <si>
    <t>Acme 10" Easy Grip Assistive Scissors</t>
  </si>
  <si>
    <t>Anna Gayman</t>
  </si>
  <si>
    <t>Super Decoflex Portable Personal File</t>
  </si>
  <si>
    <t>Contico 72"H Heavy-Duty Storage System</t>
  </si>
  <si>
    <t>Sony 64GB Class 10 Micro SDHC R40 Memory Card</t>
  </si>
  <si>
    <t>Luke Foster</t>
  </si>
  <si>
    <t>Miami</t>
  </si>
  <si>
    <t>Xerox 1974</t>
  </si>
  <si>
    <t>Avery Hi-Liter EverBold Pen Style Fluorescent Highlighters, 4/Pack</t>
  </si>
  <si>
    <t>Roy Französisch</t>
  </si>
  <si>
    <t>Staple holder</t>
  </si>
  <si>
    <t>Keith Herrera</t>
  </si>
  <si>
    <t>Sharp AL-1530CS Digital Copier</t>
  </si>
  <si>
    <t>Wirebound Message Book, 4 per Page</t>
  </si>
  <si>
    <t>Bevis Round Conference Table Top, X-Base</t>
  </si>
  <si>
    <t>Wirebound Service Call Books, 5 1/2" x 4"</t>
  </si>
  <si>
    <t>Self-Adhesive Removable Labels</t>
  </si>
  <si>
    <t>Xerox 1908</t>
  </si>
  <si>
    <t>O'Sullivan 4-Shelf Bookcase in Odessa Pine</t>
  </si>
  <si>
    <t>Novimex High-Tech Fabric Mesh Task Chair</t>
  </si>
  <si>
    <t>Kimberly Carter</t>
  </si>
  <si>
    <t>Xerox 191</t>
  </si>
  <si>
    <t>Caroline Jumper</t>
  </si>
  <si>
    <t>Huntington Beach</t>
  </si>
  <si>
    <t>Bulldog Vacuum Base Pencil Sharpener</t>
  </si>
  <si>
    <t>Philip Brown</t>
  </si>
  <si>
    <t>Bevis Steel Folding Chairs</t>
  </si>
  <si>
    <t>Richmond</t>
  </si>
  <si>
    <t>Xerox 1987</t>
  </si>
  <si>
    <t>American Pencil</t>
  </si>
  <si>
    <t>White Envelopes, White Envelopes with Clear Poly Window</t>
  </si>
  <si>
    <t>Louisville</t>
  </si>
  <si>
    <t>KeyTronic 6101 Series - Keyboard - Black</t>
  </si>
  <si>
    <t>Michael Paige</t>
  </si>
  <si>
    <t>Lawrence</t>
  </si>
  <si>
    <t>Westinghouse Mesh Shade Clip-On Gooseneck Lamp, Black</t>
  </si>
  <si>
    <t>Crate-A-Files</t>
  </si>
  <si>
    <t>Natalie Fritzler</t>
  </si>
  <si>
    <t>Mississippi</t>
  </si>
  <si>
    <t>Hon Multipurpose Stacking Arm Chairs</t>
  </si>
  <si>
    <t>Canton</t>
  </si>
  <si>
    <t>Coloredge Poster Frame</t>
  </si>
  <si>
    <t>GBC VeloBinder Manual Binding System</t>
  </si>
  <si>
    <t>Shirley Daniels</t>
  </si>
  <si>
    <t>New Rochelle</t>
  </si>
  <si>
    <t>Epson WorkForce WF-2530 All-in-One Printer, Copier Scanner</t>
  </si>
  <si>
    <t>Ken Heidel</t>
  </si>
  <si>
    <t>Design Ebony Sketching Pencil</t>
  </si>
  <si>
    <t>Ross Baird</t>
  </si>
  <si>
    <t>GBC ProClick 150 Presentation Binding System</t>
  </si>
  <si>
    <t>Woodgrain Magazine Files by Perma</t>
  </si>
  <si>
    <t>Letter Size Cart</t>
  </si>
  <si>
    <t>Mike Kennedy</t>
  </si>
  <si>
    <t>Jacksonville</t>
  </si>
  <si>
    <t>Insertable Tab Post Binder Dividers</t>
  </si>
  <si>
    <t>Philisse Overcash</t>
  </si>
  <si>
    <t>Brenda Bowman</t>
  </si>
  <si>
    <t>Xerox 1897</t>
  </si>
  <si>
    <t>Global Deluxe Steno Chair</t>
  </si>
  <si>
    <t>Aluminum Document Frame</t>
  </si>
  <si>
    <t>Fellowes Bankers Box Staxonsteel Drawer File/Stacking System</t>
  </si>
  <si>
    <t>Eldon Mobile Mega Data Cart  Mega Stackable  Add-On Trays</t>
  </si>
  <si>
    <t>Xerox Color Copier Paper, 11" x 17", Ream</t>
  </si>
  <si>
    <t>Office Star - Ergonomically Designed Knee Chair</t>
  </si>
  <si>
    <t>Avery 520</t>
  </si>
  <si>
    <t>Troy Blackwell</t>
  </si>
  <si>
    <t>GE General Purpose, Extra Long Life, Showcase &amp; Floodlight Incandescent Bulbs</t>
  </si>
  <si>
    <t>Raymond Buch</t>
  </si>
  <si>
    <t>Auburn</t>
  </si>
  <si>
    <t>Newell 345</t>
  </si>
  <si>
    <t>Fellowes Bankers Box Recycled Super Stor/Drawer</t>
  </si>
  <si>
    <t>Boston 1645 Deluxe Heavier-Duty Electric Pencil Sharpener</t>
  </si>
  <si>
    <t>50 Colored Long Pencils</t>
  </si>
  <si>
    <t>Belkin Grip Candy Sheer Case / Cover for iPhone 5 and 5S</t>
  </si>
  <si>
    <t>Ed Braxton</t>
  </si>
  <si>
    <t>Deluxe Rollaway Locking File with Drawer</t>
  </si>
  <si>
    <t>Norman</t>
  </si>
  <si>
    <t>Memorex Mini Travel Drive 16 GB USB 2.0 Flash Drive</t>
  </si>
  <si>
    <t>Sanjit Chand</t>
  </si>
  <si>
    <t>Global Geo Office Task Chair, Gray</t>
  </si>
  <si>
    <t>Hon 4700 Series Mobuis Mid-Back Task Chairs with Adjustable Arms</t>
  </si>
  <si>
    <t>3M Office Air Cleaner</t>
  </si>
  <si>
    <t>Logitech G700s Rechargeable Gaming Mouse</t>
  </si>
  <si>
    <t>Acco D-Ring Binder w/DublLock</t>
  </si>
  <si>
    <t>Tanja Norvell</t>
  </si>
  <si>
    <t>Bush Advantage Collection Racetrack Conference Table</t>
  </si>
  <si>
    <t>Poly Designer Cover &amp; Back</t>
  </si>
  <si>
    <t>Premier Electric Letter Opener</t>
  </si>
  <si>
    <t>Fellowes Premier Superior Surge Suppressor, 10-Outlet, With Phone and Remote</t>
  </si>
  <si>
    <t>Joni Sundaresam</t>
  </si>
  <si>
    <t>Park Ridge</t>
  </si>
  <si>
    <t>Amarillo</t>
  </si>
  <si>
    <t>Bush Mission Pointe Library</t>
  </si>
  <si>
    <t>Cardinal Hold-It CD Pocket</t>
  </si>
  <si>
    <t>Maya Herman</t>
  </si>
  <si>
    <t>Eaton Premium Continuous-Feed Paper, 25% Cotton, Letter Size, White, 1000 Shts/Box</t>
  </si>
  <si>
    <t>Jeremy Pistek</t>
  </si>
  <si>
    <t>SAFCO Boltless Steel Shelving</t>
  </si>
  <si>
    <t>Sauder Mission Library with Doors, Fruitwood Finish</t>
  </si>
  <si>
    <t>Samsung Galaxy Note 3</t>
  </si>
  <si>
    <t>Decoflex Hanging Personal Folder File, Blue</t>
  </si>
  <si>
    <t>Recycled Desk Saver Line "While You Were Out" Book, 5 1/2" X 4"</t>
  </si>
  <si>
    <t>Xerox 1912</t>
  </si>
  <si>
    <t>Cisco SPA525G2 IP Phone - Wireless</t>
  </si>
  <si>
    <t>Jeremy Ellison</t>
  </si>
  <si>
    <t>John Grady</t>
  </si>
  <si>
    <t>Prang Colored Pencils</t>
  </si>
  <si>
    <t>Fellowes Strictly Business Drawer File, Letter/Legal Size</t>
  </si>
  <si>
    <t>Xylona Preis</t>
  </si>
  <si>
    <t>Imation USB 2.0 Swivel Flash Drive USB flash drive - 4 GB - Pink</t>
  </si>
  <si>
    <t>Erin Mull</t>
  </si>
  <si>
    <t>Logitech G602 Wireless Gaming Mouse</t>
  </si>
  <si>
    <t>Michelle Tran</t>
  </si>
  <si>
    <t>Alphabetical Labels for Top Tab Filing</t>
  </si>
  <si>
    <t>O'Sullivan Living Dimensions 2-Shelf Bookcases</t>
  </si>
  <si>
    <t>iHome FM Clock Radio with Lightning Dock</t>
  </si>
  <si>
    <t>Sue Ann Reed</t>
  </si>
  <si>
    <t>Apple iPhone 5S</t>
  </si>
  <si>
    <t>Carl Weiss</t>
  </si>
  <si>
    <t>Huntsville</t>
  </si>
  <si>
    <t>Square Credit Card Reader</t>
  </si>
  <si>
    <t>Logitech M510 Wireless Mouse</t>
  </si>
  <si>
    <t>Astrea Jones</t>
  </si>
  <si>
    <t>Fellowes Officeware Wire Shelving</t>
  </si>
  <si>
    <t>Colored Envelopes</t>
  </si>
  <si>
    <t>Sonia Sunley</t>
  </si>
  <si>
    <t>Sony Micro Vault Click 8 GB USB 2.0 Flash Drive</t>
  </si>
  <si>
    <t>Rose O'Brian</t>
  </si>
  <si>
    <t>Balt Solid Wood Rectangular Table</t>
  </si>
  <si>
    <t>Maribeth Dona</t>
  </si>
  <si>
    <t>Fayetteville</t>
  </si>
  <si>
    <t>Arkansas</t>
  </si>
  <si>
    <t>Strathmore #10 Envelopes, Ultimate White</t>
  </si>
  <si>
    <t>Costa Mesa</t>
  </si>
  <si>
    <t>Clear Mylar Reinforcing Strips</t>
  </si>
  <si>
    <t>Howard Miller 14-1/2" Diameter Chrome Round Wall Clock</t>
  </si>
  <si>
    <t>Deflect-O Glasstique Clear Desk Accessories</t>
  </si>
  <si>
    <t>Maribeth Yedwab</t>
  </si>
  <si>
    <t>Parker</t>
  </si>
  <si>
    <t>Vinyl Sectional Post Binders</t>
  </si>
  <si>
    <t>GBC Standard Therm-A-Bind Covers</t>
  </si>
  <si>
    <t>Global Troy Executive Leather Low-Back Tilter</t>
  </si>
  <si>
    <t>Storex Flexible Poly Binders with Double Pockets</t>
  </si>
  <si>
    <t>White Dual Perf Computer Printout Paper, 2700 Sheets, 1 Part, Heavyweight, 20 lbs., 14 7/8 x 11</t>
  </si>
  <si>
    <t>Christopher Martinez</t>
  </si>
  <si>
    <t>Atlanta</t>
  </si>
  <si>
    <t>Rogers Handheld Barrel Pencil Sharpener</t>
  </si>
  <si>
    <t>Newell 344</t>
  </si>
  <si>
    <t>Personal File Boxes with Fold-Down Carry Handle</t>
  </si>
  <si>
    <t>Fellowes PB500 Electric Punch Plastic Comb Binding Machine with Manual Bind</t>
  </si>
  <si>
    <t>Lynn Smith</t>
  </si>
  <si>
    <t>Executive Impressions Supervisor Wall Clock</t>
  </si>
  <si>
    <t>SanDisk Cruzer 32 GB USB Flash Drive</t>
  </si>
  <si>
    <t>Bradley Nguyen</t>
  </si>
  <si>
    <t>Newell 327</t>
  </si>
  <si>
    <t>Newell 317</t>
  </si>
  <si>
    <t>Great Falls</t>
  </si>
  <si>
    <t>Montana</t>
  </si>
  <si>
    <t>Canon Image Class D660 Copier</t>
  </si>
  <si>
    <t>Advantus Rolling Storage Box</t>
  </si>
  <si>
    <t>Great White Multi-Use Recycled Paper (20Lb. and 84 Bright)</t>
  </si>
  <si>
    <t>Tennsco Single-Tier Lockers</t>
  </si>
  <si>
    <t>Dean Braden</t>
  </si>
  <si>
    <t>Carina Double Wide Media Storage Towers in Natural &amp; Black</t>
  </si>
  <si>
    <t>XtraLife ClearVue Slant-D Ring Binders by Cardinal</t>
  </si>
  <si>
    <t>Matt Connell</t>
  </si>
  <si>
    <t>Motorola HK250 Universal Bluetooth Headset</t>
  </si>
  <si>
    <t>Imation 16GB Mini TravelDrive USB 2.0 Flash Drive</t>
  </si>
  <si>
    <t>Brian Dahlen</t>
  </si>
  <si>
    <t>Lakeland</t>
  </si>
  <si>
    <t>Global Commerce Series High-Back Swivel/Tilt Chairs</t>
  </si>
  <si>
    <t>Mike Gockenbach</t>
  </si>
  <si>
    <t>Eldon Gobal File Keepers</t>
  </si>
  <si>
    <t>Martin Yale Chadless Opener Electric Letter Opener</t>
  </si>
  <si>
    <t>White Business Envelopes with Contemporary Seam, Recycled White Business Envelopes</t>
  </si>
  <si>
    <t>Karen Bern</t>
  </si>
  <si>
    <t>Safco Contoured Stacking Chairs</t>
  </si>
  <si>
    <t>Jasper Cacioppo</t>
  </si>
  <si>
    <t>Tenex Chairmats For Use With Carpeted Floors</t>
  </si>
  <si>
    <t>Rob Lucas</t>
  </si>
  <si>
    <t>Montgomery</t>
  </si>
  <si>
    <t>Panasonic KX-TG9471B</t>
  </si>
  <si>
    <t>Allen Armold</t>
  </si>
  <si>
    <t>Mesa</t>
  </si>
  <si>
    <t>Sterilite Officeware Hinged File Box</t>
  </si>
  <si>
    <t>Emily Phan</t>
  </si>
  <si>
    <t>Premier Elliptical Ring Binder, Black</t>
  </si>
  <si>
    <t>Cardinal Poly Pocket Divider Pockets for Ring Binders</t>
  </si>
  <si>
    <t>Darren Koutras</t>
  </si>
  <si>
    <t>Eureka The Boss Cordless Rechargeable Stick Vac</t>
  </si>
  <si>
    <t>Situations Contoured Folding Chairs, 4/Set</t>
  </si>
  <si>
    <t>Bradley Drucker</t>
  </si>
  <si>
    <t>Green Bay</t>
  </si>
  <si>
    <t>Enermax Aurora Lite Keyboard</t>
  </si>
  <si>
    <t>LG Electronics Tone+ HBS-730 Bluetooth Headset</t>
  </si>
  <si>
    <t>Liz MacKendrick</t>
  </si>
  <si>
    <t>SanDisk Cruzer 64 GB USB Flash Drive</t>
  </si>
  <si>
    <t>Deflect-o EconoMat Studded, No Bevel Mat for Low Pile Carpeting</t>
  </si>
  <si>
    <t>Avery Printable Repositionable Plastic Tabs</t>
  </si>
  <si>
    <t>Xerox 1898</t>
  </si>
  <si>
    <t>Bill Donatelli</t>
  </si>
  <si>
    <t>HON 5400 Series Task Chairs for Big and Tall</t>
  </si>
  <si>
    <t>Howard Miller 11-1/2" Diameter Grantwood Wall Clock</t>
  </si>
  <si>
    <t>Greg Tran</t>
  </si>
  <si>
    <t>Advantus T-Pin Paper Clips</t>
  </si>
  <si>
    <t>Anaheim</t>
  </si>
  <si>
    <t>Tennsco 16-Compartment Lockers with Coat Rack</t>
  </si>
  <si>
    <t>Ashley Jarboe</t>
  </si>
  <si>
    <t>Zebra Zazzle Fluorescent Highlighters</t>
  </si>
  <si>
    <t>Olvera Toch</t>
  </si>
  <si>
    <t>Avery 473</t>
  </si>
  <si>
    <t>Bretford “Just In Time” Height-Adjustable Multi-Task Work Tables</t>
  </si>
  <si>
    <t>Xerox 226</t>
  </si>
  <si>
    <t>Liz Pelletier</t>
  </si>
  <si>
    <t>GBC Prepunched Paper, 19-Hole, for Binding Systems, 24-lb</t>
  </si>
  <si>
    <t>Cynthia Arntzen</t>
  </si>
  <si>
    <t>Advantus Panel Wall Acrylic Frame</t>
  </si>
  <si>
    <t>Jeremy Farry</t>
  </si>
  <si>
    <t>Alliance Big Bands Rubber Bands, 12/Pack</t>
  </si>
  <si>
    <t>Frank Preis</t>
  </si>
  <si>
    <t>Cisco SPA301</t>
  </si>
  <si>
    <t>Ellis Ballard</t>
  </si>
  <si>
    <t>Personal Creations Ink Jet Cards and Labels</t>
  </si>
  <si>
    <t>GBC White Gloss Covers, Plain Front</t>
  </si>
  <si>
    <t>Xerox 222</t>
  </si>
  <si>
    <t>Hon Every-Day Series Multi-Task Chairs</t>
  </si>
  <si>
    <t>Jennifer Ferguson</t>
  </si>
  <si>
    <t>Cush Cases Heavy Duty Rugged Cover Case for Samsung Galaxy S5 - Purple</t>
  </si>
  <si>
    <t>Sarah Foster</t>
  </si>
  <si>
    <t>Marysville</t>
  </si>
  <si>
    <t>Newell 332</t>
  </si>
  <si>
    <t>Trudy Glocke</t>
  </si>
  <si>
    <t>Acme Value Line Scissors</t>
  </si>
  <si>
    <t>Carlos Soltero</t>
  </si>
  <si>
    <t>Contract Clock, 14", Brown</t>
  </si>
  <si>
    <t>Charles Crestani</t>
  </si>
  <si>
    <t>Martin-Yale Premier Letter Opener</t>
  </si>
  <si>
    <t>Dianna Vittorini</t>
  </si>
  <si>
    <t>AT&amp;T SB67148 SynJ</t>
  </si>
  <si>
    <t>Recycled Pressboard Report Cover with Reinforced Top Hinge</t>
  </si>
  <si>
    <t>Bruce Degenhardt</t>
  </si>
  <si>
    <t>Dot Matrix Printer Tape Reel Labels, White, 5000/Box</t>
  </si>
  <si>
    <t>Zuschuss Carroll</t>
  </si>
  <si>
    <t>Salem</t>
  </si>
  <si>
    <t>i.Sound Portable Power - 8000 mAh</t>
  </si>
  <si>
    <t>Xerox 225</t>
  </si>
  <si>
    <t>Xerox 1894</t>
  </si>
  <si>
    <t>Melanie Seite</t>
  </si>
  <si>
    <t>Laredo</t>
  </si>
  <si>
    <t>Newell 312</t>
  </si>
  <si>
    <t>Lena Radford</t>
  </si>
  <si>
    <t>Fellowes Superior 10 Outlet Split Surge Protector</t>
  </si>
  <si>
    <t>Dana Halogen Swing-Arm Architect Lamp</t>
  </si>
  <si>
    <t>Theone Pippenger</t>
  </si>
  <si>
    <t>Acme Stainless Steel Office Snips</t>
  </si>
  <si>
    <t>Chloris Kastensmidt</t>
  </si>
  <si>
    <t>Mophie Juice Pack Helium for iPhone</t>
  </si>
  <si>
    <t>GE 2-Jack Phone Line Splitter</t>
  </si>
  <si>
    <t>Alan Shonely</t>
  </si>
  <si>
    <t>Hot File 7-Pocket, Floor Stand</t>
  </si>
  <si>
    <t>Xerox 1889</t>
  </si>
  <si>
    <t>Andrew Roberts</t>
  </si>
  <si>
    <t>Angle-D Ring Binders</t>
  </si>
  <si>
    <t>Motorola L804</t>
  </si>
  <si>
    <t>Nona Balk</t>
  </si>
  <si>
    <t>Avery 493</t>
  </si>
  <si>
    <t>Giulietta Dortch</t>
  </si>
  <si>
    <t>Xerox 1972</t>
  </si>
  <si>
    <t>Cisco 8x8 Inc. 6753i IP Business Phone System</t>
  </si>
  <si>
    <t>Clytie Kelty</t>
  </si>
  <si>
    <t>Prestige Round Ring Binders</t>
  </si>
  <si>
    <t>Nat Gilpin</t>
  </si>
  <si>
    <t>DAX Metal Frame, Desktop, Stepped-Edge</t>
  </si>
  <si>
    <t>DAX Value U-Channel Document Frames, Easel Back</t>
  </si>
  <si>
    <t>Recycled Easel Ring Binders</t>
  </si>
  <si>
    <t>Grandstream GXP1160 VoIP phone</t>
  </si>
  <si>
    <t>Christina Anderson</t>
  </si>
  <si>
    <t>Cardinal Slant-D Ring Binder, Heavy Gauge Vinyl</t>
  </si>
  <si>
    <t>Sylvia Foulston</t>
  </si>
  <si>
    <t>Dearborn</t>
  </si>
  <si>
    <t>Global Manager's Adjustable Task Chair, Storm</t>
  </si>
  <si>
    <t>Honeywell Enviracaire Portable HEPA Air Cleaner for up to 10 x 16 Room</t>
  </si>
  <si>
    <t>Mini 13-1/2 Capacity Data Binder Rack, Pearl</t>
  </si>
  <si>
    <t>Meg O'Connel</t>
  </si>
  <si>
    <t>Master Caster Door Stop, Brown</t>
  </si>
  <si>
    <t>Annie Thurman</t>
  </si>
  <si>
    <t>Belkin Premiere Surge Master II 8-outlet surge protector</t>
  </si>
  <si>
    <t>Acco Pressboard Covers with Storage Hooks, 9 1/2" x 11", Executive Red</t>
  </si>
  <si>
    <t>Fred McMath</t>
  </si>
  <si>
    <t>Tennsco Regal Shelving Units</t>
  </si>
  <si>
    <t>Imation 32GB Pocket Pro USB 3.0 Flash Drive - 32 GB - Black - 1 P ...</t>
  </si>
  <si>
    <t>Jabra SPEAK 410</t>
  </si>
  <si>
    <t>Verbatim 25 GB 6x Blu-ray Single Layer Recordable Disc, 1/Pack</t>
  </si>
  <si>
    <t>Denny Joy</t>
  </si>
  <si>
    <t>Office Star - Mesh Screen back chair with Vinyl seat</t>
  </si>
  <si>
    <t>Max Engle</t>
  </si>
  <si>
    <t>Premium Transparent Presentation Covers by GBC</t>
  </si>
  <si>
    <t>Tripp Lite TLP810NET Broadband Surge for Modem/Fax</t>
  </si>
  <si>
    <t>Vallejo</t>
  </si>
  <si>
    <t>Wilson Jones Turn Tabs Binder Tool for Ring Binders</t>
  </si>
  <si>
    <t>Justin Deggeller</t>
  </si>
  <si>
    <t>Eldon 200 Class Desk Accessories</t>
  </si>
  <si>
    <t>John Lee</t>
  </si>
  <si>
    <t>Mission Viejo</t>
  </si>
  <si>
    <t>Economy Rollaway Files</t>
  </si>
  <si>
    <t>Avery 480</t>
  </si>
  <si>
    <t>Sean Christensen</t>
  </si>
  <si>
    <t>Plainfield</t>
  </si>
  <si>
    <t>Xerox 1993</t>
  </si>
  <si>
    <t>Chuck Clark</t>
  </si>
  <si>
    <t>Eureka The Boss Plus 12-Amp Hard Box Upright Vacuum, Red</t>
  </si>
  <si>
    <t>Sierra Vista</t>
  </si>
  <si>
    <t>Belkin F9H710-06 7 Outlet SurgeMaster Surge Protector</t>
  </si>
  <si>
    <t>Anthony Rawles</t>
  </si>
  <si>
    <t>First Data FD10 PIN Pad</t>
  </si>
  <si>
    <t>Steven Roelle</t>
  </si>
  <si>
    <t>Sony 16GB Class 10 Micro SDHC R40 Memory Card</t>
  </si>
  <si>
    <t>Craig Reiter</t>
  </si>
  <si>
    <t>Tripp Lite Isotel 8 Ultra 8 Outlet Metal Surge</t>
  </si>
  <si>
    <t>Avery Durable Poly Binders</t>
  </si>
  <si>
    <t>Airmail Envelopes</t>
  </si>
  <si>
    <t>Eugene Hildebrand</t>
  </si>
  <si>
    <t>Space Solutions Commercial Steel Shelving</t>
  </si>
  <si>
    <t>Sibella Parks</t>
  </si>
  <si>
    <t>Tiffany House</t>
  </si>
  <si>
    <t>Acme Tagit Stainless Steel Antibacterial Scissors</t>
  </si>
  <si>
    <t>ClearOne Communications CHAT 70 OC Speaker Phone</t>
  </si>
  <si>
    <t>Resi Pölking</t>
  </si>
  <si>
    <t>Cleveland</t>
  </si>
  <si>
    <t>Master Giant Foot Doorstop, Safety Yellow</t>
  </si>
  <si>
    <t>12-1/2 Diameter Round Wall Clock</t>
  </si>
  <si>
    <t>Chromcraft Bull-Nose Wood Round Conference Table Top, Wood Base</t>
  </si>
  <si>
    <t>Adams Telephone Message Book W/Dividers/Space For Phone Numbers, 5 1/4"X8 1/2", 200/Messages</t>
  </si>
  <si>
    <t>Newell 331</t>
  </si>
  <si>
    <t>Rob Beeghly</t>
  </si>
  <si>
    <t>Kensington 6 Outlet Guardian Standard Surge Protector</t>
  </si>
  <si>
    <t>Southworth 100% Résumé Paper, 24lb.</t>
  </si>
  <si>
    <t>Carol Darley</t>
  </si>
  <si>
    <t>Hoover Portapower Portable Vacuum</t>
  </si>
  <si>
    <t>Verbatim 25 GB 6x Blu-ray Single Layer Recordable Disc, 10/Pack</t>
  </si>
  <si>
    <t>Howard Miller 13-1/2" Diameter Rosebrook Wall Clock</t>
  </si>
  <si>
    <t>Ibico Hi-Tech Manual Binding System</t>
  </si>
  <si>
    <t>Avery Hanging File Binders</t>
  </si>
  <si>
    <t>Fellowes Neat Ideas Storage Cubes</t>
  </si>
  <si>
    <t>Grant Thornton</t>
  </si>
  <si>
    <t>Burlington</t>
  </si>
  <si>
    <t>Michael Chen</t>
  </si>
  <si>
    <t>Avery 516</t>
  </si>
  <si>
    <t>Ralph Arnett</t>
  </si>
  <si>
    <t>Bush Andora Bookcase, Maple/Graphite Gray Finish</t>
  </si>
  <si>
    <t>Naresj Patel</t>
  </si>
  <si>
    <t>Waynesboro</t>
  </si>
  <si>
    <t>Luxo Professional Magnifying Clamp-On Fluorescent Lamps</t>
  </si>
  <si>
    <t>Recycled Eldon Regeneration Jumbo File</t>
  </si>
  <si>
    <t>Alan Barnes</t>
  </si>
  <si>
    <t>Imation Bio 8GB USB Flash Drive Imation Corp</t>
  </si>
  <si>
    <t>Xerox 1977</t>
  </si>
  <si>
    <t>Jesus Ocampo</t>
  </si>
  <si>
    <t>Chester</t>
  </si>
  <si>
    <t>Avery 490</t>
  </si>
  <si>
    <t>Avery 4027 File Folder Labels for Dot Matrix Printers, 5000 Labels per Box, White</t>
  </si>
  <si>
    <t>GBC Linen Binding Covers</t>
  </si>
  <si>
    <t>Tenex "The Solids" Textured Chair Mats</t>
  </si>
  <si>
    <t>Jay Kimmel</t>
  </si>
  <si>
    <t>Laminate Occasional Tables</t>
  </si>
  <si>
    <t>Brad Norvell</t>
  </si>
  <si>
    <t>Cary</t>
  </si>
  <si>
    <t>Xerox 220</t>
  </si>
  <si>
    <t>Fellowes 8 Outlet Superior Workstation Surge Protector</t>
  </si>
  <si>
    <t>David Philippe</t>
  </si>
  <si>
    <t>O'Sullivan Living Dimensions 5-Shelf Bookcases</t>
  </si>
  <si>
    <t>Tracy Hopkins</t>
  </si>
  <si>
    <t>Arthur Prichep</t>
  </si>
  <si>
    <t>Palm Coast</t>
  </si>
  <si>
    <t>#10- 4 1/8" x 9 1/2" Security-Tint Envelopes</t>
  </si>
  <si>
    <t>Roland Schwarz</t>
  </si>
  <si>
    <t>Mount Vernon</t>
  </si>
  <si>
    <t>Bionaire Personal Warm Mist Humidifier/Vaporizer</t>
  </si>
  <si>
    <t>Logitech Wireless Performance Mouse MX for PC and Mac</t>
  </si>
  <si>
    <t>Cardinal Holdit Business Card Pockets</t>
  </si>
  <si>
    <t>Seth Vernon</t>
  </si>
  <si>
    <t>Howard Miller 13" Diameter Pewter Finish Round Wall Clock</t>
  </si>
  <si>
    <t>Christine Kargatis</t>
  </si>
  <si>
    <t>Ross DeVincentis</t>
  </si>
  <si>
    <t>Chromcraft Bull-Nose Wood Oval Conference Tables &amp; Bases</t>
  </si>
  <si>
    <t>Recycled Data-Pak for Archival Bound Computer Printouts, 12-1/2 x 12-1/2 x 16</t>
  </si>
  <si>
    <t>Mathew Reese</t>
  </si>
  <si>
    <t>Seth Thomas 16" Steel Case Clock</t>
  </si>
  <si>
    <t>Steve Chapman</t>
  </si>
  <si>
    <t>Hialeah</t>
  </si>
  <si>
    <t>Acme Softgrip Scissors</t>
  </si>
  <si>
    <t>Jay Fein</t>
  </si>
  <si>
    <t>Manila Recycled Extra-Heavyweight Clasp Envelopes, 6" x 9"</t>
  </si>
  <si>
    <t>ClearSounds CSC500 Amplified Spirit Phone Corded phone</t>
  </si>
  <si>
    <t>Emily Grady</t>
  </si>
  <si>
    <t>Oceanside</t>
  </si>
  <si>
    <t>Xerox 1964</t>
  </si>
  <si>
    <t>Bevis Traditional Conference Table Top, Plinth Base</t>
  </si>
  <si>
    <t>Personal Folder Holder, Ebony</t>
  </si>
  <si>
    <t>Darrin Sayre</t>
  </si>
  <si>
    <t>Logitech Illuminated - Keyboard</t>
  </si>
  <si>
    <t>O'Sullivan Cherrywood Estates Traditional Bookcase</t>
  </si>
  <si>
    <t>Acco Translucent Poly Ring Binders</t>
  </si>
  <si>
    <t>Logitech Wireless Touch Keyboard K400</t>
  </si>
  <si>
    <t>Phillina Ober</t>
  </si>
  <si>
    <t>Avery 508</t>
  </si>
  <si>
    <t>GBC Standard Plastic Binding Systems Combs</t>
  </si>
  <si>
    <t>Sung Shariari</t>
  </si>
  <si>
    <t>Xerox 196</t>
  </si>
  <si>
    <t>Fiskars 8" Scissors, 2/Pack</t>
  </si>
  <si>
    <t>Peter Bühler</t>
  </si>
  <si>
    <t>Evanston</t>
  </si>
  <si>
    <t>Belkin iPhone and iPad Lightning Cable</t>
  </si>
  <si>
    <t>Roland Fjeld</t>
  </si>
  <si>
    <t>Trenton</t>
  </si>
  <si>
    <t>GBC Durable Plastic Covers</t>
  </si>
  <si>
    <t>Nu-Dell Leatherette Frames</t>
  </si>
  <si>
    <t>Avery Durable Binders</t>
  </si>
  <si>
    <t>Yoseph Carroll</t>
  </si>
  <si>
    <t>Hewlett Packard 610 Color Digital Copier / Printer</t>
  </si>
  <si>
    <t>Chromcraft Round Conference Tables</t>
  </si>
  <si>
    <t>Debra Catini</t>
  </si>
  <si>
    <t>Christine Phan</t>
  </si>
  <si>
    <t>Barry Französisch</t>
  </si>
  <si>
    <t>Avery 476</t>
  </si>
  <si>
    <t>Lisa Hazard</t>
  </si>
  <si>
    <t>Chris Selesnick</t>
  </si>
  <si>
    <t>Bossier City</t>
  </si>
  <si>
    <t>Brown Kraft Recycled Envelopes</t>
  </si>
  <si>
    <t>Plantronics S12 Corded Telephone Headset System</t>
  </si>
  <si>
    <t>3-ring staple pack</t>
  </si>
  <si>
    <t>Fellowes Stor/Drawer Steel Plus Storage Drawers</t>
  </si>
  <si>
    <t>Anthony Johnson</t>
  </si>
  <si>
    <t>Electrix Halogen Magnifier Lamp</t>
  </si>
  <si>
    <t>Hon 4070 Series Pagoda Round Back Stacking Chairs</t>
  </si>
  <si>
    <t>Benjamin Venier</t>
  </si>
  <si>
    <t>Cardinal EasyOpen D-Ring Binders</t>
  </si>
  <si>
    <t>GBC Instant Report Kit</t>
  </si>
  <si>
    <t>Boston 19500 Mighty Mite Electric Pencil Sharpener</t>
  </si>
  <si>
    <t>C-Line Magnetic Cubicle Keepers, Clear Polypropylene</t>
  </si>
  <si>
    <t>Dan Lawera</t>
  </si>
  <si>
    <t>Dixon My First Ticonderoga Pencil, #2</t>
  </si>
  <si>
    <t>Hon GuestStacker Chair</t>
  </si>
  <si>
    <t>Xerox 1927</t>
  </si>
  <si>
    <t>Bryan Mills</t>
  </si>
  <si>
    <t>Safco Value Mate Series Steel Bookcases, Baked Enamel Finish on Steel, Gray</t>
  </si>
  <si>
    <t>Microsoft Natural Ergonomic Keyboard 4000</t>
  </si>
  <si>
    <t>Cameo Buff Policy Envelopes</t>
  </si>
  <si>
    <t>Lancaster</t>
  </si>
  <si>
    <t>Heavy-Duty E-Z-D Binders</t>
  </si>
  <si>
    <t>Liz Thompson</t>
  </si>
  <si>
    <t>Lifetime Advantage Folding Chairs, 4/Carton</t>
  </si>
  <si>
    <t>Acco PRESSTEX Data Binder with Storage Hooks, Dark Blue, 9 1/2" X 11"</t>
  </si>
  <si>
    <t>Office Star - Contemporary Task Swivel Chair</t>
  </si>
  <si>
    <t>Joe Kamberova</t>
  </si>
  <si>
    <t>Asheville</t>
  </si>
  <si>
    <t>Cisco Unified IP Phone 7945G VoIP phone</t>
  </si>
  <si>
    <t>Erica Smith</t>
  </si>
  <si>
    <t>Avery 499</t>
  </si>
  <si>
    <t>Rick Hansen</t>
  </si>
  <si>
    <t>Xerox 1887</t>
  </si>
  <si>
    <t>Smead Alpha-Z Color-Coded Second Alphabetical Labels and Starter Set</t>
  </si>
  <si>
    <t>Carlos Daly</t>
  </si>
  <si>
    <t>Helen Wasserman</t>
  </si>
  <si>
    <t>Executive Impressions 14" Contract Wall Clock</t>
  </si>
  <si>
    <t>Belkin 7 Outlet SurgeMaster II</t>
  </si>
  <si>
    <t>Mike Caudle</t>
  </si>
  <si>
    <t>Xerox 218</t>
  </si>
  <si>
    <t>Gary McGarr</t>
  </si>
  <si>
    <t>Eldon Stackable Tray, Side-Load, Legal, Smoke</t>
  </si>
  <si>
    <t>Model L Table or Wall-Mount Pencil Sharpener</t>
  </si>
  <si>
    <t>ClearOne CHATAttach 160 - speaker phone</t>
  </si>
  <si>
    <t>Omaha</t>
  </si>
  <si>
    <t xml:space="preserve">Kensington SlimBlade Notebook Wireless Mouse with Nano Receiver </t>
  </si>
  <si>
    <t>Edmonds</t>
  </si>
  <si>
    <t>Newell 32</t>
  </si>
  <si>
    <t>Belkin F9G930V10-GRY 9 Outlet Surge</t>
  </si>
  <si>
    <t>Pauline Johnson</t>
  </si>
  <si>
    <t>Santa Ana</t>
  </si>
  <si>
    <t>Razer Tiamat Over Ear 7.1 Surround Sound PC Gaming Headset</t>
  </si>
  <si>
    <t>Bart Watters</t>
  </si>
  <si>
    <t>Milwaukee</t>
  </si>
  <si>
    <t>Xerox 1968</t>
  </si>
  <si>
    <t>Self-Adhesive Ring Binder Labels</t>
  </si>
  <si>
    <t>Global Leather Executive Chair</t>
  </si>
  <si>
    <t>GBC Recycled Grain Textured Covers</t>
  </si>
  <si>
    <t>Xerox 1941</t>
  </si>
  <si>
    <t>Toby Ritter</t>
  </si>
  <si>
    <t>Razer Kraken PRO Over Ear PC and Music Headset</t>
  </si>
  <si>
    <t>Patrick Gardner</t>
  </si>
  <si>
    <t>Kingston Digital DataTraveler 32GB USB 2.0</t>
  </si>
  <si>
    <t>Advantus Plastic Paper Clips</t>
  </si>
  <si>
    <t>Acme Forged Steel Scissors with Black Enamel Handles</t>
  </si>
  <si>
    <t>Security-Tint Envelopes</t>
  </si>
  <si>
    <t>Florence</t>
  </si>
  <si>
    <t>Global Airflow Leather Mesh Back Chair, Black</t>
  </si>
  <si>
    <t>Pyle PMP37LED</t>
  </si>
  <si>
    <t>Clarity 53712</t>
  </si>
  <si>
    <t>Boston 16801 Nautilus Battery Pencil Sharpener</t>
  </si>
  <si>
    <t>Holmes Replacement Filter for HEPA Air Cleaner, Large Room</t>
  </si>
  <si>
    <t>Zebra GX420t Direct Thermal/Thermal Transfer Printer</t>
  </si>
  <si>
    <t>GBC ProClick Punch Binding System</t>
  </si>
  <si>
    <t>James Lanier</t>
  </si>
  <si>
    <t>Adams Telephone Message Books, 5 1/4” x 11”</t>
  </si>
  <si>
    <t>Brian Moss</t>
  </si>
  <si>
    <t>Newell 335</t>
  </si>
  <si>
    <t>O'Sullivan 3-Shelf Heavy-Duty Bookcases</t>
  </si>
  <si>
    <t>Eudokia Martin</t>
  </si>
  <si>
    <t>Fellowes Binding Cases</t>
  </si>
  <si>
    <t>Ibico Plastic and Wire Spiral Binding Combs</t>
  </si>
  <si>
    <t>Acme Preferred Stainless Steel Scissors</t>
  </si>
  <si>
    <t>Avery 486</t>
  </si>
  <si>
    <t>Art Foster</t>
  </si>
  <si>
    <t>Guy Armstrong</t>
  </si>
  <si>
    <t>Lorain</t>
  </si>
  <si>
    <t>Linden 10" Round Wall Clock, Black</t>
  </si>
  <si>
    <t>Cyma Kinney</t>
  </si>
  <si>
    <t>Maxell DVD-RAM Discs</t>
  </si>
  <si>
    <t>Dave Poirier</t>
  </si>
  <si>
    <t>Salinas</t>
  </si>
  <si>
    <t>DIXON Oriole Pencils</t>
  </si>
  <si>
    <t>Xerox 202</t>
  </si>
  <si>
    <t>Berenike Kampe</t>
  </si>
  <si>
    <t>Xerox 1884</t>
  </si>
  <si>
    <t>Acme Box Cutter Scissors</t>
  </si>
  <si>
    <t>Staple magnet</t>
  </si>
  <si>
    <t>Sanjit Jacobs</t>
  </si>
  <si>
    <t>Chuck Magee</t>
  </si>
  <si>
    <t>Deluxe Chalkboard Eraser Cleaner</t>
  </si>
  <si>
    <t>Logitech MX Performance Wireless Mouse</t>
  </si>
  <si>
    <t>Logitech B530 USB Headset - headset - Full size, Binaural</t>
  </si>
  <si>
    <t>Anthony Jacobs</t>
  </si>
  <si>
    <t>Howard Miller 11-1/2" Diameter Ridgewood Wall Clock</t>
  </si>
  <si>
    <t>Linda Southworth</t>
  </si>
  <si>
    <t>Avery 483</t>
  </si>
  <si>
    <t>Large Capacity Hanging Post Binders</t>
  </si>
  <si>
    <t>GBC Ibimaster 500 Manual ProClick Binding System</t>
  </si>
  <si>
    <t>New Hampshire</t>
  </si>
  <si>
    <t>Southworth 100% Cotton The Best Paper</t>
  </si>
  <si>
    <t>Sally Matthias</t>
  </si>
  <si>
    <t>Xerox 1910</t>
  </si>
  <si>
    <t>Logitech G19 Programmable Gaming Keyboard</t>
  </si>
  <si>
    <t>Anthony Garverick</t>
  </si>
  <si>
    <t>Acco Pressboard Covers with Storage Hooks, 14 7/8" x 11", Light Blue</t>
  </si>
  <si>
    <t>Lock-Up Easel 'Spel-Binder'</t>
  </si>
  <si>
    <t>Peter McVee</t>
  </si>
  <si>
    <t>Lauren Leatherbury</t>
  </si>
  <si>
    <t>Dax Clear Box Frame</t>
  </si>
  <si>
    <t>Jill Stevenson</t>
  </si>
  <si>
    <t>Fellowes Black Plastic Comb Bindings</t>
  </si>
  <si>
    <t>Eldon Shelf Savers Cubes and Bins</t>
  </si>
  <si>
    <t>Maryland</t>
  </si>
  <si>
    <t xml:space="preserve">Anker Ultrathin Bluetooth Wireless Keyboard Aluminum Cover with Stand </t>
  </si>
  <si>
    <t>Ampad Poly Cover Wirebound Steno Book, 6" x 9" Assorted Colors, Gregg Ruled</t>
  </si>
  <si>
    <t>Fluorescent Highlighters by Dixon</t>
  </si>
  <si>
    <t>Nortel Networks T7316 E Nt8 B27</t>
  </si>
  <si>
    <t>Pamela Coakley</t>
  </si>
  <si>
    <t>Binding Machine Supplies</t>
  </si>
  <si>
    <t>Hunter Lopez</t>
  </si>
  <si>
    <t>Maribeth Schnelling</t>
  </si>
  <si>
    <t>George Bell</t>
  </si>
  <si>
    <t>Things To Do Today Pad</t>
  </si>
  <si>
    <t>Justin Ritter</t>
  </si>
  <si>
    <t>Wilson Jones Hanging Recycled Pressboard Data Binders</t>
  </si>
  <si>
    <t>Garland</t>
  </si>
  <si>
    <t>Permanent Self-Adhesive File Folder Labels for Typewriters by Universal</t>
  </si>
  <si>
    <t>Deluxe Heavy-Duty Vinyl Round Ring Binder</t>
  </si>
  <si>
    <t>Xerox 1923</t>
  </si>
  <si>
    <t>Xerox 1931</t>
  </si>
  <si>
    <t>Bush Westfield Collection Bookcases, Fully Assembled</t>
  </si>
  <si>
    <t>Gear Head AU3700S Headset</t>
  </si>
  <si>
    <t>Wilson Jones Legal Size Ring Binders</t>
  </si>
  <si>
    <t>Bill Eplett</t>
  </si>
  <si>
    <t>Polycom CX600 IP Phone VoIP phone</t>
  </si>
  <si>
    <t>Maxell iVDR EX 500GB Cartridge</t>
  </si>
  <si>
    <t>Fellowes High-Stak Drawer Files</t>
  </si>
  <si>
    <t>Sample Company A</t>
  </si>
  <si>
    <t>Norwich</t>
  </si>
  <si>
    <t>Lesro Sheffield Collection Coffee Table, End Table, Center Table, Corner Table</t>
  </si>
  <si>
    <t>Rob Williams</t>
  </si>
  <si>
    <t>Acco Perma 4000 Stacking Storage Drawers</t>
  </si>
  <si>
    <t>Alexandria</t>
  </si>
  <si>
    <t>Sanjit Engle</t>
  </si>
  <si>
    <t>Maxell 4.7GB DVD-R</t>
  </si>
  <si>
    <t>OtterBox Commuter Series Case - iPhone 5 &amp; 5s</t>
  </si>
  <si>
    <t>Kensington 4 Outlet MasterPiece Compact Power Control Center</t>
  </si>
  <si>
    <t>Adam Hart</t>
  </si>
  <si>
    <t>Jessica Myrick</t>
  </si>
  <si>
    <t>Hypercom P1300 Pinpad</t>
  </si>
  <si>
    <t>Joel Jenkins</t>
  </si>
  <si>
    <t>Toledo</t>
  </si>
  <si>
    <t>Sanford Prismacolor Professional Thick Lead Art Pencils, 36-Color Set</t>
  </si>
  <si>
    <t>RSVP Cards &amp; Envelopes, Blank White, 8-1/2" X 11", 24 Cards/25 Envelopes/Set</t>
  </si>
  <si>
    <t>Catherine Glotzbach</t>
  </si>
  <si>
    <t>Wirebound Message Books, 2 7/8" x 5", 3 Forms per Page</t>
  </si>
  <si>
    <t>JM Magazine Binder</t>
  </si>
  <si>
    <t>Rachel Payne</t>
  </si>
  <si>
    <t>Riverside</t>
  </si>
  <si>
    <t>Xerox 213</t>
  </si>
  <si>
    <t>Fellowes 8 Outlet Superior Workstation Surge Protector w/o Phone/Fax/Modem Protection</t>
  </si>
  <si>
    <t>Karen Carlisle</t>
  </si>
  <si>
    <t>Torrance</t>
  </si>
  <si>
    <t>Acco Pressboard Covers with Storage Hooks, 14 7/8" x 11", Dark Blue</t>
  </si>
  <si>
    <t>Standard Rollaway File with Lock</t>
  </si>
  <si>
    <t>Avery Trapezoid Extra Heavy Duty 4" Binders</t>
  </si>
  <si>
    <t>Bevis Boat-Shaped Conference Table</t>
  </si>
  <si>
    <t>Deflect-o RollaMat Studded, Beveled Mat for Medium Pile Carpeting</t>
  </si>
  <si>
    <t>Riverside Furniture Oval Coffee Table, Oval End Table, End Table with Drawer</t>
  </si>
  <si>
    <t>Xerox 210</t>
  </si>
  <si>
    <t>Katherine Hughes</t>
  </si>
  <si>
    <t>Greg Hansen</t>
  </si>
  <si>
    <t>Round Rock</t>
  </si>
  <si>
    <t>Scott Williamson</t>
  </si>
  <si>
    <t>Joseph Airdo</t>
  </si>
  <si>
    <t>Avery Durable Slant Ring Binders</t>
  </si>
  <si>
    <t>Daniel Lacy</t>
  </si>
  <si>
    <t>Luxo Professional Combination Clamp-On Lamps</t>
  </si>
  <si>
    <t>Lindsay Williams</t>
  </si>
  <si>
    <t>Thomas Brumley</t>
  </si>
  <si>
    <t>Zipper Ring Binder Pockets</t>
  </si>
  <si>
    <t>Boca Raton</t>
  </si>
  <si>
    <t>Avery File Folder Labels</t>
  </si>
  <si>
    <t>Color-Coded Legal Exhibit Labels</t>
  </si>
  <si>
    <t>Xerox 212</t>
  </si>
  <si>
    <t>Office Impressions Heavy Duty Welded Shelving &amp; Multimedia Storage Drawers</t>
  </si>
  <si>
    <t>DAX Black Cherry Wood-Tone Poster Frame</t>
  </si>
  <si>
    <t>Wilson Jones Easy Flow II Sheet Lifters</t>
  </si>
  <si>
    <t>Robert Waldorf</t>
  </si>
  <si>
    <t>Xerox 188</t>
  </si>
  <si>
    <t>Tracy Zic</t>
  </si>
  <si>
    <t>BIC Brite Liner Grip Highlighters, Assorted, 5/Pack</t>
  </si>
  <si>
    <t>Samsung Galaxy S III - 16GB - pebble blue (T-Mobile)</t>
  </si>
  <si>
    <t>Ann Steele</t>
  </si>
  <si>
    <t>#10- 4 1/8" x 9 1/2" Recycled Envelopes</t>
  </si>
  <si>
    <t>Toby Swindell</t>
  </si>
  <si>
    <t>Acco Suede Grain Vinyl Round Ring Binder</t>
  </si>
  <si>
    <t>Bulldog Table or Wall-Mount Pencil Sharpener</t>
  </si>
  <si>
    <t>Sara Luxemburg</t>
  </si>
  <si>
    <t>Xerox 1979</t>
  </si>
  <si>
    <t>Mitch Willingham</t>
  </si>
  <si>
    <t>Virginia Beach</t>
  </si>
  <si>
    <t>Fellowes PB300 Plastic Comb Binding Machine</t>
  </si>
  <si>
    <t>Plantronics Voyager Pro Legend</t>
  </si>
  <si>
    <t>Rob Dowd</t>
  </si>
  <si>
    <t>Laser &amp; Ink Jet Business Envelopes</t>
  </si>
  <si>
    <t>Portable Personal File Box</t>
  </si>
  <si>
    <t>Magna Visual Magnetic Picture Hangers</t>
  </si>
  <si>
    <t>Plantronics CS510 - Over-the-Head monaural Wireless Headset System</t>
  </si>
  <si>
    <t>Ryan Akin</t>
  </si>
  <si>
    <t>Fellowes Super Stor/Drawer Files</t>
  </si>
  <si>
    <t>Meg Tillman</t>
  </si>
  <si>
    <t>UniKeep View Case Binders</t>
  </si>
  <si>
    <t>Vivek Gonzalez</t>
  </si>
  <si>
    <t>Eldon Delta Triangular Chair Mat, 52" x 58", Clear</t>
  </si>
  <si>
    <t>Olympia</t>
  </si>
  <si>
    <t>Project Tote Personal File</t>
  </si>
  <si>
    <t>John Stevenson</t>
  </si>
  <si>
    <t>Enermax Acrylux Wireless Keyboard</t>
  </si>
  <si>
    <t>Kalyca Meade</t>
  </si>
  <si>
    <t>G.E. Halogen Desk Lamp Bulbs</t>
  </si>
  <si>
    <t>OtterBox Commuter Series Case - Samsung Galaxy S4</t>
  </si>
  <si>
    <t xml:space="preserve">Iceberg Mobile Mega Data/Printer Cart </t>
  </si>
  <si>
    <t>District of Columbia</t>
  </si>
  <si>
    <t>Staples in misc. colors</t>
  </si>
  <si>
    <t>Global Comet Stacking Arm Chair</t>
  </si>
  <si>
    <t>Peel &amp; Seel Envelopes</t>
  </si>
  <si>
    <t>Hallie Redmond</t>
  </si>
  <si>
    <t>GBC Plastic Binding Combs</t>
  </si>
  <si>
    <t>Deanra Eno</t>
  </si>
  <si>
    <t>Xerox 2</t>
  </si>
  <si>
    <t>Xerox 1935</t>
  </si>
  <si>
    <t>Cyber Acoustics AC-202b Speech Recognition Stereo Headset</t>
  </si>
  <si>
    <t>Cisco SPA508G</t>
  </si>
  <si>
    <t>Avery 514</t>
  </si>
  <si>
    <t>Allen Goldenen</t>
  </si>
  <si>
    <t>Southworth 25% Cotton Granite Paper &amp; Envelopes</t>
  </si>
  <si>
    <t>Eldon Advantage Chair Mats for Low to Medium Pile Carpets</t>
  </si>
  <si>
    <t>Jennifer Jackson</t>
  </si>
  <si>
    <t>Aluminum Screw Posts</t>
  </si>
  <si>
    <t>Jennifer Halladay</t>
  </si>
  <si>
    <t>Newell 336</t>
  </si>
  <si>
    <t>Robert Dilbeck</t>
  </si>
  <si>
    <t>Mary O'Rourke</t>
  </si>
  <si>
    <t>Maxell 4.7GB DVD+RW 3/Pack</t>
  </si>
  <si>
    <t>Atlantic Metals Mobile 5-Shelf Bookcases, Custom Colors</t>
  </si>
  <si>
    <t>Noel Staavos</t>
  </si>
  <si>
    <t>Quartet Alpha White Chalk, 12/Pack</t>
  </si>
  <si>
    <t>Belkin F9S820V06 8 Outlet Surge</t>
  </si>
  <si>
    <t>Rockford</t>
  </si>
  <si>
    <t>Global Stack Chair without Arms, Black</t>
  </si>
  <si>
    <t>Deirdre Greer</t>
  </si>
  <si>
    <t>Eldon Antistatic Chair Mats for Low to Medium Pile Carpets</t>
  </si>
  <si>
    <t>Important Message Pads, 50 4-1/4 x 5-1/2 Forms per Pad</t>
  </si>
  <si>
    <t>Nicole Fjeld</t>
  </si>
  <si>
    <t>DIXON Ticonderoga Erasable Checking Pencils</t>
  </si>
  <si>
    <t>Eldon Advantage Foldable Chair Mats for Low Pile Carpets</t>
  </si>
  <si>
    <t>Avery Round Ring Poly Binders</t>
  </si>
  <si>
    <t>Avery Hole Reinforcements</t>
  </si>
  <si>
    <t>Wilson Jones Ledger-Size, Piano-Hinge Binder, 2", Blue</t>
  </si>
  <si>
    <t>Matthew Grinstein</t>
  </si>
  <si>
    <t>Theresa Swint</t>
  </si>
  <si>
    <t>Super Bands, 12/Pack</t>
  </si>
  <si>
    <t>Plantronics 81402</t>
  </si>
  <si>
    <t>Assorted Color Push Pins</t>
  </si>
  <si>
    <t>GBC Velobind Prepunched Cover Sets, Regency Series</t>
  </si>
  <si>
    <t>Brian DeCherney</t>
  </si>
  <si>
    <t>Charles McCrossin</t>
  </si>
  <si>
    <t>Brownsville</t>
  </si>
  <si>
    <t>Skye Norling</t>
  </si>
  <si>
    <t>Erica Hernandez</t>
  </si>
  <si>
    <t>Frank Olsen</t>
  </si>
  <si>
    <t>3M Organizer Strips</t>
  </si>
  <si>
    <t>Maurice Satty</t>
  </si>
  <si>
    <t>Avery Durable Slant Ring Binders With Label Holder</t>
  </si>
  <si>
    <t>Micropad Numeric Keypads</t>
  </si>
  <si>
    <t>Chad Cunningham</t>
  </si>
  <si>
    <t>Newell 328</t>
  </si>
  <si>
    <t>Don Weiss</t>
  </si>
  <si>
    <t>Belkin 8 Outlet SurgeMaster II Gold Surge Protector</t>
  </si>
  <si>
    <t>Bill Tyler</t>
  </si>
  <si>
    <t>Global High-Back Leather Tilter, Burgundy</t>
  </si>
  <si>
    <t>Yonkers</t>
  </si>
  <si>
    <t>Ativa V4110MDD Micro-Cut Shredder</t>
  </si>
  <si>
    <t>Xerox 224</t>
  </si>
  <si>
    <t>Craig Yedwab</t>
  </si>
  <si>
    <t>Oakland</t>
  </si>
  <si>
    <t>Avery 488</t>
  </si>
  <si>
    <t>Innergie mMini Combo Duo USB Travel Charging Kit</t>
  </si>
  <si>
    <t>Stanley Contemporary Battery Pencil Sharpeners</t>
  </si>
  <si>
    <t>AT&amp;T 1080 Corded phone</t>
  </si>
  <si>
    <t>Brad Thomas</t>
  </si>
  <si>
    <t>Clinton</t>
  </si>
  <si>
    <t>Xerox 1950</t>
  </si>
  <si>
    <t>Penelope Sewall</t>
  </si>
  <si>
    <t>Fellowes Mobile File Cart, Black</t>
  </si>
  <si>
    <t>GBC Recycled VeloBinder Covers</t>
  </si>
  <si>
    <t>Hon 4060 Series Tables</t>
  </si>
  <si>
    <t>Paul Van Hugh</t>
  </si>
  <si>
    <t>Newell 326</t>
  </si>
  <si>
    <t>Logitech ClearChat Comfort/USB Headset H390</t>
  </si>
  <si>
    <t>Newell 346</t>
  </si>
  <si>
    <t>Neoma Murray</t>
  </si>
  <si>
    <t>Rediform Wirebound "Phone Memo" Message Book, 11 x 5-3/4</t>
  </si>
  <si>
    <t>GBC Standard Recycled Report Covers, Clear Plastic Sheets</t>
  </si>
  <si>
    <t>Recycled Interoffice Envelopes with Re-Use-A-Seal Closure, 10 x 13</t>
  </si>
  <si>
    <t>invisibleSHIELD by ZAGG Smudge-Free Screen Protector</t>
  </si>
  <si>
    <t>Xerox 1905</t>
  </si>
  <si>
    <t>Encinitas</t>
  </si>
  <si>
    <t>Dionis Lloyd</t>
  </si>
  <si>
    <t>Christine Sundaresam</t>
  </si>
  <si>
    <t>Roswell</t>
  </si>
  <si>
    <t>Ampad Evidence Wirebond Steno Books, 6" x 9"</t>
  </si>
  <si>
    <t>Jonesboro</t>
  </si>
  <si>
    <t>Apple iPhone 5C</t>
  </si>
  <si>
    <t>Newell 351</t>
  </si>
  <si>
    <t>KI Adjustable-Height Table</t>
  </si>
  <si>
    <t>Xerox 1945</t>
  </si>
  <si>
    <t>Avery 502</t>
  </si>
  <si>
    <t>Homestead</t>
  </si>
  <si>
    <t>Steel Personal Filing/Posting Tote</t>
  </si>
  <si>
    <t>Frank Hawley</t>
  </si>
  <si>
    <t>La Porte</t>
  </si>
  <si>
    <t>Tyvek  Top-Opening Peel &amp; Seel  Envelopes, Gray</t>
  </si>
  <si>
    <t>Cardinal Slant-D Ring Binders</t>
  </si>
  <si>
    <t>Stockwell Push Pins</t>
  </si>
  <si>
    <t>Star Micronics TSP800 TSP847IIU Receipt Printer</t>
  </si>
  <si>
    <t>Nat Carroll</t>
  </si>
  <si>
    <t>Lansing</t>
  </si>
  <si>
    <t>Hoover Shoulder Vac Commercial Portable Vacuum</t>
  </si>
  <si>
    <t>Acco Expandable Hanging Binders</t>
  </si>
  <si>
    <t>Shocksock Galaxy S4 Armband</t>
  </si>
  <si>
    <t>Brother DCP1000 Digital 3 in 1 Multifunction Machine</t>
  </si>
  <si>
    <t>Cuyahoga Falls</t>
  </si>
  <si>
    <t>Eldon Regeneration Recycled Desk Accessories, Smoke</t>
  </si>
  <si>
    <t>Reno</t>
  </si>
  <si>
    <t>Crayola Anti Dust Chalk, 12/Pack</t>
  </si>
  <si>
    <t>Harrisonburg</t>
  </si>
  <si>
    <t>SAFCO Commercial Wire Shelving, 72h</t>
  </si>
  <si>
    <t>Chromcraft 48" x 96" Racetrack Double Pedestal Table</t>
  </si>
  <si>
    <t>Hon Deluxe Fabric Upholstered Stacking Chairs</t>
  </si>
  <si>
    <t>Alex Avila</t>
  </si>
  <si>
    <t>Belkin 325VA UPS Surge Protector, 6'</t>
  </si>
  <si>
    <t>Larry Tron</t>
  </si>
  <si>
    <t>Escondido</t>
  </si>
  <si>
    <t>Anne Pryor</t>
  </si>
  <si>
    <t>PowerGen Dual USB Car Charger</t>
  </si>
  <si>
    <t>Cardinal HOLDit! Binder Insert Strips,Extra Strips</t>
  </si>
  <si>
    <t>Paul MacIntyre</t>
  </si>
  <si>
    <t>C-Line Cubicle Keepers Polyproplyene Holder w/Velcro Back, 8-1/2x11, 25/Bx</t>
  </si>
  <si>
    <t>Xerox 1996</t>
  </si>
  <si>
    <t>Iris Project Case</t>
  </si>
  <si>
    <t>Royal Oak</t>
  </si>
  <si>
    <t>Geographics Note Cards, Blank, White, 8 1/2" x 11"</t>
  </si>
  <si>
    <t>ACCOHIDE Binder by Acco</t>
  </si>
  <si>
    <t>Avery 3 1/2" Diskette Storage Pages, 10/Pack</t>
  </si>
  <si>
    <t>Alyssa Tate</t>
  </si>
  <si>
    <t>Staple-on labels</t>
  </si>
  <si>
    <t>Rockville</t>
  </si>
  <si>
    <t>Harbour Creations Steel Folding Chair</t>
  </si>
  <si>
    <t>Cathy Armstrong</t>
  </si>
  <si>
    <t>Wireless Extenders zBoost YX545 SOHO Signal Booster</t>
  </si>
  <si>
    <t>OIC #2 Pencils, Medium Soft</t>
  </si>
  <si>
    <t>Sannysis Cute Owl Design Soft Skin Case Cover for Samsung Galaxy S4</t>
  </si>
  <si>
    <t>Harold Ryan</t>
  </si>
  <si>
    <t>Peel &amp; Stick Add-On Corner Pockets</t>
  </si>
  <si>
    <t>Carina 42"Hx23 3/4"W Media Storage Unit</t>
  </si>
  <si>
    <t>Bradley Talbott</t>
  </si>
  <si>
    <t>Toshiba IPT2010-SD IP Telephone</t>
  </si>
  <si>
    <t>GuestStacker Chair with Chrome Finish Legs</t>
  </si>
  <si>
    <t>Xerox 1924</t>
  </si>
  <si>
    <t>Coral Springs</t>
  </si>
  <si>
    <t>Ultra Door Push Plate</t>
  </si>
  <si>
    <t>Kensington Orbit Wireless Mobile Trackball for PC and Mac</t>
  </si>
  <si>
    <t>Global Chrome Stack Chair</t>
  </si>
  <si>
    <t>Sauder Facets Collection Locker/File Cabinet, Sky Alder Finish</t>
  </si>
  <si>
    <t>Larry Hughes</t>
  </si>
  <si>
    <t>Steven Ward</t>
  </si>
  <si>
    <t>Newell 315</t>
  </si>
  <si>
    <t>Pressboard Data Binders by Wilson Jones</t>
  </si>
  <si>
    <t>Stefania Perrino</t>
  </si>
  <si>
    <t>Wilson Jones Standard D-Ring Binders</t>
  </si>
  <si>
    <t>Eldon Expressions Punched Metal &amp; Wood Desk Accessories, Pewter &amp; Cherry</t>
  </si>
  <si>
    <t>Ben Ferrer</t>
  </si>
  <si>
    <t>GE DSL Phone Line Filter</t>
  </si>
  <si>
    <t>Carina Media Storage Towers in Natural &amp; Black</t>
  </si>
  <si>
    <t>Fellowes Econo/Stor Drawers</t>
  </si>
  <si>
    <t>SANFORD Liquid Accent Tank-Style Highlighters</t>
  </si>
  <si>
    <t>Kean Thornton</t>
  </si>
  <si>
    <t>Buffalo</t>
  </si>
  <si>
    <t>Blue String-Tie &amp; Button Interoffice Envelopes, 10 x 13</t>
  </si>
  <si>
    <t>Brooke Gillingham</t>
  </si>
  <si>
    <t>Canon Imageclass D680 Copier / Fax</t>
  </si>
  <si>
    <t>Boynton Beach</t>
  </si>
  <si>
    <t>24-Hour Round Wall Clock</t>
  </si>
  <si>
    <t>Eldon Radial Chair Mat for Low to Medium Pile Carpets</t>
  </si>
  <si>
    <t>Greg Matthias</t>
  </si>
  <si>
    <t>Eldon Image Series Desk Accessories, Ebony</t>
  </si>
  <si>
    <t>Sanford 52201 APSCO Electric Pencil Sharpener</t>
  </si>
  <si>
    <t>Samsung Replacement EH64AVFWE Premium Headset</t>
  </si>
  <si>
    <t>GBC DocuBind P100 Manual Binding Machine</t>
  </si>
  <si>
    <t>Eva Jacobs</t>
  </si>
  <si>
    <t>Gulfport</t>
  </si>
  <si>
    <t>Fashion Color Clasp Envelopes</t>
  </si>
  <si>
    <t>Nora Preis</t>
  </si>
  <si>
    <t>Fresno</t>
  </si>
  <si>
    <t>Hon Non-Folding Utility Tables</t>
  </si>
  <si>
    <t>Bestar Classic Bookcase</t>
  </si>
  <si>
    <t>Office Star - Contemporary Swivel Chair with Padded Adjustable Arms and Flex Back</t>
  </si>
  <si>
    <t>Sanford Pocket Accent Highlighters</t>
  </si>
  <si>
    <t>Mitel MiVoice 5330e IP Phone</t>
  </si>
  <si>
    <t>Mick Hernandez</t>
  </si>
  <si>
    <t>Westinghouse Clip-On Gooseneck Lamps</t>
  </si>
  <si>
    <t>Howard Miller Distant Time Traveler Alarm Clock</t>
  </si>
  <si>
    <t>Tennsco Double-Tier Lockers</t>
  </si>
  <si>
    <t>Wilson SignalBoost 841262 DB PRO Amplifier Kit</t>
  </si>
  <si>
    <t>Suzanne McNair</t>
  </si>
  <si>
    <t>Greenville</t>
  </si>
  <si>
    <t>XtraLife ClearVue Slant-D Ring Binder, White, 3"</t>
  </si>
  <si>
    <t>Chris Cortes</t>
  </si>
  <si>
    <t>Phillip Flathmann</t>
  </si>
  <si>
    <t>Pencil and Crayon Sharpener</t>
  </si>
  <si>
    <t>Dan Campbell</t>
  </si>
  <si>
    <t>Ampad Phone Message Book, Recycled, 400 Message Capacity, 5 ¾” x 11”</t>
  </si>
  <si>
    <t>Fellowes Bankers Box Stor/Drawer Steel Plus</t>
  </si>
  <si>
    <t>Performers Binder/Pad Holder, Black</t>
  </si>
  <si>
    <t>Office Star Flex Back Scooter Chair with White Frame</t>
  </si>
  <si>
    <t>Logitech G13 Programmable Gameboard with LCD Display</t>
  </si>
  <si>
    <t>Bryan Davis</t>
  </si>
  <si>
    <t>Panasonic KP-380BK Classic Electric Pencil Sharpener</t>
  </si>
  <si>
    <t>Macon</t>
  </si>
  <si>
    <t>Memorex Froggy Flash Drive 4 GB</t>
  </si>
  <si>
    <t>Maxell 74 Minute CD-R Spindle, 50/Pack</t>
  </si>
  <si>
    <t>Geemarc AmpliPOWER60</t>
  </si>
  <si>
    <t>Avery 48</t>
  </si>
  <si>
    <t>Avery Arch Ring Binders</t>
  </si>
  <si>
    <t>Xerox 1915</t>
  </si>
  <si>
    <t>Avery Reinforcements for Hole-Punch Pages</t>
  </si>
  <si>
    <t>Gene McClure</t>
  </si>
  <si>
    <t>Providence</t>
  </si>
  <si>
    <t>Colorific Watercolor Pencils</t>
  </si>
  <si>
    <t>Todd Boyes</t>
  </si>
  <si>
    <t>BIC Liqua Brite Liner</t>
  </si>
  <si>
    <t>ACCOHIDE 3-Ring Binder, Blue, 1"</t>
  </si>
  <si>
    <t>Xerox 1973</t>
  </si>
  <si>
    <t>Justin Hirsh</t>
  </si>
  <si>
    <t>Pueblo</t>
  </si>
  <si>
    <t>Erica Bern</t>
  </si>
  <si>
    <t>GBC Binding covers</t>
  </si>
  <si>
    <t>Quincy Jones</t>
  </si>
  <si>
    <t>Tracy Collins</t>
  </si>
  <si>
    <t>Sauder Cornerstone Collection Library</t>
  </si>
  <si>
    <t>Westinghouse Floor Lamp with Metal Mesh Shade, Black</t>
  </si>
  <si>
    <t>Blue Parrot B250XT Professional Grade Wireless Bluetooth Headset with</t>
  </si>
  <si>
    <t>Belkin 6 Outlet Metallic Surge Strip</t>
  </si>
  <si>
    <t>Hon Valutask Swivel Chairs</t>
  </si>
  <si>
    <t>Avery 517</t>
  </si>
  <si>
    <t>Avery 477</t>
  </si>
  <si>
    <t>Henry Goldwyn</t>
  </si>
  <si>
    <t>Eureka Recycled Copy Paper 8 1/2" x 11", Ream</t>
  </si>
  <si>
    <t>Seth Thomas 12" Clock w/ Goldtone Case</t>
  </si>
  <si>
    <t>Memorex Froggy Flash Drive 8 GB</t>
  </si>
  <si>
    <t>Laurel Workman</t>
  </si>
  <si>
    <t>Deltona</t>
  </si>
  <si>
    <t>Matt Collins</t>
  </si>
  <si>
    <t>Liz Preis</t>
  </si>
  <si>
    <t>Murray</t>
  </si>
  <si>
    <t>Acco 6 Outlet Guardian Premium Surge Suppressor</t>
  </si>
  <si>
    <t>Evan Bailliet</t>
  </si>
  <si>
    <t>Avoid Verbal Orders Carbonless Minifold Book</t>
  </si>
  <si>
    <t>George Zrebassa</t>
  </si>
  <si>
    <t>Fellowes Presentation Covers for Comb Binding Machines</t>
  </si>
  <si>
    <t>Cathy Prescott</t>
  </si>
  <si>
    <t>Frank Gastineau</t>
  </si>
  <si>
    <t>Panasonic KP-310 Heavy-Duty Electric Pencil Sharpener</t>
  </si>
  <si>
    <t>Lisa DeCherney</t>
  </si>
  <si>
    <t>Alejandro Ballentine</t>
  </si>
  <si>
    <t>Michael Nguyen</t>
  </si>
  <si>
    <t>Holmes Cool Mist Humidifier for the Whole House with 8-Gallon Output per Day, Extended Life Filter</t>
  </si>
  <si>
    <t>Middletown</t>
  </si>
  <si>
    <t>SAFCO Commercial Wire Shelving, Black</t>
  </si>
  <si>
    <t>Jamie Frazer</t>
  </si>
  <si>
    <t>Chad McGuire</t>
  </si>
  <si>
    <t>Tensor Computer Mounted Lamp</t>
  </si>
  <si>
    <t>Polycom SoundPoint IP 450 VoIP phone</t>
  </si>
  <si>
    <t>Rediform S.O.S. 1-Up Phone Message Bk, 4-1/4x3-1/16 Bk, 1 Form/Pg, 40 Messages/Bk, 3/Pk</t>
  </si>
  <si>
    <t>Aaron Smayling</t>
  </si>
  <si>
    <t>Cisco CP-7937G Unified IP Conference Station Phone</t>
  </si>
  <si>
    <t>Freeport</t>
  </si>
  <si>
    <t>Boston 16701 Slimline Battery Pencil Sharpener</t>
  </si>
  <si>
    <t>Avery 494</t>
  </si>
  <si>
    <t>Memo Book, 100 Message Capacity, 5 3/8” x 11”</t>
  </si>
  <si>
    <t>Newell 35</t>
  </si>
  <si>
    <t>Wilson Jones 14 Line Acrylic Coated Pressboard Data Binders</t>
  </si>
  <si>
    <t>Avery Non-Stick Heavy Duty View Round Locking Ring Binders</t>
  </si>
  <si>
    <t>Beth Paige</t>
  </si>
  <si>
    <t>Hanging Personal Folder File</t>
  </si>
  <si>
    <t>Natalie DeCherney</t>
  </si>
  <si>
    <t>Xerox 1909</t>
  </si>
  <si>
    <t>Larry Blacks</t>
  </si>
  <si>
    <t>Kean Takahito</t>
  </si>
  <si>
    <t>Leather Task Chair, Black</t>
  </si>
  <si>
    <t>Harry Marie</t>
  </si>
  <si>
    <t>It's Hot Message Books with Stickers, 2 3/4" x 5"</t>
  </si>
  <si>
    <t>Digium D40 VoIP phone</t>
  </si>
  <si>
    <t>Ann Blume</t>
  </si>
  <si>
    <t>DYMO CardScan Personal V9 Business Card Scanner</t>
  </si>
  <si>
    <t>Case Logic 2.4GHz Wireless Keyboard</t>
  </si>
  <si>
    <t>Sam Zeldin</t>
  </si>
  <si>
    <t>Michael Granlund</t>
  </si>
  <si>
    <t>Logitech Desktop MK120 Mouse and keyboard Combo</t>
  </si>
  <si>
    <t>Pressboard Data Binder, Crimson, 12" X 8 1/2"</t>
  </si>
  <si>
    <t>Provo</t>
  </si>
  <si>
    <t>Lesro Round Back Collection Coffee Table, End Table</t>
  </si>
  <si>
    <t>Pleasant Grove</t>
  </si>
  <si>
    <t>Hoover WindTunnel Plus Canister Vacuum</t>
  </si>
  <si>
    <t>Xerox 1934</t>
  </si>
  <si>
    <t>Newell 329</t>
  </si>
  <si>
    <t>Panasonic KX T7731-B Digital phone</t>
  </si>
  <si>
    <t>Safco Wire Cube Shelving System, For Use as 4 or 5 14" Cubes, Black</t>
  </si>
  <si>
    <t>Julie Kriz</t>
  </si>
  <si>
    <t>Paul Prost</t>
  </si>
  <si>
    <t>Smyrna</t>
  </si>
  <si>
    <t>White Computer Printout Paper by Universal</t>
  </si>
  <si>
    <t>Revere Boxed Rubber Bands by Revere</t>
  </si>
  <si>
    <t>Eldon 200 Class Desk Accessories, Black</t>
  </si>
  <si>
    <t>Ames Color-File Green Diamond Border X-ray Mailers</t>
  </si>
  <si>
    <t>Yana Sorensen</t>
  </si>
  <si>
    <t>Bevis Oval Conference Table, Walnut</t>
  </si>
  <si>
    <t>Hon 61000 Series Interactive Training Tables</t>
  </si>
  <si>
    <t>Acco PRESSTEX Data Binder with Storage Hooks, Light Blue, 9 1/2" X 11"</t>
  </si>
  <si>
    <t>Xerox 217</t>
  </si>
  <si>
    <t>Katherine Murray</t>
  </si>
  <si>
    <t>Bush Andora Conference Table, Maple/Graphite Gray Finish</t>
  </si>
  <si>
    <t>Xerox 189</t>
  </si>
  <si>
    <t>Panasonic KP-150 Electric Pencil Sharpener</t>
  </si>
  <si>
    <t>Adrian Barton</t>
  </si>
  <si>
    <t>Helen Abelman</t>
  </si>
  <si>
    <t>GBC Recycled Regency Composition Covers</t>
  </si>
  <si>
    <t>Beth Thompson</t>
  </si>
  <si>
    <t>DAX Executive Solid Wood Document Frame, Desktop or Hang, Mahogany, 5 x 7</t>
  </si>
  <si>
    <t>Stuart Van</t>
  </si>
  <si>
    <t>ShoreTel ShorePhone IP 230 VoIP phone</t>
  </si>
  <si>
    <t>Rick Wilson</t>
  </si>
  <si>
    <t>Petty Cash Envelope</t>
  </si>
  <si>
    <t>3M Replacement Filter for Office Air Cleaner for 20' x 33' Room</t>
  </si>
  <si>
    <t>Samsung Rugby III</t>
  </si>
  <si>
    <t>Damala Kotsonis</t>
  </si>
  <si>
    <t>Acco Four Pocket Poly Ring Binder with Label Holder, Smoke, 1"</t>
  </si>
  <si>
    <t>Canvas Sectional Post Binders</t>
  </si>
  <si>
    <t>Strathmore Photo Mount Cards</t>
  </si>
  <si>
    <t>Shui Tom</t>
  </si>
  <si>
    <t>Parma</t>
  </si>
  <si>
    <t>Xerox 203</t>
  </si>
  <si>
    <t>Plantronics Audio 995 Wireless Stereo Headset</t>
  </si>
  <si>
    <t>Xerox 1948</t>
  </si>
  <si>
    <t>Michael Moore</t>
  </si>
  <si>
    <t>Pauline Webber</t>
  </si>
  <si>
    <t>Shaun Chance</t>
  </si>
  <si>
    <t>Global Super Steno Chair</t>
  </si>
  <si>
    <t>OtterBox Defender Series Case - Samsung Galaxy S4</t>
  </si>
  <si>
    <t>Wilson Jones Suede Grain Vinyl Binders</t>
  </si>
  <si>
    <t>OtterBox Defender Series Case - iPhone 5c</t>
  </si>
  <si>
    <t>Mark Cousins</t>
  </si>
  <si>
    <t>Mobile</t>
  </si>
  <si>
    <t>Surelock Post Binders</t>
  </si>
  <si>
    <t>Maria Etezadi</t>
  </si>
  <si>
    <t>Ibico Plastic Spiral Binding Combs</t>
  </si>
  <si>
    <t>Iceberg OfficeWorks 42" Round Tables</t>
  </si>
  <si>
    <t>New Bedford</t>
  </si>
  <si>
    <t>Nicole Hansen</t>
  </si>
  <si>
    <t>Irving</t>
  </si>
  <si>
    <t>DAX Wood Document Frame</t>
  </si>
  <si>
    <t>Wilson Jones Heavy-Duty Casebound Ring Binders with Metal Hinges</t>
  </si>
  <si>
    <t>Mick Brown</t>
  </si>
  <si>
    <t>Vineland</t>
  </si>
  <si>
    <t>Keith Dawkins</t>
  </si>
  <si>
    <t>Glendale</t>
  </si>
  <si>
    <t>Global Executive Mid-Back Manager's Chair</t>
  </si>
  <si>
    <t>Xerox 1946</t>
  </si>
  <si>
    <t>Newell 320</t>
  </si>
  <si>
    <t>Katherine Nockton</t>
  </si>
  <si>
    <t>Eldon Image Series Desk Accessories, Burgundy</t>
  </si>
  <si>
    <t>Nora Pelletier</t>
  </si>
  <si>
    <t>Niagara Falls</t>
  </si>
  <si>
    <t>Newell 340</t>
  </si>
  <si>
    <t>Avery 506</t>
  </si>
  <si>
    <t>Cindy Stewart</t>
  </si>
  <si>
    <t>Thomasville</t>
  </si>
  <si>
    <t>Westminster</t>
  </si>
  <si>
    <t>Xerox 192</t>
  </si>
  <si>
    <t>HP Office Recycled Paper (20Lb. and 87 Bright)</t>
  </si>
  <si>
    <t>X-Rack File for Hanging Folders</t>
  </si>
  <si>
    <t>Xerox 199</t>
  </si>
  <si>
    <t>WD My Passport Ultra 500GB Portable External Hard Drive</t>
  </si>
  <si>
    <t>Maxwell Schwartz</t>
  </si>
  <si>
    <t>Corinna Mitchell</t>
  </si>
  <si>
    <t>Cisco IP Phone 7961G-GE VoIP phone</t>
  </si>
  <si>
    <t>Logitech Trackman Marble Mouse</t>
  </si>
  <si>
    <t>Corey-Lock</t>
  </si>
  <si>
    <t>Todd Sumrall</t>
  </si>
  <si>
    <t>Adams Telephone Message Book W/Dividers/Space For Phone Numbers, 5 1/4"X8 1/2", 300/Messages</t>
  </si>
  <si>
    <t>Jane Waco</t>
  </si>
  <si>
    <t>John Dryer</t>
  </si>
  <si>
    <t>Coppell</t>
  </si>
  <si>
    <t>Acco Perma 3000 Stacking Storage Drawers</t>
  </si>
  <si>
    <t>Xerox 197</t>
  </si>
  <si>
    <t>iKross Bluetooth Portable Keyboard + Cell Phone Stand Holder + Brush for Apple iPhone 5S 5C 5, 4S 4</t>
  </si>
  <si>
    <t>Pauline Chand</t>
  </si>
  <si>
    <t>Hon 2111 Invitation Series Corner Table</t>
  </si>
  <si>
    <t>Andy Reiter</t>
  </si>
  <si>
    <t>Ibico Covers for Plastic or Wire Binding Elements</t>
  </si>
  <si>
    <t>Pomona</t>
  </si>
  <si>
    <t>Arianne Irving</t>
  </si>
  <si>
    <t>North Las Vegas</t>
  </si>
  <si>
    <t>Tom Boeckenhauer</t>
  </si>
  <si>
    <t>Paul Lucas</t>
  </si>
  <si>
    <t>Newell 325</t>
  </si>
  <si>
    <t>Gary Hwang</t>
  </si>
  <si>
    <t>Xerox 1970</t>
  </si>
  <si>
    <t>Allentown</t>
  </si>
  <si>
    <t>12 Colored Short Pencils</t>
  </si>
  <si>
    <t>Master Caster Door Stop, Large Neon Orange</t>
  </si>
  <si>
    <t>Rubber Band Ball</t>
  </si>
  <si>
    <t>Xerox 1988</t>
  </si>
  <si>
    <t>Tempe</t>
  </si>
  <si>
    <t>Neat Ideas Personal Hanging Folder Files, Black</t>
  </si>
  <si>
    <t>Belkin OmniView SE Rackmount Kit</t>
  </si>
  <si>
    <t>Mike Pelletier</t>
  </si>
  <si>
    <t>Laguna Niguel</t>
  </si>
  <si>
    <t>Jim Mitchum</t>
  </si>
  <si>
    <t>Rogers Jumbo File, Granite</t>
  </si>
  <si>
    <t>Commercial WindTunnel Clean Air Upright Vacuum, Replacement Belts, Filtration Bags</t>
  </si>
  <si>
    <t>Carl Ludwig</t>
  </si>
  <si>
    <t>Everett</t>
  </si>
  <si>
    <t>Deborah Brumfield</t>
  </si>
  <si>
    <t>Watertown</t>
  </si>
  <si>
    <t>Tenex Personal Self-Stacking Standard File Box, Black/Gray</t>
  </si>
  <si>
    <t>Hoover Commercial Soft Guard Upright Vacuum And Disposable Filtration Bags</t>
  </si>
  <si>
    <t>Ivan Gibson</t>
  </si>
  <si>
    <t>Appleton</t>
  </si>
  <si>
    <t>Avery 481</t>
  </si>
  <si>
    <t>Bobby Odegard</t>
  </si>
  <si>
    <t>Bellevue</t>
  </si>
  <si>
    <t>Newell 310</t>
  </si>
  <si>
    <t>Aimee Bixby</t>
  </si>
  <si>
    <t>Julia West</t>
  </si>
  <si>
    <t>Newell 319</t>
  </si>
  <si>
    <t>Edward Becker</t>
  </si>
  <si>
    <t>Avery 518</t>
  </si>
  <si>
    <t>Sheri Gordon</t>
  </si>
  <si>
    <t>Charlotte Melton</t>
  </si>
  <si>
    <t>Sensible Storage WireTech Storage Systems</t>
  </si>
  <si>
    <t>Anthony Witt</t>
  </si>
  <si>
    <t>Allen</t>
  </si>
  <si>
    <t>Kingston Digital DataTraveler 16GB USB 2.0</t>
  </si>
  <si>
    <t>GBC Imprintable Covers</t>
  </si>
  <si>
    <t>Newell 347</t>
  </si>
  <si>
    <t>Pastel Pink Envelopes</t>
  </si>
  <si>
    <t>Belkin F8E887 USB Wired Ergonomic Keyboard</t>
  </si>
  <si>
    <t>Mick Crebagga</t>
  </si>
  <si>
    <t>El Paso</t>
  </si>
  <si>
    <t>ARKON Windshield Dashboard Air Vent Car Mount Holder</t>
  </si>
  <si>
    <t>Tonja Turnell</t>
  </si>
  <si>
    <t>Xerox 1949</t>
  </si>
  <si>
    <t>Conquest 14 Commercial Heavy-Duty Upright Vacuum, Collection System, Accessory Kit</t>
  </si>
  <si>
    <t>Xerox 1886</t>
  </si>
  <si>
    <t>Acco Clips to Go Binder Clips, 24 Clips in Two Sizes</t>
  </si>
  <si>
    <t>Vivek Grady</t>
  </si>
  <si>
    <t>Muhammed Yedwab</t>
  </si>
  <si>
    <t>Rick Duston</t>
  </si>
  <si>
    <t>Spiral Phone Message Books with Labels by Adams</t>
  </si>
  <si>
    <t>Dennis Pardue</t>
  </si>
  <si>
    <t>Sauder Inglewood Library Bookcases</t>
  </si>
  <si>
    <t>Carrollton</t>
  </si>
  <si>
    <t>Acme Elite Stainless Steel Scissors</t>
  </si>
  <si>
    <t>Tenex 46" x 60" Computer Anti-Static Chairmat, Rectangular Shaped</t>
  </si>
  <si>
    <t>Prang Drawing Pencil Set</t>
  </si>
  <si>
    <t>BOSTON Ranger #55 Pencil Sharpener, Black</t>
  </si>
  <si>
    <t>Newell 307</t>
  </si>
  <si>
    <t>Panasonic KP-4ABK Battery-Operated Pencil Sharpener</t>
  </si>
  <si>
    <t>Avery Binder Labels</t>
  </si>
  <si>
    <t>Marina Lichtenstein</t>
  </si>
  <si>
    <t>VTech DS6151</t>
  </si>
  <si>
    <t>V7 USB Numeric Keypad</t>
  </si>
  <si>
    <t>Peel-Off China Markers</t>
  </si>
  <si>
    <t>Acco Perma 2700 Stacking Storage Drawers</t>
  </si>
  <si>
    <t>Wirebound Message Books, Four 2 3/4 x 5 White Forms per Page</t>
  </si>
  <si>
    <t>Kent</t>
  </si>
  <si>
    <t>GE 48" Fluorescent Tube, Cool White Energy Saver, 34 Watts, 30/Box</t>
  </si>
  <si>
    <t>Micro Innovations USB RF Wireless Keyboard with Mouse</t>
  </si>
  <si>
    <t>James Galang</t>
  </si>
  <si>
    <t>Plantronics Savi W720 Multi-Device Wireless Headset System</t>
  </si>
  <si>
    <t>Marc Crier</t>
  </si>
  <si>
    <t>Lafayette</t>
  </si>
  <si>
    <t>Stacking Tray, Side-Loading, Legal, Smoke</t>
  </si>
  <si>
    <t>Smead Adjustable Mobile File Trolley with Lockable Top</t>
  </si>
  <si>
    <t>Natalie Webber</t>
  </si>
  <si>
    <t>Tigard</t>
  </si>
  <si>
    <t>Jawbone MINI JAMBOX Wireless Bluetooth Speaker</t>
  </si>
  <si>
    <t>Toby Braunhardt</t>
  </si>
  <si>
    <t>Weyerhaeuser First Choice Laser/Copy Paper (20Lb. and 88 Bright)</t>
  </si>
  <si>
    <t>Bill Stewart</t>
  </si>
  <si>
    <t>Skokie</t>
  </si>
  <si>
    <t>Canon PC940 Copier</t>
  </si>
  <si>
    <t>Multicolor Computer Printout Paper</t>
  </si>
  <si>
    <t>Brites Rubber Bands, 1 1/2 oz. Box</t>
  </si>
  <si>
    <t>Catalog Binders with Expanding Posts</t>
  </si>
  <si>
    <t>Grandstream GXP2100 Mainstream Business Phone</t>
  </si>
  <si>
    <t>Hilary Holden</t>
  </si>
  <si>
    <t>Xerox 1940</t>
  </si>
  <si>
    <t>Xerox 1986</t>
  </si>
  <si>
    <t>Christina DeMoss</t>
  </si>
  <si>
    <t>Binder Clips by OIC</t>
  </si>
  <si>
    <t>Wilson Jones 1" Hanging DublLock Ring Binders</t>
  </si>
  <si>
    <t>Thea Hendricks</t>
  </si>
  <si>
    <t>RCA Visys Integrated PBX 8-Line Router</t>
  </si>
  <si>
    <t>Michelle Moray</t>
  </si>
  <si>
    <t>GBC VeloBind Cover Sets</t>
  </si>
  <si>
    <t>Neola Schneider</t>
  </si>
  <si>
    <t>Colored Push Pins</t>
  </si>
  <si>
    <t>Logitech G105 Gaming Keyboard</t>
  </si>
  <si>
    <t>Xerox 1925</t>
  </si>
  <si>
    <t>QVS USB Car Charger 2-Port 2.1Amp for iPod/iPhone/iPad/iPad 2/iPad 3</t>
  </si>
  <si>
    <t>Robert Barroso</t>
  </si>
  <si>
    <t>Plano</t>
  </si>
  <si>
    <t>Shaun Weien</t>
  </si>
  <si>
    <t>Suffolk</t>
  </si>
  <si>
    <t>Eric Barreto</t>
  </si>
  <si>
    <t>DAX Natural Wood-Tone Poster Frame</t>
  </si>
  <si>
    <t>StarTech.com 10/100 VDSL2 Ethernet Extender Kit</t>
  </si>
  <si>
    <t>Pamela Stobb</t>
  </si>
  <si>
    <t>Acco Smartsocket Table Surge Protector, 6 Color-Coded Adapter Outlets</t>
  </si>
  <si>
    <t>GBC ProClick Spines for 32-Hole Punch</t>
  </si>
  <si>
    <t>Herbert Flentye</t>
  </si>
  <si>
    <t>Indianapolis</t>
  </si>
  <si>
    <t>Henia Zydlo</t>
  </si>
  <si>
    <t>Memorex Micro Travel Drive 16 GB</t>
  </si>
  <si>
    <t>Avery 497</t>
  </si>
  <si>
    <t>Cynthia Delaney</t>
  </si>
  <si>
    <t>Jamie Kunitz</t>
  </si>
  <si>
    <t>"While you Were Out" Message Book, One Form per Page</t>
  </si>
  <si>
    <t>Rediform Voice Mail Log Books</t>
  </si>
  <si>
    <t>O'Sullivan Manor Hill 2-Door Library in Brianna Oak</t>
  </si>
  <si>
    <t>Nu-Dell Float Frame 11 x 14 1/2</t>
  </si>
  <si>
    <t>Logitech G600 MMO Gaming Mouse</t>
  </si>
  <si>
    <t>Sauder Facets Collection Library, Sky Alder Finish</t>
  </si>
  <si>
    <t>Avanti 4.4 Cu. Ft. Refrigerator</t>
  </si>
  <si>
    <t>Hoover Replacement Belt for Commercial Guardsman Heavy-Duty Upright Vacuum</t>
  </si>
  <si>
    <t>Fellowes Advanced 8 Outlet Surge Suppressor with Phone/Fax Protection</t>
  </si>
  <si>
    <t>Filia McAdams</t>
  </si>
  <si>
    <t>SAFCO PlanMaster Heigh-Adjustable Drafting Table Base, 43w x 30d x 30-37h, Black</t>
  </si>
  <si>
    <t>Holmes HEPA Air Purifier</t>
  </si>
  <si>
    <t>TRENDnet 56K USB 2.0 Phone, Internet and Fax Modem</t>
  </si>
  <si>
    <t>Emily Ducich</t>
  </si>
  <si>
    <t>Xerox 231</t>
  </si>
  <si>
    <t>Dianna Arnett</t>
  </si>
  <si>
    <t>Hon 2111 Invitation Series Straight Table</t>
  </si>
  <si>
    <t>Joni Wasserman</t>
  </si>
  <si>
    <t>Xerox 1962</t>
  </si>
  <si>
    <t>Wilson Electronics DB Pro Signal Booster</t>
  </si>
  <si>
    <t>Raymond Messe</t>
  </si>
  <si>
    <t>Sauder Camden County Barrister Bookcase, Planked Cherry Finish</t>
  </si>
  <si>
    <t>DXL Angle-View Binders with Locking Rings, Black</t>
  </si>
  <si>
    <t>Sauder Camden County Collection Libraries, Planked Cherry Finish</t>
  </si>
  <si>
    <t>Max Ludwig</t>
  </si>
  <si>
    <t>Advantus Panel Wall Certificate Holder - 8.5x11</t>
  </si>
  <si>
    <t>Avery 478</t>
  </si>
  <si>
    <t>Craig Carroll</t>
  </si>
  <si>
    <t>Greensboro</t>
  </si>
  <si>
    <t>Baltimore</t>
  </si>
  <si>
    <t>Acco Data Flex Cable Posts For Top &amp; Bottom Load Binders, 6" Capacity</t>
  </si>
  <si>
    <t>Recycled Steel Personal File for Standard File Folders</t>
  </si>
  <si>
    <t>Blackstonian Pencils</t>
  </si>
  <si>
    <t>Xerox 1919</t>
  </si>
  <si>
    <t>Tops Wirebound Message Log Books</t>
  </si>
  <si>
    <t>Jim Epp</t>
  </si>
  <si>
    <t>AT&amp;T CL82213</t>
  </si>
  <si>
    <t>Roy Phan</t>
  </si>
  <si>
    <t>Kenosha</t>
  </si>
  <si>
    <t>Maxell LTO Ultrium - 800 GB</t>
  </si>
  <si>
    <t>Office Star - Professional Matrix Back Chair with 2-to-1 Synchro Tilt and Mesh Fabric Seat</t>
  </si>
  <si>
    <t>Hunt BOSTON Vista Battery-Operated Pencil Sharpener, Black</t>
  </si>
  <si>
    <t>Thomas Boland</t>
  </si>
  <si>
    <t>Brad Eason</t>
  </si>
  <si>
    <t>Olathe</t>
  </si>
  <si>
    <t>Kansas</t>
  </si>
  <si>
    <t>GE 30522EE2</t>
  </si>
  <si>
    <t>Jill Fjeld</t>
  </si>
  <si>
    <t>Ink Jet Note and Greeting Cards, 8-1/2" x 5-1/2" Card Size</t>
  </si>
  <si>
    <t>Logitech Wireless Marathon Mouse M705</t>
  </si>
  <si>
    <t>Phillip Breyer</t>
  </si>
  <si>
    <t>Tulsa</t>
  </si>
  <si>
    <t>Mediabridge Sport Armband iPhone 5s</t>
  </si>
  <si>
    <t>DAX Cubicle Frames - 8x10</t>
  </si>
  <si>
    <t>Xerox 1929</t>
  </si>
  <si>
    <t>Brian Thompson</t>
  </si>
  <si>
    <t>Avery 501</t>
  </si>
  <si>
    <t>Avery 513</t>
  </si>
  <si>
    <t>Janet Lee</t>
  </si>
  <si>
    <t>Harmony Air Purifier</t>
  </si>
  <si>
    <t>Electrix Incandescent Magnifying Lamp, Black</t>
  </si>
  <si>
    <t>Honeywell Enviracaire Portable Air Cleaner for up to 8 x 10 Room</t>
  </si>
  <si>
    <t>Global Stack Chair with Arms, Black</t>
  </si>
  <si>
    <t>Xerox 206</t>
  </si>
  <si>
    <t>Redmond</t>
  </si>
  <si>
    <t>Seth Thomas 14" Day/Date Wall Clock</t>
  </si>
  <si>
    <t>Raleigh</t>
  </si>
  <si>
    <t>Samsung Galaxy S4 Mini</t>
  </si>
  <si>
    <t>Neil Ducich</t>
  </si>
  <si>
    <t>Apple iPhone 5</t>
  </si>
  <si>
    <t>Muskogee</t>
  </si>
  <si>
    <t>Polycom VVX 310 VoIP phone</t>
  </si>
  <si>
    <t>Bady BDG101FRU Card Printer</t>
  </si>
  <si>
    <t>Xerox 1998</t>
  </si>
  <si>
    <t>Meriden</t>
  </si>
  <si>
    <t>Barbara Fisher</t>
  </si>
  <si>
    <t>Honeywell Quietcare HEPA Air Cleaner</t>
  </si>
  <si>
    <t>Katharine Harms</t>
  </si>
  <si>
    <t>Bowling Green</t>
  </si>
  <si>
    <t>Hon Olson Stacker Stools</t>
  </si>
  <si>
    <t>Dana Fluorescent Magnifying Lamp, White, 36"</t>
  </si>
  <si>
    <t>Giulietta Weimer</t>
  </si>
  <si>
    <t>Flat Face Poster Frame</t>
  </si>
  <si>
    <t>Multi-Use Personal File Cart and Caster Set, Three Stacking Bins</t>
  </si>
  <si>
    <t>Xerox 1981</t>
  </si>
  <si>
    <t>Tops White Computer Printout Paper</t>
  </si>
  <si>
    <t>Wilson Jones Elliptical Ring 3 1/2" Capacity Binders, 800 sheets</t>
  </si>
  <si>
    <t>Classic Ivory Antique Telephone ZL1810</t>
  </si>
  <si>
    <t>Sauder Forest Hills Library with Doors, Woodland Oak Finish</t>
  </si>
  <si>
    <t>Noah Childs</t>
  </si>
  <si>
    <t>Executive Impressions 8-1/2" Career Panel/Partition Cubicle Clock</t>
  </si>
  <si>
    <t>Jabra SPEAK 410 Multidevice Speakerphone</t>
  </si>
  <si>
    <t>Xerox 211</t>
  </si>
  <si>
    <t>Tennsco Industrial Shelving</t>
  </si>
  <si>
    <t>Michelle Ellison</t>
  </si>
  <si>
    <t>Newell 334</t>
  </si>
  <si>
    <t>Hon 30" x 60" Table with Locking Drawer</t>
  </si>
  <si>
    <t>Benjamin Patterson</t>
  </si>
  <si>
    <t>Spokane</t>
  </si>
  <si>
    <t>Safco Drafting Table</t>
  </si>
  <si>
    <t>John Castell</t>
  </si>
  <si>
    <t>Avery 510</t>
  </si>
  <si>
    <t>Ultra Door Pull Handle</t>
  </si>
  <si>
    <t>Avery Hi-Liter Fluorescent Desk Style Markers</t>
  </si>
  <si>
    <t>Medford</t>
  </si>
  <si>
    <t>IBM Multi-Purpose Copy Paper, 8 1/2 x 11", Case</t>
  </si>
  <si>
    <t>Adam Shillingsburg</t>
  </si>
  <si>
    <t>Charlottesville</t>
  </si>
  <si>
    <t>Newell 309</t>
  </si>
  <si>
    <t>Amy Cox</t>
  </si>
  <si>
    <t>GBC DocuBind TL300 Electric Binding System</t>
  </si>
  <si>
    <t>GBC DocuBind 200 Manual Binding Machine</t>
  </si>
  <si>
    <t>SKILCRAFT Telephone Shoulder Rest, 2" x 6.5" x 2.5", Black</t>
  </si>
  <si>
    <t>Global Comet Stacking Armless Chair</t>
  </si>
  <si>
    <t>Michael Dominguez</t>
  </si>
  <si>
    <t>Apopka</t>
  </si>
  <si>
    <t>Pressboard Hanging Data Binders for Unburst Sheets</t>
  </si>
  <si>
    <t>Hand-Finished Solid Wood Document Frame</t>
  </si>
  <si>
    <t>Duane Benoit</t>
  </si>
  <si>
    <t>DAX Charcoal/Nickel-Tone Document Frame, 5 x 7</t>
  </si>
  <si>
    <t>Xerox 1891</t>
  </si>
  <si>
    <t>Erica Hackney</t>
  </si>
  <si>
    <t>Avery 474</t>
  </si>
  <si>
    <t>Panasonic KX T7736-B Digital phone</t>
  </si>
  <si>
    <t>Edward Hooks</t>
  </si>
  <si>
    <t>GBC DocuBind TL200 Manual Binding Machine</t>
  </si>
  <si>
    <t>Global Commerce Series Low-Back Swivel/Tilt Chairs</t>
  </si>
  <si>
    <t>Reading</t>
  </si>
  <si>
    <t>Scot Coram</t>
  </si>
  <si>
    <t>Cisco SPA 502G IP Phone</t>
  </si>
  <si>
    <t>Avaya 4621SW VoIP phone</t>
  </si>
  <si>
    <t>Xerox 214</t>
  </si>
  <si>
    <t>Motorola Moto X</t>
  </si>
  <si>
    <t>O'Sullivan 2-Shelf Heavy-Duty Bookcases</t>
  </si>
  <si>
    <t>Enermax Briskie RF Wireless Keyboard and Mouse Combo</t>
  </si>
  <si>
    <t>Joe Elijah</t>
  </si>
  <si>
    <t>Broomfield</t>
  </si>
  <si>
    <t>GBC Twin Loop Wire Binding Elements</t>
  </si>
  <si>
    <t>Perma STOR-ALL Hanging File Box, 13 1/8"W x 12 1/4"D x 10 1/2"H</t>
  </si>
  <si>
    <t>Ann Chong</t>
  </si>
  <si>
    <t>BIC Brite Liner Grip Highlighters</t>
  </si>
  <si>
    <t>WD My Passport Ultra 2TB Portable External Hard Drive</t>
  </si>
  <si>
    <t>Holmes Replacement Filter for HEPA Air Cleaner, Medium Room</t>
  </si>
  <si>
    <t>Imation Clip USB flash drive - 8 GB</t>
  </si>
  <si>
    <t>Newell 3-Hole Punched Plastic Slotted Magazine Holders for Binders</t>
  </si>
  <si>
    <t>Acco 6 Outlet Guardian Standard Surge Suppressor</t>
  </si>
  <si>
    <t>Paterson</t>
  </si>
  <si>
    <t>Acme Hot Forged Carbon Steel Scissors with Nickel-Plated Handles, 3 7/8" Cut, 8"L</t>
  </si>
  <si>
    <t>Joy Daniels</t>
  </si>
  <si>
    <t>Avery Heavy-Duty EZD View Binder with Locking Rings</t>
  </si>
  <si>
    <t>Belkin Standard 104 key USB Keyboard</t>
  </si>
  <si>
    <t>Global Wood Trimmed Manager's Task Chair, Khaki</t>
  </si>
  <si>
    <t>Newell 321</t>
  </si>
  <si>
    <t>Oklahoma City</t>
  </si>
  <si>
    <t>Jabra Supreme Plus Driver Edition Headset</t>
  </si>
  <si>
    <t>Christy Brittain</t>
  </si>
  <si>
    <t>Binder Posts</t>
  </si>
  <si>
    <t>Bevis Round Conference Table Top &amp; Single Column Base</t>
  </si>
  <si>
    <t>Xerox 1978</t>
  </si>
  <si>
    <t>Eldon Spacemaker Box, Quick-Snap Lid, Clear</t>
  </si>
  <si>
    <t>Plymouth Boxed Rubber Bands by Plymouth</t>
  </si>
  <si>
    <t>Joy Smith</t>
  </si>
  <si>
    <t>3.6 Cubic Foot Counter Height Office Refrigerator</t>
  </si>
  <si>
    <t>Chesapeake</t>
  </si>
  <si>
    <t>Luke Weiss</t>
  </si>
  <si>
    <t>Lubbock</t>
  </si>
  <si>
    <t>O'Sullivan Elevations Bookcase, Cherry Finish</t>
  </si>
  <si>
    <t>Johnson City</t>
  </si>
  <si>
    <t>Stuart Calhoun</t>
  </si>
  <si>
    <t>Eldon ProFile File 'N Store Portable File Tub Letter/Legal Size Black</t>
  </si>
  <si>
    <t>Anne McFarland</t>
  </si>
  <si>
    <t>Southworth Parchment Paper &amp; Envelopes</t>
  </si>
  <si>
    <t>San Bernardino</t>
  </si>
  <si>
    <t>Rick Huthwaite</t>
  </si>
  <si>
    <t>Leominster</t>
  </si>
  <si>
    <t>Tennsco Lockers, Sand</t>
  </si>
  <si>
    <t>Carol Triggs</t>
  </si>
  <si>
    <t>GBC Personal VeloBind Strips</t>
  </si>
  <si>
    <t>Matt Collister</t>
  </si>
  <si>
    <t>Perth Amboy</t>
  </si>
  <si>
    <t>Novimex Fabric Task Chair</t>
  </si>
  <si>
    <t>Master Big Foot Doorstop, Beige</t>
  </si>
  <si>
    <t>Microsoft Wireless Mobile Mouse 4000</t>
  </si>
  <si>
    <t>Letter/Legal File Tote with Clear Snap-On Lid, Black Granite</t>
  </si>
  <si>
    <t>Avery Framed View Binder, EZD Ring (Locking), Navy, 1 1/2"</t>
  </si>
  <si>
    <t>Xerox 1952</t>
  </si>
  <si>
    <t>Fellowes Twister Kit, Gray/Clear, 3/pkg</t>
  </si>
  <si>
    <t>Plantronics Audio 478 Stereo USB Headset</t>
  </si>
  <si>
    <t>Hon 94000 Series Round Tables</t>
  </si>
  <si>
    <t>Corey Catlett</t>
  </si>
  <si>
    <t>Kelly Andreada</t>
  </si>
  <si>
    <t>Tamara Chand</t>
  </si>
  <si>
    <t>Anker Ultra-Slim Mini Bluetooth 3.0 Wireless Keyboard</t>
  </si>
  <si>
    <t>Plantronics CS 50-USB - headset - Convertible, Monaural</t>
  </si>
  <si>
    <t>Bart Folk</t>
  </si>
  <si>
    <t>Computer Printout Paper with Letter-Trim Perforations</t>
  </si>
  <si>
    <t>Avery 52</t>
  </si>
  <si>
    <t>Translucent Push Pins by OIC</t>
  </si>
  <si>
    <t>Rancho Cucamonga</t>
  </si>
  <si>
    <t>Avery 507</t>
  </si>
  <si>
    <t>Magdelene Morse</t>
  </si>
  <si>
    <t>Moorhead</t>
  </si>
  <si>
    <t>Newell 349</t>
  </si>
  <si>
    <t>GBC DocuBind P50 Personal Binding Machine</t>
  </si>
  <si>
    <t>Boston KS Multi-Size Manual Pencil Sharpener</t>
  </si>
  <si>
    <t>Tennsco 6- and 18-Compartment Lockers</t>
  </si>
  <si>
    <t>Adrian Hane</t>
  </si>
  <si>
    <t>Xerox 1888</t>
  </si>
  <si>
    <t>Ben Wallace</t>
  </si>
  <si>
    <t>Mesquite</t>
  </si>
  <si>
    <t>Newell 308</t>
  </si>
  <si>
    <t>Polycom SoundStation2 EX Conference phone</t>
  </si>
  <si>
    <t>Mobile Personal File Cube</t>
  </si>
  <si>
    <t>DMI Eclipse Executive Suite Bookcases</t>
  </si>
  <si>
    <t>Scot Wooten</t>
  </si>
  <si>
    <t>Stockton</t>
  </si>
  <si>
    <t>Sunnyvale</t>
  </si>
  <si>
    <t>Quality Park Security Envelopes</t>
  </si>
  <si>
    <t>Belkin SportFit Armband For iPhone 5s/5c, Fuchsia</t>
  </si>
  <si>
    <t>Brian Stugart</t>
  </si>
  <si>
    <t>DataProducts Ampli Magnifier Task Lamp, Black,</t>
  </si>
  <si>
    <t>Randy Ferguson</t>
  </si>
  <si>
    <t>Acco 6 Outlet Guardian Basic Surge Suppressor</t>
  </si>
  <si>
    <t>Sanford Colorific Scented Colored Pencils, 12/Pack</t>
  </si>
  <si>
    <t>Message Book, Phone, Wirebound Standard Line Memo, 2 3/4" X 5"</t>
  </si>
  <si>
    <t>William Brown</t>
  </si>
  <si>
    <t>Motorla HX550 Universal Bluetooth Headset</t>
  </si>
  <si>
    <t>Trudy Brown</t>
  </si>
  <si>
    <t>Eldon Expressions Wood Desk Accessories, Oak</t>
  </si>
  <si>
    <t>Acme Office Executive Series Stainless Steel Trimmers</t>
  </si>
  <si>
    <t>Chromcraft Bull-Nose Wood 48" x 96" Rectangular Conference Tables</t>
  </si>
  <si>
    <t>York</t>
  </si>
  <si>
    <t>Spigen Samsung Galaxy S5 Case Wallet</t>
  </si>
  <si>
    <t>Art Ferguson</t>
  </si>
  <si>
    <t>College Station</t>
  </si>
  <si>
    <t>Richard Bierner</t>
  </si>
  <si>
    <t>Saint Louis</t>
  </si>
  <si>
    <t>Newell 33</t>
  </si>
  <si>
    <t>Panasonic KP-350BK Electric Pencil Sharpener with Auto Stop</t>
  </si>
  <si>
    <t>Karen Ferguson</t>
  </si>
  <si>
    <t>Manteca</t>
  </si>
  <si>
    <t>Array Memo Cubes</t>
  </si>
  <si>
    <t>John Huston</t>
  </si>
  <si>
    <t>San Angelo</t>
  </si>
  <si>
    <t>Ivan Liston</t>
  </si>
  <si>
    <t>Wilson Jones data.warehouse D-Ring Binders with DublLock</t>
  </si>
  <si>
    <t>Patrick Bzostek</t>
  </si>
  <si>
    <t>Salt Lake City</t>
  </si>
  <si>
    <t>Xerox 1982</t>
  </si>
  <si>
    <t>Hon Mobius Operator's Chair</t>
  </si>
  <si>
    <t>Rob Haberlin</t>
  </si>
  <si>
    <t>Fellowes Mighty 8 Compact Surge Protector</t>
  </si>
  <si>
    <t>Harmony HEPA Quiet Air Purifiers</t>
  </si>
  <si>
    <t>Knoxville</t>
  </si>
  <si>
    <t>Little Rock</t>
  </si>
  <si>
    <t>Howard Miller 16" Diameter Gallery Wall Clock</t>
  </si>
  <si>
    <t>Eldon Executive Woodline II Desk Accessories, Mahogany</t>
  </si>
  <si>
    <t>Boston Model 1800 Electric Pencil Sharpener, Gray</t>
  </si>
  <si>
    <t>Arthur Wiediger</t>
  </si>
  <si>
    <t>Maris LaWare</t>
  </si>
  <si>
    <t>Polycom SoundPoint Pro SE-225 Corded phone</t>
  </si>
  <si>
    <t>Lincoln Park</t>
  </si>
  <si>
    <t>Euro-Pro Shark Turbo Vacuum</t>
  </si>
  <si>
    <t>Metal Folding Chairs, Beige, 4/Carton</t>
  </si>
  <si>
    <t>Dorothy Badders</t>
  </si>
  <si>
    <t>Nontoxic Chalk</t>
  </si>
  <si>
    <t>Matt Hagelstein</t>
  </si>
  <si>
    <t>Dennis Kane</t>
  </si>
  <si>
    <t>Marion</t>
  </si>
  <si>
    <t>Xerox 1991</t>
  </si>
  <si>
    <t>Bobby Trafton</t>
  </si>
  <si>
    <t>Atlantic Metals Mobile 2-Shelf Bookcases, Custom Colors</t>
  </si>
  <si>
    <t>Fellowes Advanced Computer Series Surge Protectors</t>
  </si>
  <si>
    <t>Denny Blanton</t>
  </si>
  <si>
    <t>Recycled Steel Personal File for Hanging File Folders</t>
  </si>
  <si>
    <t>HTC One</t>
  </si>
  <si>
    <t>Vermont</t>
  </si>
  <si>
    <t>Manco Dry-Lighter Erasable Highlighter</t>
  </si>
  <si>
    <t>Fiskars Home &amp; Office Scissors</t>
  </si>
  <si>
    <t>Eldon Cleatmat Chair Mats for Medium Pile Carpets</t>
  </si>
  <si>
    <t>Toby Gnade</t>
  </si>
  <si>
    <t>Avery Self-Adhesive Photo Pockets for Polaroid Photos</t>
  </si>
  <si>
    <t>Barry Franz</t>
  </si>
  <si>
    <t>Justin MacKendrick</t>
  </si>
  <si>
    <t>Xerox 1959</t>
  </si>
  <si>
    <t>Kensington 6 Outlet MasterPiece HOMEOFFICE Power Control Center</t>
  </si>
  <si>
    <t>Xerox 22</t>
  </si>
  <si>
    <t>Bangor</t>
  </si>
  <si>
    <t>Maine</t>
  </si>
  <si>
    <t>Wi-Ex zBoost YX540 Cellular Phone Signal Booster</t>
  </si>
  <si>
    <t>Wirebound Message Books, Four 2 3/4" x 5" Forms per Page, 600 Sets per Book</t>
  </si>
  <si>
    <t>Maria Zettner</t>
  </si>
  <si>
    <t>Mitch Webber</t>
  </si>
  <si>
    <t>Mark Van Huff</t>
  </si>
  <si>
    <t>Logitech diNovo Edge Keyboard</t>
  </si>
  <si>
    <t>Sean Miller</t>
  </si>
  <si>
    <t>Tom Prescott</t>
  </si>
  <si>
    <t>Xerox 227</t>
  </si>
  <si>
    <t>Fellowes Bases and Tops For Staxonsteel/High-Stak Systems</t>
  </si>
  <si>
    <t>Deflect-o Glass Clear Studded Chair Mats</t>
  </si>
  <si>
    <t>Canon PC1060 Personal Laser Copier</t>
  </si>
  <si>
    <t>Bevis Round Conference Room Tables and Bases</t>
  </si>
  <si>
    <t>Southaven</t>
  </si>
  <si>
    <t>Jim Karlsson</t>
  </si>
  <si>
    <t>Patrick Jones</t>
  </si>
  <si>
    <t>Xerox 1965</t>
  </si>
  <si>
    <t>Bionaire 99.97% HEPA Air Cleaner</t>
  </si>
  <si>
    <t>Eureka Sanitaire  Multi-Pro Heavy-Duty Upright, Disposable Bags</t>
  </si>
  <si>
    <t>Ricardo Sperren</t>
  </si>
  <si>
    <t>Balt Solid Wood Round Tables</t>
  </si>
  <si>
    <t>Plantronics MX500i Earset</t>
  </si>
  <si>
    <t>Midland</t>
  </si>
  <si>
    <t>Susan Vittorini</t>
  </si>
  <si>
    <t>Becky Castell</t>
  </si>
  <si>
    <t>Elizabeth Moffitt</t>
  </si>
  <si>
    <t>Sioux Falls</t>
  </si>
  <si>
    <t>South Dakota</t>
  </si>
  <si>
    <t>Logitech G35 7.1-Channel Surround Sound Headset</t>
  </si>
  <si>
    <t>Imation Secure Drive + Hardware Encrypted USB flash drive - 16 GB</t>
  </si>
  <si>
    <t>Brendan Murry</t>
  </si>
  <si>
    <t>Kristina Nunn</t>
  </si>
  <si>
    <t>Fort Collins</t>
  </si>
  <si>
    <t>Wausau Papers Astrobrights Colored Envelopes</t>
  </si>
  <si>
    <t>Tenex Antistatic Computer Chair Mats</t>
  </si>
  <si>
    <t>REDIFORM Incoming/Outgoing Call Register, 11" X 8 1/2", 100 Messages</t>
  </si>
  <si>
    <t>Kelly Williams</t>
  </si>
  <si>
    <t>Clarksville</t>
  </si>
  <si>
    <t>Tripp Lite Isotel 6 Outlet Surge Protector with Fax/Modem Protection</t>
  </si>
  <si>
    <t>Xerox 1994</t>
  </si>
  <si>
    <t>Nu-Dell Executive Frame</t>
  </si>
  <si>
    <t>Belkin 5 Outlet SurgeMaster Power Centers</t>
  </si>
  <si>
    <t>TOPS Carbonless Receipt Book, Four 2-3/4 x 7-1/4 Money Receipts per Page</t>
  </si>
  <si>
    <t>Insertable Tab Indexes For Data Binders</t>
  </si>
  <si>
    <t>Satellite Sectional Post Binders</t>
  </si>
  <si>
    <t>Scott Cohen</t>
  </si>
  <si>
    <t>Memorex Micro Travel Drive 32 GB</t>
  </si>
  <si>
    <t>Lexmark S315 Color Inkjet Printer</t>
  </si>
  <si>
    <t>SpineVue Locking Slant-D Ring Binders by Cardinal</t>
  </si>
  <si>
    <t>Eureka The Boss Lite 10-Amp Upright Vacuum, Blue</t>
  </si>
  <si>
    <t>Sacramento</t>
  </si>
  <si>
    <t>Global Leather &amp; Oak Executive Chair, Burgundy</t>
  </si>
  <si>
    <t>Rubbermaid ClusterMat Chairmats, Mat Size- 66" x 60", Lip 20" x 11" -90 Degree Angle</t>
  </si>
  <si>
    <t>Dixon Ticonderoga Maple Cedar Pencil, #2</t>
  </si>
  <si>
    <t>Acco Hot Clips Clips to Go</t>
  </si>
  <si>
    <t>Acme Kleencut Forged Steel Scissors</t>
  </si>
  <si>
    <t>Thousand Oaks</t>
  </si>
  <si>
    <t>Xerox 1951</t>
  </si>
  <si>
    <t>DAX Solid Wood Frames</t>
  </si>
  <si>
    <t>Christina VanderZanden</t>
  </si>
  <si>
    <t>Acco Smartsocket Color-Coded Six-Outlet AC Adapter Model Surge Protectors</t>
  </si>
  <si>
    <t>Clearsounds A400</t>
  </si>
  <si>
    <t>Hewlett Packard 310 Color Digital Copier</t>
  </si>
  <si>
    <t>Recycled Premium Regency Composition Covers</t>
  </si>
  <si>
    <t>Speros Goranitis</t>
  </si>
  <si>
    <t>Xerox 219</t>
  </si>
  <si>
    <t>Xerox 1903</t>
  </si>
  <si>
    <t>Logitech VX Revolution Cordless Laser Mouse for Notebooks (Black)</t>
  </si>
  <si>
    <t>Malden</t>
  </si>
  <si>
    <t>O'Sullivan Plantations 2-Door Library in Landvery Oak</t>
  </si>
  <si>
    <t>Tamara Manning</t>
  </si>
  <si>
    <t>Panasonic KX-TG9541B DECT 6.0 Digital 2-Line Expandable Cordless Phone With Digital Answering System</t>
  </si>
  <si>
    <t>Eleni McCrary</t>
  </si>
  <si>
    <t>Michelle Lonsdale</t>
  </si>
  <si>
    <t>Albuquerque</t>
  </si>
  <si>
    <t>Sparks</t>
  </si>
  <si>
    <t>Razer Kraken 7.1 Surround Sound Over Ear USB Gaming Headset</t>
  </si>
  <si>
    <t>Clay Rozendal</t>
  </si>
  <si>
    <t>Elmhurst</t>
  </si>
  <si>
    <t>Hon Rectangular Conference Tables</t>
  </si>
  <si>
    <t>Computer Printout Index Tabs</t>
  </si>
  <si>
    <t>GBC Wire Binding Combs</t>
  </si>
  <si>
    <t>Annie Zypern</t>
  </si>
  <si>
    <t>Iceberg Nesting Folding Chair, 19w x 6d x 43h</t>
  </si>
  <si>
    <t>Honeywell Enviracaire Portable HEPA Air Cleaner for 16' x 20' Room</t>
  </si>
  <si>
    <t>Pierre Wener</t>
  </si>
  <si>
    <t>Bevis Rectangular Conference Tables</t>
  </si>
  <si>
    <t>Ampad #10 Peel &amp; Seel Holiday Envelopes</t>
  </si>
  <si>
    <t>North Charleston</t>
  </si>
  <si>
    <t>Cardinal Holdit Data Disk Pockets</t>
  </si>
  <si>
    <t>Avery 496</t>
  </si>
  <si>
    <t>Shahid Collister</t>
  </si>
  <si>
    <t>Newport News</t>
  </si>
  <si>
    <t>Black Print Carbonless Snap-Off Rapid Letter, 8 1/2" x 7"</t>
  </si>
  <si>
    <t>Xerox 23</t>
  </si>
  <si>
    <t>Carlos Meador</t>
  </si>
  <si>
    <t>Eldon Pizzaz Desk Accessories</t>
  </si>
  <si>
    <t>Sauder Forest Hills Library, Woodland Oak Finish</t>
  </si>
  <si>
    <t>Global Deluxe High-Back Office Chair in Storm</t>
  </si>
  <si>
    <t>Kensington K72356US Mouse-in-a-Box USB Desktop Mouse</t>
  </si>
  <si>
    <t>Avery 50</t>
  </si>
  <si>
    <t>Greg Maxwell</t>
  </si>
  <si>
    <t>Fiskars Spring-Action Scissors</t>
  </si>
  <si>
    <t>Anker 24W Portable Micro USB Car Charger</t>
  </si>
  <si>
    <t>SAFCO Mobile Desk Side File, Wire Frame</t>
  </si>
  <si>
    <t>Newell 313</t>
  </si>
  <si>
    <t>Tim Brockman</t>
  </si>
  <si>
    <t>Jawbone JAMBOX Wireless Bluetooth Speaker</t>
  </si>
  <si>
    <t>Xerox 1895</t>
  </si>
  <si>
    <t>John Murray</t>
  </si>
  <si>
    <t>Jamestown</t>
  </si>
  <si>
    <t>Sonia Cooley</t>
  </si>
  <si>
    <t>Mishawaka</t>
  </si>
  <si>
    <t>#10 White Business Envelopes,4 1/8 x 9 1/2</t>
  </si>
  <si>
    <t>Luke Schmidt</t>
  </si>
  <si>
    <t>Ralph Ritter</t>
  </si>
  <si>
    <t>High Speed Automatic Electric Letter Opener</t>
  </si>
  <si>
    <t>Belkin 8 Outlet Surge Protector</t>
  </si>
  <si>
    <t>Panasonic KX TS3282B Corded phone</t>
  </si>
  <si>
    <t>Tennsco Snap-Together Open Shelving Units, Starter Sets and Add-On Units</t>
  </si>
  <si>
    <t>Daniel Byrd</t>
  </si>
  <si>
    <t>Avery 49</t>
  </si>
  <si>
    <t>Hoover Upright Vacuum With Dirt Cup</t>
  </si>
  <si>
    <t>Thomas Thornton</t>
  </si>
  <si>
    <t>Maxell 4.7GB DVD-RW 3/Pack</t>
  </si>
  <si>
    <t>Lori Olson</t>
  </si>
  <si>
    <t>La Quinta</t>
  </si>
  <si>
    <t>Nortel Meridian M5316 Digital phone</t>
  </si>
  <si>
    <t>Ken Dana</t>
  </si>
  <si>
    <t>Nicole Brennan</t>
  </si>
  <si>
    <t>Bush Westfield Collection Bookcases, Dark Cherry Finish</t>
  </si>
  <si>
    <t>3M Polarizing Task Lamp with Clamp Arm, Light Gray</t>
  </si>
  <si>
    <t>Tallahassee</t>
  </si>
  <si>
    <t>HTC One Mini</t>
  </si>
  <si>
    <t>Dell Slim USB Multimedia Keyboard</t>
  </si>
  <si>
    <t>Contemporary Wood/Metal Frame</t>
  </si>
  <si>
    <t>O'Sullivan Living Dimensions 3-Shelf Bookcases</t>
  </si>
  <si>
    <t>Nashville</t>
  </si>
  <si>
    <t>KeyTronic KT800P2 - Keyboard - Black</t>
  </si>
  <si>
    <t>Brian Derr</t>
  </si>
  <si>
    <t>Bellingham</t>
  </si>
  <si>
    <t>GBC Standard Plastic Binding Systems' Combs</t>
  </si>
  <si>
    <t>Woodstock</t>
  </si>
  <si>
    <t>Chris McAfee</t>
  </si>
  <si>
    <t>Holmes Harmony HEPA Air Purifier for 17 x 20 Room</t>
  </si>
  <si>
    <t>GE General Use Halogen Bulbs, 100 Watts, 1 Bulb per Pack</t>
  </si>
  <si>
    <t>Macally Suction Cup Mount</t>
  </si>
  <si>
    <t>Eldon Image Series Black Desk Accessories</t>
  </si>
  <si>
    <t>Haltom City</t>
  </si>
  <si>
    <t>Executive Impressions 14"</t>
  </si>
  <si>
    <t>Wheeling</t>
  </si>
  <si>
    <t>Executive Impressions 12" Wall Clock</t>
  </si>
  <si>
    <t>Bretford CR8500 Series Meeting Room Furniture</t>
  </si>
  <si>
    <t>Summerville</t>
  </si>
  <si>
    <t>Plantronics Calisto P620-M USB Wireless Speakerphone System</t>
  </si>
  <si>
    <t>Hammermill CopyPlus Copy Paper (20Lb. and 84 Bright)</t>
  </si>
  <si>
    <t>Edward Nazzal</t>
  </si>
  <si>
    <t>Panasonic KX MC6040 Color Laser Multifunction Printer</t>
  </si>
  <si>
    <t>Kean Nguyen</t>
  </si>
  <si>
    <t>Berol Giant Pencil Sharpener</t>
  </si>
  <si>
    <t>KeyTronic KT400U2 - Keyboard - Black</t>
  </si>
  <si>
    <t>Bill Overfelt</t>
  </si>
  <si>
    <t>Aleksandra Gannaway</t>
  </si>
  <si>
    <t>Avery 498</t>
  </si>
  <si>
    <t>Matthew Clasen</t>
  </si>
  <si>
    <t>Tom Ashbrook</t>
  </si>
  <si>
    <t>Canon imageCLASS 2200 Advanced Copier</t>
  </si>
  <si>
    <t>Epson TM-T88V Direct Thermal Printer - Monochrome - Desktop</t>
  </si>
  <si>
    <t>Accohide Poly Flexible Ring Binders</t>
  </si>
  <si>
    <t>Jason Fortune-</t>
  </si>
  <si>
    <t>SAFCO Optional Arm Kit for Workspace Cribbage Stacking Chair</t>
  </si>
  <si>
    <t>Stackable Trays</t>
  </si>
  <si>
    <t>Tim Taslimi</t>
  </si>
  <si>
    <t>Sarah Bern</t>
  </si>
  <si>
    <t>TOPS Voice Message Log Book, Flash Format</t>
  </si>
  <si>
    <t>Boston 1730 StandUp Electric Pencil Sharpener</t>
  </si>
  <si>
    <t>Hot Springs</t>
  </si>
  <si>
    <t>Executive Impressions 13" Clairmont Wall Clock</t>
  </si>
  <si>
    <t>GBC Laser Imprintable Binding System Covers, Desert Sand</t>
  </si>
  <si>
    <t>Xerox 2000</t>
  </si>
  <si>
    <t>Green Bar Computer Printout Paper</t>
  </si>
  <si>
    <t>Global Adaptabilites Bookcase, Cherry/Storm Gray Finish</t>
  </si>
  <si>
    <t>GBC Pre-Punched Binding Paper, Plastic, White, 8-1/2" x 11"</t>
  </si>
  <si>
    <t>Google Nexus 5</t>
  </si>
  <si>
    <t>Craig Leslie</t>
  </si>
  <si>
    <t>Hunter Glantz</t>
  </si>
  <si>
    <t>Nancy Lomonaco</t>
  </si>
  <si>
    <t>Rick Reed</t>
  </si>
  <si>
    <t>Global Italian Leather Office Chair</t>
  </si>
  <si>
    <t>Advantus Motivational Note Cards</t>
  </si>
  <si>
    <t>Toby Carlisle</t>
  </si>
  <si>
    <t>Stewart Visinsky</t>
  </si>
  <si>
    <t>Avery Flip-Chart Easel Binder, Black</t>
  </si>
  <si>
    <t>I.R.I.S IRISCard Anywhere 5 Card Scanner</t>
  </si>
  <si>
    <t>Ativa D5772 2-Line 5.8GHz Digital Expandable Corded/Cordless Phone System with Answering &amp; Caller ID/Call Waiting, Black/Silver</t>
  </si>
  <si>
    <t>Ibico Presentation Index for Binding Systems</t>
  </si>
  <si>
    <t>Adams "While You Were Out" Message Pads</t>
  </si>
  <si>
    <t>Englewood</t>
  </si>
  <si>
    <t>Wirebound Four 2-3/4 x 5 Forms per Page, 400 Sets per Book</t>
  </si>
  <si>
    <t>AT&amp;T 17929 Lendline Telephone</t>
  </si>
  <si>
    <t>Bobby Elias</t>
  </si>
  <si>
    <t>Hewlett-Packard Deskjet 6540 Color Inkjet Printer</t>
  </si>
  <si>
    <t>Cisco TelePresence System EX90 Videoconferencing Unit</t>
  </si>
  <si>
    <t>Avery Fluorescent Highlighter Four-Color Set</t>
  </si>
  <si>
    <t>Xerox 1944</t>
  </si>
  <si>
    <t>Xerox 215</t>
  </si>
  <si>
    <t>Xerox 1885</t>
  </si>
  <si>
    <t>Computer Room Manger, 14"</t>
  </si>
  <si>
    <t>AT&amp;T CL2909</t>
  </si>
  <si>
    <t>Plantronics Voyager Pro HD - Bluetooth Headset</t>
  </si>
  <si>
    <t>Steve Carroll</t>
  </si>
  <si>
    <t>AT&amp;T EL51110 DECT</t>
  </si>
  <si>
    <t>David Flashing</t>
  </si>
  <si>
    <t>Fred Harton</t>
  </si>
  <si>
    <t>Las Cruces</t>
  </si>
  <si>
    <t>BlackBerry Q10</t>
  </si>
  <si>
    <t>Hoover</t>
  </si>
  <si>
    <t>Compact Automatic Electric Letter Opener</t>
  </si>
  <si>
    <t>SanDisk Ultra 16 GB MicroSDHC Class 10 Memory Card</t>
  </si>
  <si>
    <t>MaryBeth Skach</t>
  </si>
  <si>
    <t>Frisco</t>
  </si>
  <si>
    <t>SanDisk Cruzer 8 GB USB Flash Drive</t>
  </si>
  <si>
    <t>Ritsa Hightower</t>
  </si>
  <si>
    <t>Hon Deluxe Fabric Upholstered Stacking Chairs, Squared Back</t>
  </si>
  <si>
    <t>Vacaville</t>
  </si>
  <si>
    <t>Advantus Rolling Drawer Organizers</t>
  </si>
  <si>
    <t>George Ashbrook</t>
  </si>
  <si>
    <t>Julie Prescott</t>
  </si>
  <si>
    <t>Dean percer</t>
  </si>
  <si>
    <t>Maxell 4.7GB DVD-R 5/Pack</t>
  </si>
  <si>
    <t>GBC Plasticlear Binding Covers</t>
  </si>
  <si>
    <t>Plastic Stacking Crates &amp; Casters</t>
  </si>
  <si>
    <t>Belkin F9M820V08 8 Outlet Surge</t>
  </si>
  <si>
    <t>Michael Oakman</t>
  </si>
  <si>
    <t>APC 7 Outlet Network SurgeArrest Surge Protector</t>
  </si>
  <si>
    <t>Waukesha</t>
  </si>
  <si>
    <t>Bakersfield</t>
  </si>
  <si>
    <t>Pompano Beach</t>
  </si>
  <si>
    <t>Maxell 4.7GB DVD+R 5/Pack</t>
  </si>
  <si>
    <t>Anker Astro Mini 3000mAh Ultra-Compact Portable Charger</t>
  </si>
  <si>
    <t>Advantus Map Pennant Flags and Round Head Tacks</t>
  </si>
  <si>
    <t>Corpus Christi</t>
  </si>
  <si>
    <t>Redondo Beach</t>
  </si>
  <si>
    <t>Denise Leinenbach</t>
  </si>
  <si>
    <t>Xerox 1953</t>
  </si>
  <si>
    <t>Michelle Huthwaite</t>
  </si>
  <si>
    <t>Xerox 228</t>
  </si>
  <si>
    <t>Advantus Employee of the Month Certificate Frame, 11 x 13-1/2</t>
  </si>
  <si>
    <t>Daniel Raglin</t>
  </si>
  <si>
    <t>Darrin Martin</t>
  </si>
  <si>
    <t>Xerox 1954</t>
  </si>
  <si>
    <t>Embossed Ink Jet Note Cards</t>
  </si>
  <si>
    <t>Xerox 1942</t>
  </si>
  <si>
    <t>Carina Mini System Audio Rack, Model AR050B</t>
  </si>
  <si>
    <t>Carol Adams</t>
  </si>
  <si>
    <t>Xerox 201</t>
  </si>
  <si>
    <t>Anna Chung</t>
  </si>
  <si>
    <t>Denise Monton</t>
  </si>
  <si>
    <t>Eldon Expressions Punched Metal &amp; Wood Desk Accessories, Black &amp; Cherry</t>
  </si>
  <si>
    <t>Vicky Freymann</t>
  </si>
  <si>
    <t>GE 4 Foot Flourescent Tube, 40 Watt</t>
  </si>
  <si>
    <t>Christopher Conant</t>
  </si>
  <si>
    <t>Nokia Lumia 925</t>
  </si>
  <si>
    <t>Orlando</t>
  </si>
  <si>
    <t>Dana Swing-Arm Lamps</t>
  </si>
  <si>
    <t>Beth Fritzler</t>
  </si>
  <si>
    <t>Orange</t>
  </si>
  <si>
    <t>Wirebound Message Books, Four 2 3/4 x 5 Forms per Page, 200 Sets per Book</t>
  </si>
  <si>
    <t>Harry Greene</t>
  </si>
  <si>
    <t>Lake Charles</t>
  </si>
  <si>
    <t>Xerox 1969</t>
  </si>
  <si>
    <t>Eldon 200 Class Desk Accessories, Smoke</t>
  </si>
  <si>
    <t>Highland Park</t>
  </si>
  <si>
    <t>Dual Level, Single-Width Filing Carts</t>
  </si>
  <si>
    <t>Xerox 1971</t>
  </si>
  <si>
    <t>Hempstead</t>
  </si>
  <si>
    <t>Boston 16750 Black Compact Battery Pencil Sharpener</t>
  </si>
  <si>
    <t>Noblesville</t>
  </si>
  <si>
    <t>Eberhard Faber 3 1/2" Golf Pencils</t>
  </si>
  <si>
    <t>Tenex Carpeted, Granite-Look or Clear Contemporary Contour Shape Chair Mats</t>
  </si>
  <si>
    <t>Becky Pak</t>
  </si>
  <si>
    <t>Apple Valley</t>
  </si>
  <si>
    <t>Global Highback Leather Tilter in Burgundy</t>
  </si>
  <si>
    <t>Executive Impressions 13-1/2" Indoor/Outdoor Wall Clock</t>
  </si>
  <si>
    <t>Eldon 400 Class Desk Accessories, Black Carbon</t>
  </si>
  <si>
    <t>Wilson Jones Clip &amp; Carry Folder Binder Tool for Ring Binders, Clear</t>
  </si>
  <si>
    <t>Eugene Moren</t>
  </si>
  <si>
    <t>Harbour Creations 67200 Series Stacking Chairs</t>
  </si>
  <si>
    <t>Tenex V2T-RE Standard Weight Series Chair Mat, 45" x 53", Lip 25" x 12"</t>
  </si>
  <si>
    <t>Samsung Galaxy Mega 6.3</t>
  </si>
  <si>
    <t>Michelle Arnett</t>
  </si>
  <si>
    <t>Andy Yotov</t>
  </si>
  <si>
    <t>DAX Two-Tone Rosewood/Black Document Frame, Desktop, 5 x 7</t>
  </si>
  <si>
    <t>Xerox 198</t>
  </si>
  <si>
    <t>Safco Chair Connectors, 6/Carton</t>
  </si>
  <si>
    <t>Mount Pleasant</t>
  </si>
  <si>
    <t>Giulietta Baptist</t>
  </si>
  <si>
    <t>Xerox 1997</t>
  </si>
  <si>
    <t>Julia Barnett</t>
  </si>
  <si>
    <t>Eldon Expressions Mahogany Wood Desk Collection</t>
  </si>
  <si>
    <t>VariCap6 Expandable Binder</t>
  </si>
  <si>
    <t>Stacking Trays by OIC</t>
  </si>
  <si>
    <t>Epson Perfection V600 Photo Scanner</t>
  </si>
  <si>
    <t>Sterling Heights</t>
  </si>
  <si>
    <t>Durable Pressboard Binders</t>
  </si>
  <si>
    <t>Michael Grace</t>
  </si>
  <si>
    <t>Kensington 7 Outlet MasterPiece Power Center with Fax/Phone Line Protection</t>
  </si>
  <si>
    <t>Eau Claire</t>
  </si>
  <si>
    <t>Sharelle Roach</t>
  </si>
  <si>
    <t>Pharr</t>
  </si>
  <si>
    <t>Alliance Rubber Bands</t>
  </si>
  <si>
    <t>Joy Bell-</t>
  </si>
  <si>
    <t>Billings</t>
  </si>
  <si>
    <t>SlimView Poly Binder, 3/8"</t>
  </si>
  <si>
    <t>Gresham</t>
  </si>
  <si>
    <t>Dario Medina</t>
  </si>
  <si>
    <t>Boston Electric Pencil Sharpener, Model 1818, Charcoal Black</t>
  </si>
  <si>
    <t>DAX Clear Channel Poster Frame</t>
  </si>
  <si>
    <t>Chattanooga</t>
  </si>
  <si>
    <t>#10 Self-Seal White Envelopes</t>
  </si>
  <si>
    <t>Hon Pagoda Stacking Chairs</t>
  </si>
  <si>
    <t>Newell 339</t>
  </si>
  <si>
    <t>Tony Chapman</t>
  </si>
  <si>
    <t>Meridian</t>
  </si>
  <si>
    <t>Idaho</t>
  </si>
  <si>
    <t>36X48 HARDFLOOR CHAIRMAT</t>
  </si>
  <si>
    <t>Sean Wendt</t>
  </si>
  <si>
    <t>Anderson Hickey Conga Table Tops &amp; Accessories</t>
  </si>
  <si>
    <t>Richard Eichhorn</t>
  </si>
  <si>
    <t>Apple EarPods with Remote and Mic</t>
  </si>
  <si>
    <t>Perixx PERIBOARD-512B, Ergonomic Split Keyboard</t>
  </si>
  <si>
    <t>Benjamin Farhat</t>
  </si>
  <si>
    <t>Logitech Wireless Headset H600 Over-The-Head Design</t>
  </si>
  <si>
    <t>Xerox 230</t>
  </si>
  <si>
    <t>Eldon Econocleat Chair Mats for Low Pile Carpets</t>
  </si>
  <si>
    <t>Katrina Bavinger</t>
  </si>
  <si>
    <t>Vtech CS6719</t>
  </si>
  <si>
    <t>Xerox 194</t>
  </si>
  <si>
    <t>Bolingbrook</t>
  </si>
  <si>
    <t>Jason Gross</t>
  </si>
  <si>
    <t>Bush Cubix Collection Bookcases, Fully Assembled</t>
  </si>
  <si>
    <t>Universal Recycled Hanging Pressboard Report Binders, Letter Size</t>
  </si>
  <si>
    <t>Erin Creighton</t>
  </si>
  <si>
    <t>Xerox 1980</t>
  </si>
  <si>
    <t>Strathmore Photo Frame Cards</t>
  </si>
  <si>
    <t>Okidata C331dn Printer</t>
  </si>
  <si>
    <t>Seth Thomas 8 1/2" Cubicle Clock</t>
  </si>
  <si>
    <t>Eugene Barchas</t>
  </si>
  <si>
    <t>Aastra 6757i CT Wireless VoIP phone</t>
  </si>
  <si>
    <t>Xerox 1907</t>
  </si>
  <si>
    <t>Jennifer Patt</t>
  </si>
  <si>
    <t>G.E. Longer-Life Indoor Recessed Floodlight Bulbs</t>
  </si>
  <si>
    <t>Panasonic KX TS3282W Corded phone</t>
  </si>
  <si>
    <t>Cari Sayre</t>
  </si>
  <si>
    <t>Global Leather and Oak Executive Chair, Black</t>
  </si>
  <si>
    <t>Cubify CubeX 3D Printer Double Head Print</t>
  </si>
  <si>
    <t>Maple Grove</t>
  </si>
  <si>
    <t>Ibico Ibimaster 300 Manual Binding System</t>
  </si>
  <si>
    <t>Gary Hansen</t>
  </si>
  <si>
    <t>Pete Takahito</t>
  </si>
  <si>
    <t>Wilson Jones Impact Binders</t>
  </si>
  <si>
    <t>Newell 34</t>
  </si>
  <si>
    <t>Polycom CX300 Desktop Phone USB VoIP phone</t>
  </si>
  <si>
    <t>Boston 1799 Powerhouse Electric Pencil Sharpener</t>
  </si>
  <si>
    <t>Woodland</t>
  </si>
  <si>
    <t>Wilson Jones Four-Pocket Poly Binders</t>
  </si>
  <si>
    <t>Sterilite Show Offs Storage Containers</t>
  </si>
  <si>
    <t>Missouri City</t>
  </si>
  <si>
    <t>Jack Lebron</t>
  </si>
  <si>
    <t>Alliance Super-Size Bands, Assorted Sizes</t>
  </si>
  <si>
    <t>BlueLounge Milo Smartphone Stand, White/Metallic</t>
  </si>
  <si>
    <t>Aaron Hawkins</t>
  </si>
  <si>
    <t>Avery White Multi-Purpose Labels</t>
  </si>
  <si>
    <t>Logitech G500s Laser Gaming Mouse with Adjustable Weight Tuning</t>
  </si>
  <si>
    <t>Pearland</t>
  </si>
  <si>
    <t>San Mateo</t>
  </si>
  <si>
    <t>Letter or Legal Size Expandable Poly String Tie Envelopes</t>
  </si>
  <si>
    <t>Stiletto Hand Letter Openers</t>
  </si>
  <si>
    <t>Tennsco Commercial Shelving</t>
  </si>
  <si>
    <t>Cindy Chapman</t>
  </si>
  <si>
    <t>David Wiener</t>
  </si>
  <si>
    <t>Samsung HM1900 Bluetooth Headset</t>
  </si>
  <si>
    <t>Sarah Jordon</t>
  </si>
  <si>
    <t>Cisco SPA112 2 Port Phone Adapter</t>
  </si>
  <si>
    <t>Col-Erase Pencils with Erasers</t>
  </si>
  <si>
    <t>Grand Rapids</t>
  </si>
  <si>
    <t>Bruce Geld</t>
  </si>
  <si>
    <t>Laurel Beltran</t>
  </si>
  <si>
    <t>Candace McMahon</t>
  </si>
  <si>
    <t>Xerox 221</t>
  </si>
  <si>
    <t>Evan Henry</t>
  </si>
  <si>
    <t>Plantronics Encore H101 Dual Earpieces Headset</t>
  </si>
  <si>
    <t>Visalia</t>
  </si>
  <si>
    <t>Overland Park</t>
  </si>
  <si>
    <t>Disposable Triple-Filter Dust Bags</t>
  </si>
  <si>
    <t>Temecula</t>
  </si>
  <si>
    <t>Memorex Mini Travel Drive 64 GB USB 2.0 Flash Drive</t>
  </si>
  <si>
    <t>Fellowes Powershred HS-440 4-Sheet High Security Shredder</t>
  </si>
  <si>
    <t>Motorola Droid Maxx</t>
  </si>
  <si>
    <t>Tony Sayre</t>
  </si>
  <si>
    <t>Xerox 1893</t>
  </si>
  <si>
    <t>Kensington Expert Mouse Optical USB Trackball for PC or Mac</t>
  </si>
  <si>
    <t>Master Caster Door Stop, Gray</t>
  </si>
  <si>
    <t>Patrick Ryan</t>
  </si>
  <si>
    <t>Tenex Chairmats For Use with Hard Floors</t>
  </si>
  <si>
    <t>Acco Flexible ACCOHIDE Square Ring Data Binder, Dark Blue, 11 1/2" X 14" 7/8"</t>
  </si>
  <si>
    <t>Fellowes Command Center 5-outlet power strip</t>
  </si>
  <si>
    <t>Yucaipa</t>
  </si>
  <si>
    <t>Rush Hierlooms Collection 1" Thick Stackable Bookcases</t>
  </si>
  <si>
    <t>Barricks 18" x 48" Non-Folding Utility Table with Bottom Storage Shelf</t>
  </si>
  <si>
    <t>Executive Impressions 10" Spectator Wall Clock</t>
  </si>
  <si>
    <t>Revere</t>
  </si>
  <si>
    <t>Liz Carlisle</t>
  </si>
  <si>
    <t>Hon Metal Bookcases, Putty</t>
  </si>
  <si>
    <t>Cindy Schnelling</t>
  </si>
  <si>
    <t>Conroe</t>
  </si>
  <si>
    <t>Tenex Personal Filing Tote With Secure Closure Lid, Black/Frost</t>
  </si>
  <si>
    <t>Xerox 1900</t>
  </si>
  <si>
    <t>OIC Stacking Trays</t>
  </si>
  <si>
    <t>Global Armless Task Chair, Royal Blue</t>
  </si>
  <si>
    <t>Dave Hallsten</t>
  </si>
  <si>
    <t>Tinley Park</t>
  </si>
  <si>
    <t>Eldon Executive Woodline II Cherry Finish Desk Accessories</t>
  </si>
  <si>
    <t>Dubuque</t>
  </si>
  <si>
    <t>Message Book, Wirebound, Four 5 1/2" X 4" Forms/Pg., 200 Dupl. Sets/Book</t>
  </si>
  <si>
    <t>Tenex Traditional Chairmats for Hard Floors, Average Lip, 36" x 48"</t>
  </si>
  <si>
    <t>Jack O'Briant</t>
  </si>
  <si>
    <t>Anna Häberlin</t>
  </si>
  <si>
    <t>Polycom VoiceStation 500 Conference phone</t>
  </si>
  <si>
    <t>Binney &amp; Smith inkTank Desk Highlighter, Chisel Tip, Yellow, 12/Box</t>
  </si>
  <si>
    <t>Speediset Carbonless Redi-Letter 7" x 8 1/2"</t>
  </si>
  <si>
    <t>Heather Jas</t>
  </si>
  <si>
    <t>Mark Hamilton</t>
  </si>
  <si>
    <t>Dearborn Heights</t>
  </si>
  <si>
    <t>Santa Fe</t>
  </si>
  <si>
    <t>Xerox 204</t>
  </si>
  <si>
    <t>Hickory</t>
  </si>
  <si>
    <t>Carol Stream</t>
  </si>
  <si>
    <t>Saint Cloud</t>
  </si>
  <si>
    <t>KeyTronic E03601U1 - Keyboard - Beige</t>
  </si>
  <si>
    <t>Imation Bio 2GB USB Flash Drive Imation Corp</t>
  </si>
  <si>
    <t>Russell D'Ascenzo</t>
  </si>
  <si>
    <t>Sam Craven</t>
  </si>
  <si>
    <t>Hon Metal Bookcases, Black</t>
  </si>
  <si>
    <t>Bush Birmingham Collection Bookcase, Dark Cherry</t>
  </si>
  <si>
    <t>AT&amp;T 1080 Phone</t>
  </si>
  <si>
    <t>Stephanie Ulpright</t>
  </si>
  <si>
    <t>Avery Metallic Poly Binders</t>
  </si>
  <si>
    <t>Ativa MDM8000 8-Sheet Micro-Cut Shredder</t>
  </si>
  <si>
    <t>Acco 6 Outlet Guardian Premium Plus Surge Suppressor</t>
  </si>
  <si>
    <t>Smead Alpha-Z Color-Coded Name Labels First Letter Starter Set</t>
  </si>
  <si>
    <t>Ooma Telo VoIP Home Phone System</t>
  </si>
  <si>
    <t>Telephone Message Books with Fax/Mobile Section, 4 1/4" x 6"</t>
  </si>
  <si>
    <t>Xerox 200</t>
  </si>
  <si>
    <t>Okidata MB491 Multifunction Printer</t>
  </si>
  <si>
    <t>Fred Chung</t>
  </si>
  <si>
    <t>North Miami</t>
  </si>
  <si>
    <t>Akro Stacking Bins</t>
  </si>
  <si>
    <t>Avery Hi-Liter Comfort Grip Fluorescent Highlighter, Yellow Ink</t>
  </si>
  <si>
    <t>Rosewill 107 Normal Keys USB Wired Standard Keyboard</t>
  </si>
  <si>
    <t>Randy Bradley</t>
  </si>
  <si>
    <t>Nick Crebassa</t>
  </si>
  <si>
    <t>PayAnywhere Card Reader</t>
  </si>
  <si>
    <t>Darren Budd</t>
  </si>
  <si>
    <t>Xerox 1882</t>
  </si>
  <si>
    <t>Memorex 25GB 6X Branded Blu-Ray Recordable Disc, 30/Pack</t>
  </si>
  <si>
    <t>Boston Home &amp; Office Model 2000 Electric Pencil Sharpeners</t>
  </si>
  <si>
    <t>Newell 31</t>
  </si>
  <si>
    <t>Premium Transparent Presentation Covers, No Pattern/Clear, 8 1/2" x 11"</t>
  </si>
  <si>
    <t>Xerox 1966</t>
  </si>
  <si>
    <t>Acme Kleen Earth Office Shears</t>
  </si>
  <si>
    <t>Maxell Pro 80 Minute CD-R, 10/Pack</t>
  </si>
  <si>
    <t>Imation Swivel Flash Drive USB flash drive - 8 GB</t>
  </si>
  <si>
    <t>Plantation</t>
  </si>
  <si>
    <t>Acrylic Self-Standing Desk Frames</t>
  </si>
  <si>
    <t>Elite 5" Scissors</t>
  </si>
  <si>
    <t>Acco Side-Punched Conventional Columnar Pads</t>
  </si>
  <si>
    <t>Avery 492</t>
  </si>
  <si>
    <t>Adjustable Personal File Tote</t>
  </si>
  <si>
    <t>Avery 05222 Permanent Self-Adhesive File Folder Labels for Typewriters, on Rolls, White, 250/Roll</t>
  </si>
  <si>
    <t>Prismacolor Color Pencil Set</t>
  </si>
  <si>
    <t>Port Saint Lucie</t>
  </si>
  <si>
    <t>Sharp 1540cs Digital Laser Copier</t>
  </si>
  <si>
    <t>Eldon Regeneration Recycled Desk Accessories, Black</t>
  </si>
  <si>
    <t>Eldon File Chest Portable File</t>
  </si>
  <si>
    <t>Maureen Fritzler</t>
  </si>
  <si>
    <t>Verbatim Slim CD and DVD Storage Cases, 50/Pack</t>
  </si>
  <si>
    <t>Letter Slitter</t>
  </si>
  <si>
    <t>Samsung Galaxy S4 Active</t>
  </si>
  <si>
    <t>Roland Murray</t>
  </si>
  <si>
    <t>Vivian Mathis</t>
  </si>
  <si>
    <t>Rock Hill</t>
  </si>
  <si>
    <t>Odessa</t>
  </si>
  <si>
    <t>Office Star - Mid Back Dual function Ergonomic High Back Chair with 2-Way Adjustable Arms</t>
  </si>
  <si>
    <t>West Allis</t>
  </si>
  <si>
    <t>Acco Banker's Clasps, 5 3/4"-Long</t>
  </si>
  <si>
    <t>Logitech Wireless Anywhere Mouse MX for PC and Mac</t>
  </si>
  <si>
    <t>Chula Vista</t>
  </si>
  <si>
    <t>Manhattan</t>
  </si>
  <si>
    <t>Acco Economy Flexible Poly Round Ring Binder</t>
  </si>
  <si>
    <t>Altoona</t>
  </si>
  <si>
    <t>Ed Jacobs</t>
  </si>
  <si>
    <t>Balt Split Level Computer Training Table</t>
  </si>
  <si>
    <t>Dixon Ticonderoga Core-Lock Colored Pencils</t>
  </si>
  <si>
    <t>Nathan Cano</t>
  </si>
  <si>
    <t>SAFCO Folding Chair Trolley</t>
  </si>
  <si>
    <t>Office Star - Contemporary Task Swivel chair with Loop Arms, Charcoal</t>
  </si>
  <si>
    <t>Avery 515</t>
  </si>
  <si>
    <t>TOPS 4 x 6 Fluorescent Color Memo Sheets, 500 Sheets per Pack</t>
  </si>
  <si>
    <t>Lycoris Saunders</t>
  </si>
  <si>
    <t>Executive Impressions 13" Chairman Wall Clock</t>
  </si>
  <si>
    <t>Things To Do Today Spiral Book</t>
  </si>
  <si>
    <t>Logitech Illuminated Ultrathin Keyboard with Backlighting</t>
  </si>
  <si>
    <t>Katrina Edelman</t>
  </si>
  <si>
    <t>Serrated Blade or Curved Handle Hand Letter Openers</t>
  </si>
  <si>
    <t>Ibico EB-19 Dual Function Manual Binding System</t>
  </si>
  <si>
    <t>Duane Huffman</t>
  </si>
  <si>
    <t>Eldon 300 Class Desk Accessories, Black</t>
  </si>
  <si>
    <t>Thornton</t>
  </si>
  <si>
    <t>Logitech G430 Surround Sound Gaming Headset with Dolby 7.1 Technology</t>
  </si>
  <si>
    <t>LG Exalt</t>
  </si>
  <si>
    <t>GBC Poly Designer Binding Covers</t>
  </si>
  <si>
    <t>Economy #2 Pencils</t>
  </si>
  <si>
    <t>Champaign</t>
  </si>
  <si>
    <t>Eldon "L" Workstation Diamond Chairmat</t>
  </si>
  <si>
    <t>Peter Fuller</t>
  </si>
  <si>
    <t>DAX Copper Panel Document Frame, 5 x 7 Size</t>
  </si>
  <si>
    <t>Texarkana</t>
  </si>
  <si>
    <t>Maxell 74 Minute CDR, 10/Pack</t>
  </si>
  <si>
    <t>Edinburg</t>
  </si>
  <si>
    <t>Baytown</t>
  </si>
  <si>
    <t>Micro Innovations Wireless Classic Keyboard with Mouse</t>
  </si>
  <si>
    <t>Valerie Takahito</t>
  </si>
  <si>
    <t>Bush Heritage Pine Collection 5-Shelf Bookcase, Albany Pine Finish, *Special Order</t>
  </si>
  <si>
    <t>LG G3</t>
  </si>
  <si>
    <t>Riverleaf Stik-Withit Designer Note Cubes</t>
  </si>
  <si>
    <t>HP Office Paper (20Lb. and 87 Bright)</t>
  </si>
  <si>
    <t>Binney &amp; Smith inkTank Erasable Pocket Highlighter, Chisel Tip, Yellow</t>
  </si>
  <si>
    <t>Greenwood</t>
  </si>
  <si>
    <t>Maureen Gnade</t>
  </si>
  <si>
    <t>RCA ViSYS 25423RE1 Corded phone</t>
  </si>
  <si>
    <t>3M Polarizing Light Filter Sleeves</t>
  </si>
  <si>
    <t>Newell 348</t>
  </si>
  <si>
    <t>Xerox 1928</t>
  </si>
  <si>
    <t>Susan Pistek</t>
  </si>
  <si>
    <t>Eldon Expressions Wood and Plastic Desk Accessories, Oak</t>
  </si>
  <si>
    <t>Black &amp; Decker Filter for Double Action Dustbuster Cordless Vac BLDV7210</t>
  </si>
  <si>
    <t>Charles Sheldon</t>
  </si>
  <si>
    <t>Ultra Door Kickplate, 8"H x 34"W</t>
  </si>
  <si>
    <t>Woonsocket</t>
  </si>
  <si>
    <t>Dana Kaydos</t>
  </si>
  <si>
    <t>Boston 1900 Electric Pencil Sharpener</t>
  </si>
  <si>
    <t>WD My Passport Ultra 1TB Portable External Hard Drive</t>
  </si>
  <si>
    <t>Canon PC170 Desktop Personal Copier</t>
  </si>
  <si>
    <t>Khloe Miller</t>
  </si>
  <si>
    <t>Memorex 25GB 6X Branded Blu-Ray Recordable Disc, 15/Pack</t>
  </si>
  <si>
    <t>Howard Miller 11-1/2" Diameter Brentwood Wall Clock</t>
  </si>
  <si>
    <t>Superior</t>
  </si>
  <si>
    <t>Xerox 1890</t>
  </si>
  <si>
    <t>Anna Andreadi</t>
  </si>
  <si>
    <t>Jackery Bar Premium Fast-charging Portable Charger</t>
  </si>
  <si>
    <t>Bedford</t>
  </si>
  <si>
    <t>Covington</t>
  </si>
  <si>
    <t>Permanent Self-Adhesive File Folder Labels for Typewriters, 1 1/8 x 3 1/2, White</t>
  </si>
  <si>
    <t>Cisco IP Phone 7961G VoIP phone - Dark gray</t>
  </si>
  <si>
    <t>Broken Arrow</t>
  </si>
  <si>
    <t>Miramar</t>
  </si>
  <si>
    <t>Hon Metal Bookcases, Gray</t>
  </si>
  <si>
    <t>Ibico EPK-21 Electric Binding System</t>
  </si>
  <si>
    <t>Holmes Visible Mist Ultrasonic Humidifier with 2.3-Gallon Output per Day, Replacement Filter</t>
  </si>
  <si>
    <t>Dorothy Dickinson</t>
  </si>
  <si>
    <t>Rush Hierlooms Collection Rich Wood Bookcases</t>
  </si>
  <si>
    <t>Kingston Digital DataTraveler 8GB USB 2.0</t>
  </si>
  <si>
    <t>HP Designjet T520 Inkjet Large Format Printer - 24" Color</t>
  </si>
  <si>
    <t>Hollywood</t>
  </si>
  <si>
    <t>Deer Park</t>
  </si>
  <si>
    <t>Wichita</t>
  </si>
  <si>
    <t>Newell 338</t>
  </si>
  <si>
    <t>Amy Hunt</t>
  </si>
  <si>
    <t>Tracy Poddar</t>
  </si>
  <si>
    <t>Global Enterprise Series Seating High-Back Swivel/Tilt Chairs</t>
  </si>
  <si>
    <t>Eileen Kiefer</t>
  </si>
  <si>
    <t>Cyra Reiten</t>
  </si>
  <si>
    <t>O'Sullivan 5-Shelf Heavy-Duty Bookcases</t>
  </si>
  <si>
    <t>Susan Gilcrest</t>
  </si>
  <si>
    <t>Mcallen</t>
  </si>
  <si>
    <t>Iowa City</t>
  </si>
  <si>
    <t>Hammermill Color Copier Paper (28Lb. and 96 Bright)</t>
  </si>
  <si>
    <t>Xerox 1990</t>
  </si>
  <si>
    <t>Boise</t>
  </si>
  <si>
    <t>Cranston</t>
  </si>
  <si>
    <t>Angele Hood</t>
  </si>
  <si>
    <t>Xerox 1933</t>
  </si>
  <si>
    <t>Green Canvas Binder for 8-1/2" x 14" Sheets</t>
  </si>
  <si>
    <t>Park Ridge Embossed Executive Business Envelopes</t>
  </si>
  <si>
    <t>Safco Value Mate Steel Bookcase, Baked Enamel Finish on Steel, Black</t>
  </si>
  <si>
    <t>Cisco Desktop Collaboration Experience DX650 IP Video Phone</t>
  </si>
  <si>
    <t>Howard Miller 12-3/4 Diameter Accuwave DS  Wall Clock</t>
  </si>
  <si>
    <t>Xerox 1975</t>
  </si>
  <si>
    <t>Neil Französisch</t>
  </si>
  <si>
    <t>Newell 323</t>
  </si>
  <si>
    <t>Boston 1827 Commercial Additional Cutter, Drive Gear &amp; Gear Rack for 1606</t>
  </si>
  <si>
    <t>Bill Shonely</t>
  </si>
  <si>
    <t>Mead 1st Gear 2" Zipper Binder, Asst. Colors</t>
  </si>
  <si>
    <t>Stefanie Holloman</t>
  </si>
  <si>
    <t>3D Systems Cube Printer, 2nd Generation, Magenta</t>
  </si>
  <si>
    <t>Avery 487</t>
  </si>
  <si>
    <t>Port Arthur</t>
  </si>
  <si>
    <t>Citrus Heights</t>
  </si>
  <si>
    <t>The Colony</t>
  </si>
  <si>
    <t>Hewlett-Packard Deskjet D4360 Printer</t>
  </si>
  <si>
    <t>DAX Wood Document Frame.</t>
  </si>
  <si>
    <t>Xerox 208</t>
  </si>
  <si>
    <t>Roger Demir</t>
  </si>
  <si>
    <t>Daytona Beach</t>
  </si>
  <si>
    <t>Memorex Micro Travel Drive 4 GB</t>
  </si>
  <si>
    <t>Bullhead City</t>
  </si>
  <si>
    <t>#6 3/4 Gummed Flap White Envelopes</t>
  </si>
  <si>
    <t>Portage</t>
  </si>
  <si>
    <t>DAX Two-Tone Silver Metal Document Frame</t>
  </si>
  <si>
    <t>Alex Grayson</t>
  </si>
  <si>
    <t>Fargo</t>
  </si>
  <si>
    <t>North Dakota</t>
  </si>
  <si>
    <t>Avery 503</t>
  </si>
  <si>
    <t>Elkhart</t>
  </si>
  <si>
    <t>Holmes 99% HEPA Air Purifier</t>
  </si>
  <si>
    <t>San Gabriel</t>
  </si>
  <si>
    <t>O'Sullivan Cherrywood Estates Traditional Barrister Bookcase</t>
  </si>
  <si>
    <t>SANFORD Major Accent Highlighters</t>
  </si>
  <si>
    <t>Margate</t>
  </si>
  <si>
    <t>Sandy Springs</t>
  </si>
  <si>
    <t>Hon 4-Shelf Metal Bookcases</t>
  </si>
  <si>
    <t>Global Adaptabilities Conference Tables</t>
  </si>
  <si>
    <t>Newell 316</t>
  </si>
  <si>
    <t>Fellowes Staxonsteel Drawer Files</t>
  </si>
  <si>
    <t>Avery Hi-Liter Smear-Safe Highlighters</t>
  </si>
  <si>
    <t>Inter-Office Recycled Envelopes, Brown Kraft, Button-String,10" x 13" , 100/Box</t>
  </si>
  <si>
    <t>Xerox 1992</t>
  </si>
  <si>
    <t>Mentor</t>
  </si>
  <si>
    <t>Riverside Furniture Stanwyck Manor Table Series</t>
  </si>
  <si>
    <t>Lawton</t>
  </si>
  <si>
    <t>Fellowes Recycled Storage Drawers</t>
  </si>
  <si>
    <t>Xerox 190</t>
  </si>
  <si>
    <t>Xerox 1892</t>
  </si>
  <si>
    <t>Georgia Rosenberg</t>
  </si>
  <si>
    <t>Seidio BD2-HK3IPH5-BK DILEX Case and Holster Combo for Apple iPhone 5/5s - Black</t>
  </si>
  <si>
    <t>Vivek Sundaresam</t>
  </si>
  <si>
    <t>Hampton</t>
  </si>
  <si>
    <t>TOPS "Important Message" Pads, Canary, 4-1/4 x 5-1/2, 50 Sheets per Pad</t>
  </si>
  <si>
    <t>24 Capacity Maxi Data Binder Racks, Pearl</t>
  </si>
  <si>
    <t>Rome</t>
  </si>
  <si>
    <t>Southworth 25% Cotton Premium Laser Paper and Envelopes</t>
  </si>
  <si>
    <t>Tony Molinari</t>
  </si>
  <si>
    <t>Multimedia Mailers</t>
  </si>
  <si>
    <t>Avery 5</t>
  </si>
  <si>
    <t>La Crosse</t>
  </si>
  <si>
    <t>Jensen SMPS-640 - speaker phone</t>
  </si>
  <si>
    <t>Master Caster Door Stop, Large Brown</t>
  </si>
  <si>
    <t>Fellowes Desktop Hanging File Manager</t>
  </si>
  <si>
    <t>Lewiston</t>
  </si>
  <si>
    <t>Xerox 1956</t>
  </si>
  <si>
    <t>Hattiesburg</t>
  </si>
  <si>
    <t>Nu-Dell Oak Frame</t>
  </si>
  <si>
    <t>Tom Stivers</t>
  </si>
  <si>
    <t>Danville</t>
  </si>
  <si>
    <t>GBC Therma-A-Bind 250T Electric Binding System</t>
  </si>
  <si>
    <t>Document Clip Frames</t>
  </si>
  <si>
    <t>Hoover Replacement Belts For Soft Guard &amp; Commercial Ltweight Upright Vacs, 2/Pk</t>
  </si>
  <si>
    <t>Xerox 1937</t>
  </si>
  <si>
    <t>DAX Cubicle Frames, 8-1/2 x 11</t>
  </si>
  <si>
    <t>Sauder Camden County Collection Library</t>
  </si>
  <si>
    <t>Canon PC-428 Personal Copier</t>
  </si>
  <si>
    <t>Office Star - Ergonomic Mid Back Chair with 2-Way Adjustable Arms</t>
  </si>
  <si>
    <t>Dennis Bolton</t>
  </si>
  <si>
    <t>Xerox 1917</t>
  </si>
  <si>
    <t>SanDisk Cruzer 16 GB USB Flash Drive</t>
  </si>
  <si>
    <t>Logan</t>
  </si>
  <si>
    <t>Imation 30456 USB Flash Drive 8GB</t>
  </si>
  <si>
    <t>Panasonic KX TS208W Corded phone</t>
  </si>
  <si>
    <t>Waterbury</t>
  </si>
  <si>
    <t>Xerox 19</t>
  </si>
  <si>
    <t>Nick Radford</t>
  </si>
  <si>
    <t>Athens</t>
  </si>
  <si>
    <t>SanDisk Cruzer 4 GB USB Flash Drive</t>
  </si>
  <si>
    <t>AmazonBasics 3-Button USB Wired Mouse</t>
  </si>
  <si>
    <t>14-7/8 x 11 Blue Bar Computer Printout Paper</t>
  </si>
  <si>
    <t>Tyvek Interoffice Envelopes, 9 1/2" x 12 1/2", 100/Box</t>
  </si>
  <si>
    <t>Cari Schnelling</t>
  </si>
  <si>
    <t>Kleencut Forged Office Shears by Acme United Corporation</t>
  </si>
  <si>
    <t>Avondale</t>
  </si>
  <si>
    <t>Avery Triangle Shaped Sheet Lifters, Black, 2/Pack</t>
  </si>
  <si>
    <t>Logitech Keyboard K120</t>
  </si>
  <si>
    <t>Xerox 1932</t>
  </si>
  <si>
    <t>Monica Federle</t>
  </si>
  <si>
    <t>Marietta</t>
  </si>
  <si>
    <t>Dixon Ticonderoga Pencils</t>
  </si>
  <si>
    <t>DAX Contemporary Wood Frame with Silver Metal Mat, Desktop, 11 x 14 Size</t>
  </si>
  <si>
    <t>Liz Willingham</t>
  </si>
  <si>
    <t>Yuma</t>
  </si>
  <si>
    <t>Texas Instrument TI-15 Fraction Calculator</t>
  </si>
  <si>
    <t>Wausau</t>
  </si>
  <si>
    <t>Pasco</t>
  </si>
  <si>
    <t>Deflect-o EconoMat Nonstudded, No Bevel Mat</t>
  </si>
  <si>
    <t>Oak Park</t>
  </si>
  <si>
    <t>OIC Thumb-Tacks</t>
  </si>
  <si>
    <t>Pensacola</t>
  </si>
  <si>
    <t>Sanford EarthWrite Recycled Pencils, Medium Soft, #2</t>
  </si>
  <si>
    <t>PNY Rapid USB Car Charger - Black</t>
  </si>
  <si>
    <t>League City</t>
  </si>
  <si>
    <t>Hon Every-Day Chair Series Swivel Task Chairs</t>
  </si>
  <si>
    <t>Gaithersburg</t>
  </si>
  <si>
    <t>Alex Russell</t>
  </si>
  <si>
    <t>Karen Seio</t>
  </si>
  <si>
    <t>Lehi</t>
  </si>
  <si>
    <t>SmartStand Mobile Device Holder, Assorted Colors</t>
  </si>
  <si>
    <t>Tuscaloosa</t>
  </si>
  <si>
    <t>Belkin 8-Outlet Premiere SurgeMaster II Surge Protectors</t>
  </si>
  <si>
    <t>Aaron Bergman</t>
  </si>
  <si>
    <t>Euro Pro Shark Stick Mini Vacuum</t>
  </si>
  <si>
    <t>Astroparche Fine Business Paper</t>
  </si>
  <si>
    <t>Zebra ZM400 Thermal Label Printer</t>
  </si>
  <si>
    <t>Lisa Ryan</t>
  </si>
  <si>
    <t>Letter Size File</t>
  </si>
  <si>
    <t>Dexim XPower Skin Super-Thin Power Case for iPhone 5 - Black</t>
  </si>
  <si>
    <t>Samsung Galaxy S4</t>
  </si>
  <si>
    <t>Shahid Shariari</t>
  </si>
  <si>
    <t>Office Star Flex Back Scooter Chair with Aluminum Finish Frame</t>
  </si>
  <si>
    <t>Moreno Valley</t>
  </si>
  <si>
    <t>Georgetown</t>
  </si>
  <si>
    <t>Jill Matthias</t>
  </si>
  <si>
    <t>Samsung Convoy 3</t>
  </si>
  <si>
    <t>Loveland</t>
  </si>
  <si>
    <t>Eldon Imàge Series Desk Accessories, Clear</t>
  </si>
  <si>
    <t>Avery 491</t>
  </si>
  <si>
    <t>Xerox 209</t>
  </si>
  <si>
    <t>Chandler</t>
  </si>
  <si>
    <t>Helena</t>
  </si>
  <si>
    <t>Kirkwood</t>
  </si>
  <si>
    <t>Waco</t>
  </si>
  <si>
    <t>Peel &amp; Seel Recycled Catalog Envelopes, Brown</t>
  </si>
  <si>
    <t>Avanti 1.7 Cu. Ft. Refrigerator</t>
  </si>
  <si>
    <t>Acme Design Stainless Steel Bent Scissors</t>
  </si>
  <si>
    <t>Barricks Non-Folding Utility Table with Steel Legs, Laminate Tops</t>
  </si>
  <si>
    <t>Frankfort</t>
  </si>
  <si>
    <t>Bethlehem</t>
  </si>
  <si>
    <t>Hewlett-Packard 300S Scientific Calculator</t>
  </si>
  <si>
    <t>Avery 495</t>
  </si>
  <si>
    <t>iOttie HLCRIO102 Car Mount</t>
  </si>
  <si>
    <t>Avery Hi-Liter GlideStik Fluorescent Highlighter, Yellow Ink</t>
  </si>
  <si>
    <t>Eldon 500 Class Desk Accessories</t>
  </si>
  <si>
    <t>Grand Island</t>
  </si>
  <si>
    <t>Jason Klamczynski</t>
  </si>
  <si>
    <t>Woodbury</t>
  </si>
  <si>
    <t>EcoTones Memo Sheets</t>
  </si>
  <si>
    <t>Xerox 1906</t>
  </si>
  <si>
    <t>Texas Instruments TI-34 Scientific Calculator</t>
  </si>
  <si>
    <t>Don Miller</t>
  </si>
  <si>
    <t>Rogers</t>
  </si>
  <si>
    <t>Muhammed Lee</t>
  </si>
  <si>
    <t>Standard Line “While You Were Out” Hardbound Telephone Message Book</t>
  </si>
  <si>
    <t>Clovis</t>
  </si>
  <si>
    <t>Kingston Digital DataTraveler 64GB USB 2.0</t>
  </si>
  <si>
    <t>GBC VeloBinder Strips</t>
  </si>
  <si>
    <t>Xerox 1963</t>
  </si>
  <si>
    <t>Logitech Z-906 Speaker sys - home theater - 5.1-CH</t>
  </si>
  <si>
    <t>Marc Harrigan</t>
  </si>
  <si>
    <t>Frank Carlisle</t>
  </si>
  <si>
    <t>Sanyo Counter Height Refrigerator with Crisper, 3.6 Cubic Foot, Stainless Steel/Black</t>
  </si>
  <si>
    <t>Luxo Adjustable Task Clamp Lamp</t>
  </si>
  <si>
    <t>Jupiter</t>
  </si>
  <si>
    <t>Unpadded Memo Slips</t>
  </si>
  <si>
    <t>Barrel Sharpener</t>
  </si>
  <si>
    <t>Acco Glide Clips</t>
  </si>
  <si>
    <t>Bush Cubix Conference Tables, Fully Assembled</t>
  </si>
  <si>
    <t>Office Star - Contemporary Task Swivel chair with 2-way adjustable arms, Plum</t>
  </si>
  <si>
    <t>Thea Hudgings</t>
  </si>
  <si>
    <t>RCA H5401RE1 DECT 6.0 4-Line Cordless Handset With Caller ID/Call Waiting</t>
  </si>
  <si>
    <t>Santa Barbara</t>
  </si>
  <si>
    <t>Cedar Hill</t>
  </si>
  <si>
    <t>Juliana Krohn</t>
  </si>
  <si>
    <t>Norfolk</t>
  </si>
  <si>
    <t>SAFCO PlanMaster Boards, 60w x 37-1/2d, White Melamine</t>
  </si>
  <si>
    <t>Draper</t>
  </si>
  <si>
    <t>Xerox 20</t>
  </si>
  <si>
    <t>HP Officejet Pro 8600 e-All-In-One Printer, Copier, Scanner, Fax</t>
  </si>
  <si>
    <t>Black Print Carbonless 8 1/2" x 8 1/4" Rapid Memo Book</t>
  </si>
  <si>
    <t>Lunatik TT5L-002 Taktik Strike Impact Protection System for iPhone 5</t>
  </si>
  <si>
    <t>Iris 3-Drawer Stacking Bin, Black</t>
  </si>
  <si>
    <t>Panasonic Business Telephones KX-T7736</t>
  </si>
  <si>
    <t>Sarah Brown</t>
  </si>
  <si>
    <t>Hunt Boston Vacuum Mount KS Pencil Sharpener</t>
  </si>
  <si>
    <t>Portfile Personal File Boxes</t>
  </si>
  <si>
    <t>Barry Gonzalez</t>
  </si>
  <si>
    <t>Belkin 19" Center-Weighted Shelf, Gray</t>
  </si>
  <si>
    <t>Hon Comfortask Task/Swivel Chairs</t>
  </si>
  <si>
    <t>Ann Arbor</t>
  </si>
  <si>
    <t>La Mesa</t>
  </si>
  <si>
    <t>Career Cubicle Clock, 8 1/4", Black</t>
  </si>
  <si>
    <t>Boston 16765 Mini Stand Up Battery Pencil Sharpener</t>
  </si>
  <si>
    <t>Pocatello</t>
  </si>
  <si>
    <t>Holland</t>
  </si>
  <si>
    <t>Milford</t>
  </si>
  <si>
    <t>Buffalo Grove</t>
  </si>
  <si>
    <t>Avery 475</t>
  </si>
  <si>
    <t>Barry Weirich</t>
  </si>
  <si>
    <t>Lake Forest</t>
  </si>
  <si>
    <t>Redding</t>
  </si>
  <si>
    <t>Vtech AT&amp;T CL2940 Corded Speakerphone, Black</t>
  </si>
  <si>
    <t>Chico</t>
  </si>
  <si>
    <t>Mitch Gastineau</t>
  </si>
  <si>
    <t>Tenex B1-RE Series Chair Mats for Low Pile Carpets</t>
  </si>
  <si>
    <t>Utica</t>
  </si>
  <si>
    <t>Doug O'Connell</t>
  </si>
  <si>
    <t>Griffin GC17055 Auxiliary Audio Cable</t>
  </si>
  <si>
    <t>Rogers Profile Extra Capacity Storage Tub</t>
  </si>
  <si>
    <t>RCA ViSYS 25825 Wireless digital phone</t>
  </si>
  <si>
    <t>Conway</t>
  </si>
  <si>
    <t>Xerox 1914</t>
  </si>
  <si>
    <t>Cheyenne</t>
  </si>
  <si>
    <t>Wyoming</t>
  </si>
  <si>
    <t>Barry Pond</t>
  </si>
  <si>
    <t>Owensboro</t>
  </si>
  <si>
    <t>Xerox 1902</t>
  </si>
  <si>
    <t>Acme Titanium Bonded Scissors</t>
  </si>
  <si>
    <t>Ibico Recycled Linen-Style Covers</t>
  </si>
  <si>
    <t>Xerox 207</t>
  </si>
  <si>
    <t>Caldwell</t>
  </si>
  <si>
    <t>Kenner</t>
  </si>
  <si>
    <t>Nashua</t>
  </si>
  <si>
    <t>Socket Bluetooth Cordless Hand Scanner (CHS)</t>
  </si>
  <si>
    <t>Trudy Schmidt</t>
  </si>
  <si>
    <t>Bartlett</t>
  </si>
  <si>
    <t>Okidata B400 Printer</t>
  </si>
  <si>
    <t>Logitech Wireless Boombox Speaker - portable - wireless, wired</t>
  </si>
  <si>
    <t>Redwood City</t>
  </si>
  <si>
    <t>Xiaomi Mi3</t>
  </si>
  <si>
    <t>Xerox 1947</t>
  </si>
  <si>
    <t>Evan Minnotte</t>
  </si>
  <si>
    <t>Lebanon</t>
  </si>
  <si>
    <t>Anthony O'Donnell</t>
  </si>
  <si>
    <t>Santa Maria</t>
  </si>
  <si>
    <t>Sony Micro Vault Click 4 GB USB 2.0 Flash Drive</t>
  </si>
  <si>
    <t>Mark Haberlin</t>
  </si>
  <si>
    <t>Xerox 193</t>
  </si>
  <si>
    <t>Des Plaines</t>
  </si>
  <si>
    <t>Longview</t>
  </si>
  <si>
    <t>Hendersonville</t>
  </si>
  <si>
    <t>Waterloo</t>
  </si>
  <si>
    <t>iOttie XL Car Mount</t>
  </si>
  <si>
    <t>Hoover Commercial Lightweight Upright Vacuum with E-Z Empty Dirt Cup</t>
  </si>
  <si>
    <t>Cambridge</t>
  </si>
  <si>
    <t>Palatine</t>
  </si>
  <si>
    <t>First Data TMFD35 PIN Pad</t>
  </si>
  <si>
    <t>Ultra Commercial Grade Dual Valve Door Closer</t>
  </si>
  <si>
    <t>Beverly</t>
  </si>
  <si>
    <t>Contemporary Borderless Frame</t>
  </si>
  <si>
    <t>Eugene</t>
  </si>
  <si>
    <t>Oxnard</t>
  </si>
  <si>
    <t>Renton</t>
  </si>
  <si>
    <t>3D Systems Cube Printer, 2nd Generation, White</t>
  </si>
  <si>
    <t>Panasonic KX - TS880B Telephone</t>
  </si>
  <si>
    <t>Acco Recycled 2" Capacity Laser Printer Hanging Data Binders</t>
  </si>
  <si>
    <t>Xerox 1936</t>
  </si>
  <si>
    <t>Avery Legal 4-Ring Binder</t>
  </si>
  <si>
    <t>Avaya 5410 Digital phone</t>
  </si>
  <si>
    <t>Glenview</t>
  </si>
  <si>
    <t>Shirley Schmidt</t>
  </si>
  <si>
    <t>Lela Donovan</t>
  </si>
  <si>
    <t>TOPS Money Receipt Book, Consecutively Numbered in Red,</t>
  </si>
  <si>
    <t>Desktop 3-Pocket Hot File</t>
  </si>
  <si>
    <t>Wirebound Voice Message Log Book</t>
  </si>
  <si>
    <t>Konica Minolta magicolor 1690MF Multifunction Printer</t>
  </si>
  <si>
    <t>Linden 12" Wall Clock With Oak Frame</t>
  </si>
  <si>
    <t>Delray Beach</t>
  </si>
  <si>
    <t>Commerce City</t>
  </si>
  <si>
    <t>Victoria Pisteka</t>
  </si>
  <si>
    <t>Texas City</t>
  </si>
  <si>
    <t>Wilson</t>
  </si>
  <si>
    <t>Tensor Brushed Steel Torchiere Floor Lamp</t>
  </si>
  <si>
    <t>Ricoh - Ink Collector Unit for GX3000 Series Printers</t>
  </si>
  <si>
    <t>Wirebound Message Forms, Four 2 3/4 x 5 Forms per Page, Pink Paper</t>
  </si>
  <si>
    <t>Avery 479</t>
  </si>
  <si>
    <t>Rio Rancho</t>
  </si>
  <si>
    <t>Goldsboro</t>
  </si>
  <si>
    <t>Theresa Coyne</t>
  </si>
  <si>
    <t>Okidata C610n Printer</t>
  </si>
  <si>
    <t>Xerox 229</t>
  </si>
  <si>
    <t>Acme Galleria Hot Forged Steel Scissors with Colored Handles</t>
  </si>
  <si>
    <t>Ionia McGrath</t>
  </si>
  <si>
    <t>Nu-Dell EZ-Mount Plastic Wall Frames</t>
  </si>
  <si>
    <t>Tensor Track Tree Floor Lamp</t>
  </si>
  <si>
    <t>Montebello</t>
  </si>
  <si>
    <t>Hon Olson Stacker Chairs</t>
  </si>
  <si>
    <t>El Cajon</t>
  </si>
  <si>
    <t>Beaumont</t>
  </si>
  <si>
    <t>Belkin 7-Outlet SurgeMaster Home Series</t>
  </si>
  <si>
    <t>West Palm Beach</t>
  </si>
  <si>
    <t>Griffin GC36547 PowerJolt SE Lightning Charger</t>
  </si>
  <si>
    <t>Deflect-o DuraMat Antistatic Studded Beveled Mat for Medium Pile Carpeting</t>
  </si>
  <si>
    <t>Cherry 142-key Programmable Keyboard</t>
  </si>
  <si>
    <t>Motorola L703CM</t>
  </si>
  <si>
    <t>NeatDesk Desktop Scanner &amp; Digital Filing System</t>
  </si>
  <si>
    <t>Anemone Ratner</t>
  </si>
  <si>
    <t>Abilene</t>
  </si>
  <si>
    <t>Hoover Commercial Lightweight Upright Vacuum</t>
  </si>
  <si>
    <t>Normal</t>
  </si>
  <si>
    <t>Xerox 1976</t>
  </si>
  <si>
    <t>Stride Job 150 Highlighters, Chisel Tip, Assorted Colors</t>
  </si>
  <si>
    <t>Black Avery Memo-Size 3-Ring Binder, 5 1/2" x 8 1/2"</t>
  </si>
  <si>
    <t>Saint Charles</t>
  </si>
  <si>
    <t>Xerox 1983</t>
  </si>
  <si>
    <t>Tenex Chairmat w/ Average Lip, 45" x 53"</t>
  </si>
  <si>
    <t>Camarillo</t>
  </si>
  <si>
    <t>Brother MFC-9340CDW LED All-In-One Printer, Copier Scanner</t>
  </si>
  <si>
    <t>Avery 484</t>
  </si>
  <si>
    <t>Electrix Fluorescent Magnifier Lamps &amp; Weighted Base</t>
  </si>
  <si>
    <t>Hillsboro</t>
  </si>
  <si>
    <t>Burbank</t>
  </si>
  <si>
    <t>Modesto</t>
  </si>
  <si>
    <t>Garden City</t>
  </si>
  <si>
    <t>Space Solutions Industrial Galvanized Steel Shelving.</t>
  </si>
  <si>
    <t>Atlantic City</t>
  </si>
  <si>
    <t>Longmont</t>
  </si>
  <si>
    <t>Craig Molinari</t>
  </si>
  <si>
    <t>Plantronics Single Ear Headset</t>
  </si>
  <si>
    <t>Zebra GK420t Direct Thermal/Thermal Transfer Printer</t>
  </si>
  <si>
    <t>Fred Wasserman</t>
  </si>
  <si>
    <t>Tensor "Hersey Kiss" Styled Floor Lamp</t>
  </si>
  <si>
    <t>Memorex Mini Travel Drive 32 GB USB 2.0 Flash Drive</t>
  </si>
  <si>
    <t>Hoover Commercial SteamVac</t>
  </si>
  <si>
    <t>Xerox 1938</t>
  </si>
  <si>
    <t>NETGEAR RangeMax WNR1000 Wireless Router</t>
  </si>
  <si>
    <t>Xerox 1899</t>
  </si>
  <si>
    <t>Davis</t>
  </si>
  <si>
    <t>West Virginia</t>
  </si>
  <si>
    <t>Morgan Hill</t>
  </si>
  <si>
    <t>Hewlett-Packard Desktjet 6988DT Refurbished Printer</t>
  </si>
  <si>
    <t>Bush Westfield Collection Bookcases, Dark Cherry Finish, Fully Assembled</t>
  </si>
  <si>
    <t>Clifton</t>
  </si>
  <si>
    <t>Sheboygan</t>
  </si>
  <si>
    <t>Executive Impressions 16-1/2" Circular Wall Clock</t>
  </si>
  <si>
    <t>East Point</t>
  </si>
  <si>
    <t>Lindsay Castell</t>
  </si>
  <si>
    <t>Okidata MB760 Printer</t>
  </si>
  <si>
    <t>Dixon Ticonderoga Core-Lock Colored Pencils, 48-Color Set</t>
  </si>
  <si>
    <t>Rapid City</t>
  </si>
  <si>
    <t>Harold Engle</t>
  </si>
  <si>
    <t>Executive Impressions 14" Contract Wall Clock with Quartz Movement</t>
  </si>
  <si>
    <t>Sterling Rubber Bands by Alliance</t>
  </si>
  <si>
    <t>Kensington 6 Outlet SmartSocket Surge Protector</t>
  </si>
  <si>
    <t>Maxell CD-R Discs</t>
  </si>
  <si>
    <t>Andover</t>
  </si>
  <si>
    <t>Avery Hi-Liter Pen Style Six-Color Fluorescent Set</t>
  </si>
  <si>
    <t>Kissimmee</t>
  </si>
  <si>
    <t>Acme Design Line 8" Stainless Steel Bent Scissors w/Champagne Handles, 3-1/8" Cut</t>
  </si>
  <si>
    <t>Shelton</t>
  </si>
  <si>
    <t>Danbury</t>
  </si>
  <si>
    <t>Star Micronics TSP100 TSP143LAN Receipt Printer</t>
  </si>
  <si>
    <t>Brendan Dodson</t>
  </si>
  <si>
    <t>Harold Dahlen</t>
  </si>
  <si>
    <t>Sanford</t>
  </si>
  <si>
    <t>San Marcos</t>
  </si>
  <si>
    <t>Greeley</t>
  </si>
  <si>
    <t>Carl Jackson</t>
  </si>
  <si>
    <t>Mansfield</t>
  </si>
  <si>
    <t>Xerox 1955</t>
  </si>
  <si>
    <t>Elyria</t>
  </si>
  <si>
    <t>Snap-A-Way Black Print Carbonless Speed Message, No Reply Area, Duplicate</t>
  </si>
  <si>
    <t>Twin Falls</t>
  </si>
  <si>
    <t>1/4 Fold Party Design Invitations &amp; White Envelopes, 24 8-1/2" X 11" Cards, 25 Env./Pack</t>
  </si>
  <si>
    <t>Hewlett-Packard Deskjet F4180 All-in-One Color Ink-jet - Printer / copier / scanner</t>
  </si>
  <si>
    <t>Lexmark 20R1285 X6650 Wireless All-in-One Printer</t>
  </si>
  <si>
    <t>Coral Gables</t>
  </si>
  <si>
    <t>Nokia Lumia 1020</t>
  </si>
  <si>
    <t>Acme Serrated Blade Letter Opener</t>
  </si>
  <si>
    <t>Okidata B401 Printer</t>
  </si>
  <si>
    <t>Romeoville</t>
  </si>
  <si>
    <t>Marlborough</t>
  </si>
  <si>
    <t>Xerox Blank Computer Paper</t>
  </si>
  <si>
    <t>Laurel</t>
  </si>
  <si>
    <t>4009 Highlighters</t>
  </si>
  <si>
    <t>Global Enterprise Series Seating Low-Back Swivel/Tilt Chairs</t>
  </si>
  <si>
    <t>Roy Skaria</t>
  </si>
  <si>
    <t>Self-Adhesive Address Labels for Typewriters with Dispenser Box</t>
  </si>
  <si>
    <t>Bryan</t>
  </si>
  <si>
    <t>Pine Bluff</t>
  </si>
  <si>
    <t>Aberdeen</t>
  </si>
  <si>
    <t>Hagerstown</t>
  </si>
  <si>
    <t>Office Star - Task Chair with Contemporary Loop Arms</t>
  </si>
  <si>
    <t>East Orange</t>
  </si>
  <si>
    <t>Grip Seal Envelopes</t>
  </si>
  <si>
    <t>Sung Chung</t>
  </si>
  <si>
    <t>Arlington Heights</t>
  </si>
  <si>
    <t>Ricardo Emerson</t>
  </si>
  <si>
    <t>Penpower WorldCard Pro Card Scanner</t>
  </si>
  <si>
    <t>Sony 8GB Class 10 Micro SDHC R40 Memory Card</t>
  </si>
  <si>
    <t>Oswego</t>
  </si>
  <si>
    <t>RCA ViSYS 25425RE1 Corded phone</t>
  </si>
  <si>
    <t>Susan MacKendrick</t>
  </si>
  <si>
    <t>Cisco 8961 IP Phone Charcoal</t>
  </si>
  <si>
    <t>Eureka Hand Vacuum, Bagless</t>
  </si>
  <si>
    <t>Coon Rapids</t>
  </si>
  <si>
    <t>San Clemente</t>
  </si>
  <si>
    <t>LG G2</t>
  </si>
  <si>
    <t>San Luis Obispo</t>
  </si>
  <si>
    <t>Springdale</t>
  </si>
  <si>
    <t>Lodi</t>
  </si>
  <si>
    <t>Mason</t>
  </si>
  <si>
    <t>Eldon Jumbo ProFile Portable File Boxes Graphite/Black</t>
  </si>
  <si>
    <t>4-15-2017</t>
  </si>
  <si>
    <t>11-22-2015</t>
  </si>
  <si>
    <t>5-13-2014</t>
  </si>
  <si>
    <t>8-27-2014</t>
  </si>
  <si>
    <t>7-16-2017</t>
  </si>
  <si>
    <t>9-25-2015</t>
  </si>
  <si>
    <t>9-17-2015</t>
  </si>
  <si>
    <t>10-19-2017</t>
  </si>
  <si>
    <t>12-27-2015</t>
  </si>
  <si>
    <t>7-17-2016</t>
  </si>
  <si>
    <t>9-19-2017</t>
  </si>
  <si>
    <t>10-20-2014</t>
  </si>
  <si>
    <t>6-20-2016</t>
  </si>
  <si>
    <t>4-18-2015</t>
  </si>
  <si>
    <t>6-17-2016</t>
  </si>
  <si>
    <t>11-24-2015</t>
  </si>
  <si>
    <t>4-30-2015</t>
  </si>
  <si>
    <t>9-18-2016</t>
  </si>
  <si>
    <t>9-14-2017</t>
  </si>
  <si>
    <t>4-26-2015</t>
  </si>
  <si>
    <t>11-26-2014</t>
  </si>
  <si>
    <t>11-13-2017</t>
  </si>
  <si>
    <t>5-28-2017</t>
  </si>
  <si>
    <t>10-26-2017</t>
  </si>
  <si>
    <t>9-17-2016</t>
  </si>
  <si>
    <t>6-17-2017</t>
  </si>
  <si>
    <t>8-29-2016</t>
  </si>
  <si>
    <t>11-13-2015</t>
  </si>
  <si>
    <t>11-23-2017</t>
  </si>
  <si>
    <t>10-15-2015</t>
  </si>
  <si>
    <t>12-25-2017</t>
  </si>
  <si>
    <t>8-25-2014</t>
  </si>
  <si>
    <t>12-26-2014</t>
  </si>
  <si>
    <t>9-20-2014</t>
  </si>
  <si>
    <t>10-13-2016</t>
  </si>
  <si>
    <t>9-18-2017</t>
  </si>
  <si>
    <t>12-22-2017</t>
  </si>
  <si>
    <t>10-22-2014</t>
  </si>
  <si>
    <t>11-18-2016</t>
  </si>
  <si>
    <t>11-15-2014</t>
  </si>
  <si>
    <t>10-15-2016</t>
  </si>
  <si>
    <t>10-24-2014</t>
  </si>
  <si>
    <t>8-17-2014</t>
  </si>
  <si>
    <t>8-15-2017</t>
  </si>
  <si>
    <t>1-27-2015</t>
  </si>
  <si>
    <t>7-16-2015</t>
  </si>
  <si>
    <t>4-30-2016</t>
  </si>
  <si>
    <t>9-26-2014</t>
  </si>
  <si>
    <t>4-16-2017</t>
  </si>
  <si>
    <t>8-16-2015</t>
  </si>
  <si>
    <t>11-19-2017</t>
  </si>
  <si>
    <t>9-14-2016</t>
  </si>
  <si>
    <t>8-15-2016</t>
  </si>
  <si>
    <t>9-26-2015</t>
  </si>
  <si>
    <t>3-24-2015</t>
  </si>
  <si>
    <t>5-31-2015</t>
  </si>
  <si>
    <t>12-25-2015</t>
  </si>
  <si>
    <t>3-17-2015</t>
  </si>
  <si>
    <t>12-21-2017</t>
  </si>
  <si>
    <t>12-27-2017</t>
  </si>
  <si>
    <t>11-22-2014</t>
  </si>
  <si>
    <t>1-26-2014</t>
  </si>
  <si>
    <t>6-30-2017</t>
  </si>
  <si>
    <t>11-24-2017</t>
  </si>
  <si>
    <t>5-13-2017</t>
  </si>
  <si>
    <t>4-23-2017</t>
  </si>
  <si>
    <t>12-16-2014</t>
  </si>
  <si>
    <t>11-25-2014</t>
  </si>
  <si>
    <t>4-28-2016</t>
  </si>
  <si>
    <t>4-26-2014</t>
  </si>
  <si>
    <t>10-22-2017</t>
  </si>
  <si>
    <t>5-15-2017</t>
  </si>
  <si>
    <t>8-15-2015</t>
  </si>
  <si>
    <t>2-20-2015</t>
  </si>
  <si>
    <t>12-29-2016</t>
  </si>
  <si>
    <t>4-17-2016</t>
  </si>
  <si>
    <t>9-26-2016</t>
  </si>
  <si>
    <t>9-17-2017</t>
  </si>
  <si>
    <t>8-16-2016</t>
  </si>
  <si>
    <t>12-24-2015</t>
  </si>
  <si>
    <t>11-28-2017</t>
  </si>
  <si>
    <t>4-14-2017</t>
  </si>
  <si>
    <t>8-25-2015</t>
  </si>
  <si>
    <t>11-27-2017</t>
  </si>
  <si>
    <t>6-21-2014</t>
  </si>
  <si>
    <t>1-21-2017</t>
  </si>
  <si>
    <t>6-29-2017</t>
  </si>
  <si>
    <t>6-30-2014</t>
  </si>
  <si>
    <t>8-28-2016</t>
  </si>
  <si>
    <t>1-22-2016</t>
  </si>
  <si>
    <t>10-15-2014</t>
  </si>
  <si>
    <t>3-18-2014</t>
  </si>
  <si>
    <t>5-24-2014</t>
  </si>
  <si>
    <t>6-16-2017</t>
  </si>
  <si>
    <t>1-30-2015</t>
  </si>
  <si>
    <t>7-29-2017</t>
  </si>
  <si>
    <t>4-25-2014</t>
  </si>
  <si>
    <t>8-26-2017</t>
  </si>
  <si>
    <t>4-14-2016</t>
  </si>
  <si>
    <t>2-13-2017</t>
  </si>
  <si>
    <t>2-21-2015</t>
  </si>
  <si>
    <t>2-25-2016</t>
  </si>
  <si>
    <t>6-20-2015</t>
  </si>
  <si>
    <t>5-26-2014</t>
  </si>
  <si>
    <t>4-17-2015</t>
  </si>
  <si>
    <t>6-22-2017</t>
  </si>
  <si>
    <t>1-15-2017</t>
  </si>
  <si>
    <t>11-22-2016</t>
  </si>
  <si>
    <t>10-21-2016</t>
  </si>
  <si>
    <t>12-21-2015</t>
  </si>
  <si>
    <t>7-17-2015</t>
  </si>
  <si>
    <t>4-30-2017</t>
  </si>
  <si>
    <t>11-20-2017</t>
  </si>
  <si>
    <t>9-21-2015</t>
  </si>
  <si>
    <t>9-21-2014</t>
  </si>
  <si>
    <t>10-20-2017</t>
  </si>
  <si>
    <t>10-25-2016</t>
  </si>
  <si>
    <t>7-25-2015</t>
  </si>
  <si>
    <t>11-16-2015</t>
  </si>
  <si>
    <t>12-31-2016</t>
  </si>
  <si>
    <t>9-25-2014</t>
  </si>
  <si>
    <t>4-23-2016</t>
  </si>
  <si>
    <t>1-26-2017</t>
  </si>
  <si>
    <t>3-14-2014</t>
  </si>
  <si>
    <t>8-31-2017</t>
  </si>
  <si>
    <t>3-23-2017</t>
  </si>
  <si>
    <t>5-18-2017</t>
  </si>
  <si>
    <t>12-27-2016</t>
  </si>
  <si>
    <t>11-17-2017</t>
  </si>
  <si>
    <t>11-28-2016</t>
  </si>
  <si>
    <t>12-17-2017</t>
  </si>
  <si>
    <t>3-19-2016</t>
  </si>
  <si>
    <t>8-20-2017</t>
  </si>
  <si>
    <t>7-25-2017</t>
  </si>
  <si>
    <t>8-26-2016</t>
  </si>
  <si>
    <t>5-19-2017</t>
  </si>
  <si>
    <t>8-13-2017</t>
  </si>
  <si>
    <t>3-22-2014</t>
  </si>
  <si>
    <t>6-15-2017</t>
  </si>
  <si>
    <t>11-16-2017</t>
  </si>
  <si>
    <t>12-29-2017</t>
  </si>
  <si>
    <t>1-21-2016</t>
  </si>
  <si>
    <t>1-15-2016</t>
  </si>
  <si>
    <t>9-19-2016</t>
  </si>
  <si>
    <t>2-21-2014</t>
  </si>
  <si>
    <t>1-30-2016</t>
  </si>
  <si>
    <t>10-18-2016</t>
  </si>
  <si>
    <t>12-18-2017</t>
  </si>
  <si>
    <t>4-29-2014</t>
  </si>
  <si>
    <t>10-23-2017</t>
  </si>
  <si>
    <t>3-30-2014</t>
  </si>
  <si>
    <t>6-27-2016</t>
  </si>
  <si>
    <t>2-19-2017</t>
  </si>
  <si>
    <t>6-16-2014</t>
  </si>
  <si>
    <t>8-27-2017</t>
  </si>
  <si>
    <t>11-23-2016</t>
  </si>
  <si>
    <t>1-30-2017</t>
  </si>
  <si>
    <t>11-30-2015</t>
  </si>
  <si>
    <t>6-28-2014</t>
  </si>
  <si>
    <t>11-18-2017</t>
  </si>
  <si>
    <t>3-25-2017</t>
  </si>
  <si>
    <t>12-14-2017</t>
  </si>
  <si>
    <t>8-18-2016</t>
  </si>
  <si>
    <t>6-27-2017</t>
  </si>
  <si>
    <t>4-26-2017</t>
  </si>
  <si>
    <t>12-16-2017</t>
  </si>
  <si>
    <t>12-27-2014</t>
  </si>
  <si>
    <t>1-13-2014</t>
  </si>
  <si>
    <t>5-25-2016</t>
  </si>
  <si>
    <t>2-21-2016</t>
  </si>
  <si>
    <t>7-14-2014</t>
  </si>
  <si>
    <t>5-17-2014</t>
  </si>
  <si>
    <t>10-13-2017</t>
  </si>
  <si>
    <t>7-25-2016</t>
  </si>
  <si>
    <t>4-17-2017</t>
  </si>
  <si>
    <t>8-23-2016</t>
  </si>
  <si>
    <t>4-22-2017</t>
  </si>
  <si>
    <t>8-24-2014</t>
  </si>
  <si>
    <t>3-24-2016</t>
  </si>
  <si>
    <t>11-21-2016</t>
  </si>
  <si>
    <t>9-16-2017</t>
  </si>
  <si>
    <t>9-30-2014</t>
  </si>
  <si>
    <t>8-28-2015</t>
  </si>
  <si>
    <t>11-27-2015</t>
  </si>
  <si>
    <t>3-13-2017</t>
  </si>
  <si>
    <t>11-30-2017</t>
  </si>
  <si>
    <t>11-17-2014</t>
  </si>
  <si>
    <t>7-20-2014</t>
  </si>
  <si>
    <t>5-21-2014</t>
  </si>
  <si>
    <t>5-27-2017</t>
  </si>
  <si>
    <t>1-28-2014</t>
  </si>
  <si>
    <t>3-31-2017</t>
  </si>
  <si>
    <t>8-23-2015</t>
  </si>
  <si>
    <t>4-27-2017</t>
  </si>
  <si>
    <t>4-25-2015</t>
  </si>
  <si>
    <t>9-25-2017</t>
  </si>
  <si>
    <t>12-20-2014</t>
  </si>
  <si>
    <t>12-15-2015</t>
  </si>
  <si>
    <t>7-20-2017</t>
  </si>
  <si>
    <t>8-24-2015</t>
  </si>
  <si>
    <t>3-26-2016</t>
  </si>
  <si>
    <t>10-29-2016</t>
  </si>
  <si>
    <t>5-28-2016</t>
  </si>
  <si>
    <t>3-21-2016</t>
  </si>
  <si>
    <t>9-23-2017</t>
  </si>
  <si>
    <t>7-22-2017</t>
  </si>
  <si>
    <t>5-18-2014</t>
  </si>
  <si>
    <t>9-22-2017</t>
  </si>
  <si>
    <t>12-23-2014</t>
  </si>
  <si>
    <t>5-26-2016</t>
  </si>
  <si>
    <t>4-24-2016</t>
  </si>
  <si>
    <t>11-20-2016</t>
  </si>
  <si>
    <t>12-23-2016</t>
  </si>
  <si>
    <t>10-27-2017</t>
  </si>
  <si>
    <t>11-13-2016</t>
  </si>
  <si>
    <t>11-14-2014</t>
  </si>
  <si>
    <t>5-22-2014</t>
  </si>
  <si>
    <t>7-15-2014</t>
  </si>
  <si>
    <t>9-17-2014</t>
  </si>
  <si>
    <t>2-20-2017</t>
  </si>
  <si>
    <t>12-13-2015</t>
  </si>
  <si>
    <t>10-30-2016</t>
  </si>
  <si>
    <t>8-15-2014</t>
  </si>
  <si>
    <t>5-23-2015</t>
  </si>
  <si>
    <t>11-18-2014</t>
  </si>
  <si>
    <t>12-30-2014</t>
  </si>
  <si>
    <t>3-20-2016</t>
  </si>
  <si>
    <t>9-27-2014</t>
  </si>
  <si>
    <t>12-24-2017</t>
  </si>
  <si>
    <t>7-23-2015</t>
  </si>
  <si>
    <t>8-21-2017</t>
  </si>
  <si>
    <t>8-27-2016</t>
  </si>
  <si>
    <t>8-13-2015</t>
  </si>
  <si>
    <t>8-17-2016</t>
  </si>
  <si>
    <t>12-26-2016</t>
  </si>
  <si>
    <t>9-23-2014</t>
  </si>
  <si>
    <t>7-19-2014</t>
  </si>
  <si>
    <t>7-16-2016</t>
  </si>
  <si>
    <t>1-31-2014</t>
  </si>
  <si>
    <t>11-21-2015</t>
  </si>
  <si>
    <t>3-25-2016</t>
  </si>
  <si>
    <t>3-17-2017</t>
  </si>
  <si>
    <t>11-21-2014</t>
  </si>
  <si>
    <t>5-29-2017</t>
  </si>
  <si>
    <t>10-17-2015</t>
  </si>
  <si>
    <t>4-23-2014</t>
  </si>
  <si>
    <t>9-20-2016</t>
  </si>
  <si>
    <t>4-27-2015</t>
  </si>
  <si>
    <t>9-24-2015</t>
  </si>
  <si>
    <t>9-27-2015</t>
  </si>
  <si>
    <t>10-30-2017</t>
  </si>
  <si>
    <t>11-29-2015</t>
  </si>
  <si>
    <t>7-29-2016</t>
  </si>
  <si>
    <t>3-16-2014</t>
  </si>
  <si>
    <t>2-20-2016</t>
  </si>
  <si>
    <t>11-25-2016</t>
  </si>
  <si>
    <t>12-14-2016</t>
  </si>
  <si>
    <t>11-27-2016</t>
  </si>
  <si>
    <t>8-31-2014</t>
  </si>
  <si>
    <t>11-30-2016</t>
  </si>
  <si>
    <t>9-24-2017</t>
  </si>
  <si>
    <t>9-29-2016</t>
  </si>
  <si>
    <t>12-18-2016</t>
  </si>
  <si>
    <t>6-20-2014</t>
  </si>
  <si>
    <t>12-20-2016</t>
  </si>
  <si>
    <t>6-22-2015</t>
  </si>
  <si>
    <t>11-24-2016</t>
  </si>
  <si>
    <t>6-24-2016</t>
  </si>
  <si>
    <t>5-19-2016</t>
  </si>
  <si>
    <t>4-18-2014</t>
  </si>
  <si>
    <t>12-23-2017</t>
  </si>
  <si>
    <t>3-29-2016</t>
  </si>
  <si>
    <t>3-23-2014</t>
  </si>
  <si>
    <t>3-19-2015</t>
  </si>
  <si>
    <t>12-19-2017</t>
  </si>
  <si>
    <t>12-13-2014</t>
  </si>
  <si>
    <t>6-26-2017</t>
  </si>
  <si>
    <t>4-28-2014</t>
  </si>
  <si>
    <t>11-29-2016</t>
  </si>
  <si>
    <t>9-22-2016</t>
  </si>
  <si>
    <t>9-14-2014</t>
  </si>
  <si>
    <t>11-26-2017</t>
  </si>
  <si>
    <t>7-25-2014</t>
  </si>
  <si>
    <t>4-24-2017</t>
  </si>
  <si>
    <t>7-18-2016</t>
  </si>
  <si>
    <t>6-13-2016</t>
  </si>
  <si>
    <t>12-13-2016</t>
  </si>
  <si>
    <t>5-20-2016</t>
  </si>
  <si>
    <t>10-30-2015</t>
  </si>
  <si>
    <t>11-19-2015</t>
  </si>
  <si>
    <t>9-13-2014</t>
  </si>
  <si>
    <t>6-13-2015</t>
  </si>
  <si>
    <t>3-18-2017</t>
  </si>
  <si>
    <t>11-23-2014</t>
  </si>
  <si>
    <t>10-15-2017</t>
  </si>
  <si>
    <t>4-21-2017</t>
  </si>
  <si>
    <t>11-22-2017</t>
  </si>
  <si>
    <t>9-18-2015</t>
  </si>
  <si>
    <t>3-17-2016</t>
  </si>
  <si>
    <t>9-23-2016</t>
  </si>
  <si>
    <t>2-29-2016</t>
  </si>
  <si>
    <t>8-13-2016</t>
  </si>
  <si>
    <t>2-25-2017</t>
  </si>
  <si>
    <t>12-17-2016</t>
  </si>
  <si>
    <t>2-16-2017</t>
  </si>
  <si>
    <t>11-16-2014</t>
  </si>
  <si>
    <t>7-31-2017</t>
  </si>
  <si>
    <t>12-26-2017</t>
  </si>
  <si>
    <t>10-31-2016</t>
  </si>
  <si>
    <t>2-27-2015</t>
  </si>
  <si>
    <t>1-27-2014</t>
  </si>
  <si>
    <t>10-14-2016</t>
  </si>
  <si>
    <t>9-15-2015</t>
  </si>
  <si>
    <t>9-14-2015</t>
  </si>
  <si>
    <t>11-14-2015</t>
  </si>
  <si>
    <t>11-24-2014</t>
  </si>
  <si>
    <t>7-26-2014</t>
  </si>
  <si>
    <t>10-28-2014</t>
  </si>
  <si>
    <t>11-25-2017</t>
  </si>
  <si>
    <t>2-17-2017</t>
  </si>
  <si>
    <t>10-17-2017</t>
  </si>
  <si>
    <t>11-28-2015</t>
  </si>
  <si>
    <t>7-27-2014</t>
  </si>
  <si>
    <t>10-23-2015</t>
  </si>
  <si>
    <t>10-28-2016</t>
  </si>
  <si>
    <t>6-15-2015</t>
  </si>
  <si>
    <t>1-29-2017</t>
  </si>
  <si>
    <t>7-18-2017</t>
  </si>
  <si>
    <t>6-28-2016</t>
  </si>
  <si>
    <t>8-28-2017</t>
  </si>
  <si>
    <t>3-14-2016</t>
  </si>
  <si>
    <t>6-16-2015</t>
  </si>
  <si>
    <t>6-23-2016</t>
  </si>
  <si>
    <t>5-16-2016</t>
  </si>
  <si>
    <t>11-28-2014</t>
  </si>
  <si>
    <t>6-26-2016</t>
  </si>
  <si>
    <t>5-29-2016</t>
  </si>
  <si>
    <t>10-19-2015</t>
  </si>
  <si>
    <t>2-22-2015</t>
  </si>
  <si>
    <t>10-22-2016</t>
  </si>
  <si>
    <t>12-15-2017</t>
  </si>
  <si>
    <t>12-18-2015</t>
  </si>
  <si>
    <t>11-21-2017</t>
  </si>
  <si>
    <t>12-22-2015</t>
  </si>
  <si>
    <t>6-22-2014</t>
  </si>
  <si>
    <t>12-28-2015</t>
  </si>
  <si>
    <t>12-29-2014</t>
  </si>
  <si>
    <t>6-25-2015</t>
  </si>
  <si>
    <t>10-21-2017</t>
  </si>
  <si>
    <t>6-24-2017</t>
  </si>
  <si>
    <t>9-29-2014</t>
  </si>
  <si>
    <t>11-20-2015</t>
  </si>
  <si>
    <t>6-23-2014</t>
  </si>
  <si>
    <t>11-15-2017</t>
  </si>
  <si>
    <t>12-19-2015</t>
  </si>
  <si>
    <t>9-25-2016</t>
  </si>
  <si>
    <t>8-19-2014</t>
  </si>
  <si>
    <t>5-16-2017</t>
  </si>
  <si>
    <t>6-19-2017</t>
  </si>
  <si>
    <t>8-22-2016</t>
  </si>
  <si>
    <t>7-27-2017</t>
  </si>
  <si>
    <t>9-19-2014</t>
  </si>
  <si>
    <t>3-29-2015</t>
  </si>
  <si>
    <t>12-30-2016</t>
  </si>
  <si>
    <t>5-19-2014</t>
  </si>
  <si>
    <t>4-16-2016</t>
  </si>
  <si>
    <t>5-14-2017</t>
  </si>
  <si>
    <t>3-14-2015</t>
  </si>
  <si>
    <t>1-14-2017</t>
  </si>
  <si>
    <t>4-13-2015</t>
  </si>
  <si>
    <t>6-16-2016</t>
  </si>
  <si>
    <t>6-18-2015</t>
  </si>
  <si>
    <t>10-31-2014</t>
  </si>
  <si>
    <t>11-30-2014</t>
  </si>
  <si>
    <t>2-18-2015</t>
  </si>
  <si>
    <t>9-30-2016</t>
  </si>
  <si>
    <t>7-23-2016</t>
  </si>
  <si>
    <t>8-29-2017</t>
  </si>
  <si>
    <t>3-26-2017</t>
  </si>
  <si>
    <t>3-26-2014</t>
  </si>
  <si>
    <t>10-28-2017</t>
  </si>
  <si>
    <t>9-21-2017</t>
  </si>
  <si>
    <t>6-25-2017</t>
  </si>
  <si>
    <t>11-26-2015</t>
  </si>
  <si>
    <t>7-21-2017</t>
  </si>
  <si>
    <t>8-18-2017</t>
  </si>
  <si>
    <t>12-28-2017</t>
  </si>
  <si>
    <t>5-17-2015</t>
  </si>
  <si>
    <t>8-23-2017</t>
  </si>
  <si>
    <t>8-22-2014</t>
  </si>
  <si>
    <t>10-26-2014</t>
  </si>
  <si>
    <t>7-26-2015</t>
  </si>
  <si>
    <t>2-14-2015</t>
  </si>
  <si>
    <t>1-25-2016</t>
  </si>
  <si>
    <t>12-20-2015</t>
  </si>
  <si>
    <t>3-19-2017</t>
  </si>
  <si>
    <t>5-21-2016</t>
  </si>
  <si>
    <t>5-20-2017</t>
  </si>
  <si>
    <t>7-23-2017</t>
  </si>
  <si>
    <t>10-25-2015</t>
  </si>
  <si>
    <t>7-20-2015</t>
  </si>
  <si>
    <t>10-27-2016</t>
  </si>
  <si>
    <t>11-15-2016</t>
  </si>
  <si>
    <t>8-19-2017</t>
  </si>
  <si>
    <t>11-29-2014</t>
  </si>
  <si>
    <t>12-17-2014</t>
  </si>
  <si>
    <t>11-17-2015</t>
  </si>
  <si>
    <t>3-21-2017</t>
  </si>
  <si>
    <t>7-22-2016</t>
  </si>
  <si>
    <t>6-19-2015</t>
  </si>
  <si>
    <t>9-28-2017</t>
  </si>
  <si>
    <t>9-29-2017</t>
  </si>
  <si>
    <t>3-24-2014</t>
  </si>
  <si>
    <t>8-14-2017</t>
  </si>
  <si>
    <t>6-18-2017</t>
  </si>
  <si>
    <t>12-24-2014</t>
  </si>
  <si>
    <t>5-23-2017</t>
  </si>
  <si>
    <t>9-15-2016</t>
  </si>
  <si>
    <t>2-20-2014</t>
  </si>
  <si>
    <t>7-17-2017</t>
  </si>
  <si>
    <t>11-14-2016</t>
  </si>
  <si>
    <t>3-30-2017</t>
  </si>
  <si>
    <t>7-13-2014</t>
  </si>
  <si>
    <t>2-27-2016</t>
  </si>
  <si>
    <t>3-23-2015</t>
  </si>
  <si>
    <t>12-31-2014</t>
  </si>
  <si>
    <t>9-26-2017</t>
  </si>
  <si>
    <t>4-19-2014</t>
  </si>
  <si>
    <t>5-25-2015</t>
  </si>
  <si>
    <t>7-31-2015</t>
  </si>
  <si>
    <t>5-26-2015</t>
  </si>
  <si>
    <t>5-28-2015</t>
  </si>
  <si>
    <t>1-24-2016</t>
  </si>
  <si>
    <t>8-21-2015</t>
  </si>
  <si>
    <t>5-30-2014</t>
  </si>
  <si>
    <t>4-26-2016</t>
  </si>
  <si>
    <t>7-31-2016</t>
  </si>
  <si>
    <t>3-27-2017</t>
  </si>
  <si>
    <t>7-14-2016</t>
  </si>
  <si>
    <t>12-17-2015</t>
  </si>
  <si>
    <t>5-17-2016</t>
  </si>
  <si>
    <t>3-31-2014</t>
  </si>
  <si>
    <t>5-22-2016</t>
  </si>
  <si>
    <t>12-24-2016</t>
  </si>
  <si>
    <t>4-24-2015</t>
  </si>
  <si>
    <t>2-19-2016</t>
  </si>
  <si>
    <t>1-28-2017</t>
  </si>
  <si>
    <t>6-29-2015</t>
  </si>
  <si>
    <t>3-16-2015</t>
  </si>
  <si>
    <t>5-14-2016</t>
  </si>
  <si>
    <t>7-13-2017</t>
  </si>
  <si>
    <t>5-15-2016</t>
  </si>
  <si>
    <t>6-25-2014</t>
  </si>
  <si>
    <t>1-13-2015</t>
  </si>
  <si>
    <t>10-14-2014</t>
  </si>
  <si>
    <t>9-28-2015</t>
  </si>
  <si>
    <t>3-15-2015</t>
  </si>
  <si>
    <t>3-20-2015</t>
  </si>
  <si>
    <t>1-31-2016</t>
  </si>
  <si>
    <t>5-24-2016</t>
  </si>
  <si>
    <t>4-30-2014</t>
  </si>
  <si>
    <t>4-25-2017</t>
  </si>
  <si>
    <t>4-20-2014</t>
  </si>
  <si>
    <t>12-30-2017</t>
  </si>
  <si>
    <t>3-17-2014</t>
  </si>
  <si>
    <t>3-26-2015</t>
  </si>
  <si>
    <t>12-14-2014</t>
  </si>
  <si>
    <t>9-19-2015</t>
  </si>
  <si>
    <t>10-18-2014</t>
  </si>
  <si>
    <t>11-17-2016</t>
  </si>
  <si>
    <t>6-21-2015</t>
  </si>
  <si>
    <t>10-23-2016</t>
  </si>
  <si>
    <t>12-14-2015</t>
  </si>
  <si>
    <t>10-26-2015</t>
  </si>
  <si>
    <t>7-30-2014</t>
  </si>
  <si>
    <t>5-27-2016</t>
  </si>
  <si>
    <t>9-13-2015</t>
  </si>
  <si>
    <t>11-14-2017</t>
  </si>
  <si>
    <t>6-14-2014</t>
  </si>
  <si>
    <t>6-21-2016</t>
  </si>
  <si>
    <t>8-22-2017</t>
  </si>
  <si>
    <t>11-19-2016</t>
  </si>
  <si>
    <t>5-21-2015</t>
  </si>
  <si>
    <t>4-16-2015</t>
  </si>
  <si>
    <t>9-30-2017</t>
  </si>
  <si>
    <t>1-16-2017</t>
  </si>
  <si>
    <t>11-26-2016</t>
  </si>
  <si>
    <t>6-20-2017</t>
  </si>
  <si>
    <t>12-26-2015</t>
  </si>
  <si>
    <t>5-30-2016</t>
  </si>
  <si>
    <t>8-21-2016</t>
  </si>
  <si>
    <t>1-17-2015</t>
  </si>
  <si>
    <t>12-25-2016</t>
  </si>
  <si>
    <t>8-26-2014</t>
  </si>
  <si>
    <t>10-16-2017</t>
  </si>
  <si>
    <t>1-18-2014</t>
  </si>
  <si>
    <t>10-24-2015</t>
  </si>
  <si>
    <t>8-14-2016</t>
  </si>
  <si>
    <t>2-18-2017</t>
  </si>
  <si>
    <t>11-19-2014</t>
  </si>
  <si>
    <t>9-24-2016</t>
  </si>
  <si>
    <t>9-27-2016</t>
  </si>
  <si>
    <t>8-24-2017</t>
  </si>
  <si>
    <t>2-22-2016</t>
  </si>
  <si>
    <t>3-31-2016</t>
  </si>
  <si>
    <t>1-20-2017</t>
  </si>
  <si>
    <t>6-14-2016</t>
  </si>
  <si>
    <t>4-28-2017</t>
  </si>
  <si>
    <t>3-21-2014</t>
  </si>
  <si>
    <t>1-19-2014</t>
  </si>
  <si>
    <t>2-14-2014</t>
  </si>
  <si>
    <t>7-15-2017</t>
  </si>
  <si>
    <t>2-24-2014</t>
  </si>
  <si>
    <t>5-30-2015</t>
  </si>
  <si>
    <t>3-31-2015</t>
  </si>
  <si>
    <t>5-22-2017</t>
  </si>
  <si>
    <t>12-19-2016</t>
  </si>
  <si>
    <t>12-15-2014</t>
  </si>
  <si>
    <t>10-13-2014</t>
  </si>
  <si>
    <t>10-24-2016</t>
  </si>
  <si>
    <t>12-21-2014</t>
  </si>
  <si>
    <t>5-15-2015</t>
  </si>
  <si>
    <t>7-21-2016</t>
  </si>
  <si>
    <t>5-28-2014</t>
  </si>
  <si>
    <t>7-28-2016</t>
  </si>
  <si>
    <t>7-28-2014</t>
  </si>
  <si>
    <t>10-14-2017</t>
  </si>
  <si>
    <t>3-29-2017</t>
  </si>
  <si>
    <t>9-22-2014</t>
  </si>
  <si>
    <t>6-29-2014</t>
  </si>
  <si>
    <t>1-20-2014</t>
  </si>
  <si>
    <t>3-28-2017</t>
  </si>
  <si>
    <t>2-25-2015</t>
  </si>
  <si>
    <t>8-31-2016</t>
  </si>
  <si>
    <t>8-20-2014</t>
  </si>
  <si>
    <t>3-22-2015</t>
  </si>
  <si>
    <t>7-18-2015</t>
  </si>
  <si>
    <t>3-27-2015</t>
  </si>
  <si>
    <t>9-22-2015</t>
  </si>
  <si>
    <t>4-29-2015</t>
  </si>
  <si>
    <t>3-13-2016</t>
  </si>
  <si>
    <t>10-16-2014</t>
  </si>
  <si>
    <t>7-19-2016</t>
  </si>
  <si>
    <t>9-15-2017</t>
  </si>
  <si>
    <t>12-30-2015</t>
  </si>
  <si>
    <t>2-23-2017</t>
  </si>
  <si>
    <t>4-19-2015</t>
  </si>
  <si>
    <t>6-15-2016</t>
  </si>
  <si>
    <t>12-31-2015</t>
  </si>
  <si>
    <t>2-18-2014</t>
  </si>
  <si>
    <t>9-20-2017</t>
  </si>
  <si>
    <t>8-31-2015</t>
  </si>
  <si>
    <t>10-25-2014</t>
  </si>
  <si>
    <t>10-18-2015</t>
  </si>
  <si>
    <t>12-22-2014</t>
  </si>
  <si>
    <t>4-20-2017</t>
  </si>
  <si>
    <t>3-19-2014</t>
  </si>
  <si>
    <t>4-20-2015</t>
  </si>
  <si>
    <t>11-15-2015</t>
  </si>
  <si>
    <t>12-13-2017</t>
  </si>
  <si>
    <t>12-16-2016</t>
  </si>
  <si>
    <t>10-20-2016</t>
  </si>
  <si>
    <t>7-27-2015</t>
  </si>
  <si>
    <t>2-23-2016</t>
  </si>
  <si>
    <t>3-28-2015</t>
  </si>
  <si>
    <t>3-13-2015</t>
  </si>
  <si>
    <t>4-22-2015</t>
  </si>
  <si>
    <t>9-16-2014</t>
  </si>
  <si>
    <t>12-28-2014</t>
  </si>
  <si>
    <t>10-21-2014</t>
  </si>
  <si>
    <t>6-17-2014</t>
  </si>
  <si>
    <t>10-29-2015</t>
  </si>
  <si>
    <t>8-30-2016</t>
  </si>
  <si>
    <t>1-23-2017</t>
  </si>
  <si>
    <t>12-15-2016</t>
  </si>
  <si>
    <t>1-30-2014</t>
  </si>
  <si>
    <t>10-31-2017</t>
  </si>
  <si>
    <t>5-30-2017</t>
  </si>
  <si>
    <t>8-17-2017</t>
  </si>
  <si>
    <t>5-23-2016</t>
  </si>
  <si>
    <t>3-30-2015</t>
  </si>
  <si>
    <t>8-29-2015</t>
  </si>
  <si>
    <t>3-18-2016</t>
  </si>
  <si>
    <t>1-14-2014</t>
  </si>
  <si>
    <t>3-21-2015</t>
  </si>
  <si>
    <t>9-15-2014</t>
  </si>
  <si>
    <t>7-24-2015</t>
  </si>
  <si>
    <t>12-20-2017</t>
  </si>
  <si>
    <t>2-23-2014</t>
  </si>
  <si>
    <t>7-30-2015</t>
  </si>
  <si>
    <t>4-21-2015</t>
  </si>
  <si>
    <t>1-13-2017</t>
  </si>
  <si>
    <t>1-19-2015</t>
  </si>
  <si>
    <t>5-23-2014</t>
  </si>
  <si>
    <t>5-25-2017</t>
  </si>
  <si>
    <t>8-23-2014</t>
  </si>
  <si>
    <t>5-14-2015</t>
  </si>
  <si>
    <t>5-20-2015</t>
  </si>
  <si>
    <t>6-23-2015</t>
  </si>
  <si>
    <t>4-13-2014</t>
  </si>
  <si>
    <t>2-16-2015</t>
  </si>
  <si>
    <t>7-24-2016</t>
  </si>
  <si>
    <t>11-16-2016</t>
  </si>
  <si>
    <t>6-18-2016</t>
  </si>
  <si>
    <t>12-16-2015</t>
  </si>
  <si>
    <t>10-17-2014</t>
  </si>
  <si>
    <t>5-24-2015</t>
  </si>
  <si>
    <t>7-24-2017</t>
  </si>
  <si>
    <t>2-26-2017</t>
  </si>
  <si>
    <t>6-15-2014</t>
  </si>
  <si>
    <t>10-16-2015</t>
  </si>
  <si>
    <t>6-28-2015</t>
  </si>
  <si>
    <t>9-16-2016</t>
  </si>
  <si>
    <t>5-26-2017</t>
  </si>
  <si>
    <t>8-19-2016</t>
  </si>
  <si>
    <t>4-19-2016</t>
  </si>
  <si>
    <t>6-26-2015</t>
  </si>
  <si>
    <t>4-29-2017</t>
  </si>
  <si>
    <t>3-28-2016</t>
  </si>
  <si>
    <t>5-13-2015</t>
  </si>
  <si>
    <t>4-22-2014</t>
  </si>
  <si>
    <t>7-22-2014</t>
  </si>
  <si>
    <t>1-27-2017</t>
  </si>
  <si>
    <t>2-24-2017</t>
  </si>
  <si>
    <t>6-13-2017</t>
  </si>
  <si>
    <t>8-16-2017</t>
  </si>
  <si>
    <t>1-14-2016</t>
  </si>
  <si>
    <t>1-23-2016</t>
  </si>
  <si>
    <t>3-29-2014</t>
  </si>
  <si>
    <t>10-16-2016</t>
  </si>
  <si>
    <t>3-16-2017</t>
  </si>
  <si>
    <t>9-13-2016</t>
  </si>
  <si>
    <t>11-29-2017</t>
  </si>
  <si>
    <t>7-23-2014</t>
  </si>
  <si>
    <t>6-25-2016</t>
  </si>
  <si>
    <t>2-15-2014</t>
  </si>
  <si>
    <t>7-30-2016</t>
  </si>
  <si>
    <t>7-14-2017</t>
  </si>
  <si>
    <t>11-20-2014</t>
  </si>
  <si>
    <t>11-23-2015</t>
  </si>
  <si>
    <t>2-22-2014</t>
  </si>
  <si>
    <t>3-15-2016</t>
  </si>
  <si>
    <t>4-15-2014</t>
  </si>
  <si>
    <t>7-30-2017</t>
  </si>
  <si>
    <t>9-13-2017</t>
  </si>
  <si>
    <t>4-28-2015</t>
  </si>
  <si>
    <t>3-22-2016</t>
  </si>
  <si>
    <t>4-13-2016</t>
  </si>
  <si>
    <t>4-18-2016</t>
  </si>
  <si>
    <t>3-24-2017</t>
  </si>
  <si>
    <t>2-14-2016</t>
  </si>
  <si>
    <t>5-16-2014</t>
  </si>
  <si>
    <t>1-24-2015</t>
  </si>
  <si>
    <t>3-28-2014</t>
  </si>
  <si>
    <t>7-14-2015</t>
  </si>
  <si>
    <t>6-21-2017</t>
  </si>
  <si>
    <t>8-25-2017</t>
  </si>
  <si>
    <t>7-15-2016</t>
  </si>
  <si>
    <t>5-31-2014</t>
  </si>
  <si>
    <t>8-27-2015</t>
  </si>
  <si>
    <t>1-22-2017</t>
  </si>
  <si>
    <t>4-21-2016</t>
  </si>
  <si>
    <t>7-20-2016</t>
  </si>
  <si>
    <t>7-21-2014</t>
  </si>
  <si>
    <t>9-20-2015</t>
  </si>
  <si>
    <t>10-20-2015</t>
  </si>
  <si>
    <t>5-22-2015</t>
  </si>
  <si>
    <t>3-20-2017</t>
  </si>
  <si>
    <t>2-16-2016</t>
  </si>
  <si>
    <t>6-30-2016</t>
  </si>
  <si>
    <t>7-26-2017</t>
  </si>
  <si>
    <t>4-13-2017</t>
  </si>
  <si>
    <t>10-17-2016</t>
  </si>
  <si>
    <t>3-14-2017</t>
  </si>
  <si>
    <t>8-30-2014</t>
  </si>
  <si>
    <t>10-22-2015</t>
  </si>
  <si>
    <t>12-22-2016</t>
  </si>
  <si>
    <t>3-27-2016</t>
  </si>
  <si>
    <t>5-20-2014</t>
  </si>
  <si>
    <t>1-28-2016</t>
  </si>
  <si>
    <t>10-24-2017</t>
  </si>
  <si>
    <t>2-23-2015</t>
  </si>
  <si>
    <t>12-19-2014</t>
  </si>
  <si>
    <t>5-31-2016</t>
  </si>
  <si>
    <t>1-26-2015</t>
  </si>
  <si>
    <t>7-18-2014</t>
  </si>
  <si>
    <t>9-28-2014</t>
  </si>
  <si>
    <t>5-18-2015</t>
  </si>
  <si>
    <t>2-28-2016</t>
  </si>
  <si>
    <t>4-21-2014</t>
  </si>
  <si>
    <t>1-19-2017</t>
  </si>
  <si>
    <t>1-23-2014</t>
  </si>
  <si>
    <t>3-25-2014</t>
  </si>
  <si>
    <t>2-21-2017</t>
  </si>
  <si>
    <t>10-19-2014</t>
  </si>
  <si>
    <t>5-29-2015</t>
  </si>
  <si>
    <t>9-16-2015</t>
  </si>
  <si>
    <t>6-24-2014</t>
  </si>
  <si>
    <t>10-27-2014</t>
  </si>
  <si>
    <t>11-27-2014</t>
  </si>
  <si>
    <t>8-17-2015</t>
  </si>
  <si>
    <t>5-25-2014</t>
  </si>
  <si>
    <t>2-27-2014</t>
  </si>
  <si>
    <t>4-22-2016</t>
  </si>
  <si>
    <t>2-17-2014</t>
  </si>
  <si>
    <t>10-29-2014</t>
  </si>
  <si>
    <t>1-24-2017</t>
  </si>
  <si>
    <t>4-14-2015</t>
  </si>
  <si>
    <t>1-28-2015</t>
  </si>
  <si>
    <t>6-18-2014</t>
  </si>
  <si>
    <t>2-28-2017</t>
  </si>
  <si>
    <t>12-29-2015</t>
  </si>
  <si>
    <t>1-21-2014</t>
  </si>
  <si>
    <t>Grand Total</t>
  </si>
  <si>
    <t>Sum of Profit</t>
  </si>
  <si>
    <t>Sum of Sales</t>
  </si>
  <si>
    <t>Month</t>
  </si>
  <si>
    <t>Jan</t>
  </si>
  <si>
    <t>Feb</t>
  </si>
  <si>
    <t>Mar</t>
  </si>
  <si>
    <t>Apr</t>
  </si>
  <si>
    <t>May</t>
  </si>
  <si>
    <t>Jun</t>
  </si>
  <si>
    <t>Jul</t>
  </si>
  <si>
    <t>Aug</t>
  </si>
  <si>
    <t>Sep</t>
  </si>
  <si>
    <t>Oct</t>
  </si>
  <si>
    <t>Nov</t>
  </si>
  <si>
    <t>Dec</t>
  </si>
  <si>
    <t>Sub-category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</si>
</sst>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
    <numFmt numFmtId="165" formatCode="[$-14009]dd/mm/yyyy;@"/>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0" fillId="0" borderId="0" xfId="0" applyAlignment="1">
      <alignment horizontal="center"/>
    </xf>
    <xf numFmtId="0" fontId="0" fillId="0" borderId="0" xfId="0" applyAlignment="1">
      <alignment horizontal="left"/>
    </xf>
    <xf numFmtId="164" fontId="0" fillId="0" borderId="0" xfId="0" applyNumberFormat="1" applyAlignment="1">
      <alignment horizontal="center"/>
    </xf>
    <xf numFmtId="0" fontId="0" fillId="0" borderId="0" xfId="0" pivotButton="1"/>
    <xf numFmtId="0" fontId="0" fillId="0" borderId="0" xfId="0" applyNumberFormat="1"/>
    <xf numFmtId="165" fontId="0" fillId="0" borderId="0" xfId="0" applyNumberFormat="1" applyAlignment="1">
      <alignment horizontal="center"/>
    </xf>
    <xf numFmtId="0" fontId="0" fillId="33" borderId="0" xfId="0" applyFill="1"/>
    <xf numFmtId="164" fontId="0" fillId="34" borderId="0" xfId="0" applyNumberFormat="1" applyFill="1" applyAlignment="1">
      <alignment horizontal="center"/>
    </xf>
    <xf numFmtId="0" fontId="0" fillId="34" borderId="0" xfId="0" applyFill="1" applyAlignment="1">
      <alignment horizontal="center"/>
    </xf>
    <xf numFmtId="0" fontId="0" fillId="34" borderId="0" xfId="0" applyFill="1" applyAlignment="1">
      <alignment horizontal="left"/>
    </xf>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[Ex-Pro.xlsx]Sale(s-c)!PivotTable2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State-wise Sales comparison</a:t>
            </a:r>
          </a:p>
        </c:rich>
      </c:tx>
      <c:layout>
        <c:manualLayout>
          <c:xMode val="edge"/>
          <c:yMode val="edge"/>
          <c:x val="0.19473600174978131"/>
          <c:y val="2.675707203266258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'Sale(s-c)'!$B$3:$B$4</c:f>
              <c:strCache>
                <c:ptCount val="1"/>
                <c:pt idx="0">
                  <c:v>Alabama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'Sale(s-c)'!$A$5:$A$20</c:f>
              <c:strCache>
                <c:ptCount val="15"/>
                <c:pt idx="0">
                  <c:v>Accessories</c:v>
                </c:pt>
                <c:pt idx="1">
                  <c:v>Appliances</c:v>
                </c:pt>
                <c:pt idx="2">
                  <c:v>Art</c:v>
                </c:pt>
                <c:pt idx="3">
                  <c:v>Binders</c:v>
                </c:pt>
                <c:pt idx="4">
                  <c:v>Bookcases</c:v>
                </c:pt>
                <c:pt idx="5">
                  <c:v>Chairs</c:v>
                </c:pt>
                <c:pt idx="6">
                  <c:v>Envelopes</c:v>
                </c:pt>
                <c:pt idx="7">
                  <c:v>Fasteners</c:v>
                </c:pt>
                <c:pt idx="8">
                  <c:v>Furnishings</c:v>
                </c:pt>
                <c:pt idx="9">
                  <c:v>Labels</c:v>
                </c:pt>
                <c:pt idx="10">
                  <c:v>Paper</c:v>
                </c:pt>
                <c:pt idx="11">
                  <c:v>Phones</c:v>
                </c:pt>
                <c:pt idx="12">
                  <c:v>Storage</c:v>
                </c:pt>
                <c:pt idx="13">
                  <c:v>Supplies</c:v>
                </c:pt>
                <c:pt idx="14">
                  <c:v>Tables</c:v>
                </c:pt>
              </c:strCache>
            </c:strRef>
          </c:cat>
          <c:val>
            <c:numRef>
              <c:f>'Sale(s-c)'!$B$5:$B$20</c:f>
              <c:numCache>
                <c:formatCode>General</c:formatCode>
                <c:ptCount val="15"/>
                <c:pt idx="1">
                  <c:v>208.16</c:v>
                </c:pt>
                <c:pt idx="3">
                  <c:v>16.739999999999998</c:v>
                </c:pt>
              </c:numCache>
            </c:numRef>
          </c:val>
          <c:extLst>
            <c:ext xmlns:c16="http://schemas.microsoft.com/office/drawing/2014/chart" uri="{C3380CC4-5D6E-409C-BE32-E72D297353CC}">
              <c16:uniqueId val="{00000000-24BB-48EF-B168-46131C7E2B8F}"/>
            </c:ext>
          </c:extLst>
        </c:ser>
        <c:ser>
          <c:idx val="1"/>
          <c:order val="1"/>
          <c:tx>
            <c:strRef>
              <c:f>'Sale(s-c)'!$C$3:$C$4</c:f>
              <c:strCache>
                <c:ptCount val="1"/>
                <c:pt idx="0">
                  <c:v>Arizona</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'Sale(s-c)'!$A$5:$A$20</c:f>
              <c:strCache>
                <c:ptCount val="15"/>
                <c:pt idx="0">
                  <c:v>Accessories</c:v>
                </c:pt>
                <c:pt idx="1">
                  <c:v>Appliances</c:v>
                </c:pt>
                <c:pt idx="2">
                  <c:v>Art</c:v>
                </c:pt>
                <c:pt idx="3">
                  <c:v>Binders</c:v>
                </c:pt>
                <c:pt idx="4">
                  <c:v>Bookcases</c:v>
                </c:pt>
                <c:pt idx="5">
                  <c:v>Chairs</c:v>
                </c:pt>
                <c:pt idx="6">
                  <c:v>Envelopes</c:v>
                </c:pt>
                <c:pt idx="7">
                  <c:v>Fasteners</c:v>
                </c:pt>
                <c:pt idx="8">
                  <c:v>Furnishings</c:v>
                </c:pt>
                <c:pt idx="9">
                  <c:v>Labels</c:v>
                </c:pt>
                <c:pt idx="10">
                  <c:v>Paper</c:v>
                </c:pt>
                <c:pt idx="11">
                  <c:v>Phones</c:v>
                </c:pt>
                <c:pt idx="12">
                  <c:v>Storage</c:v>
                </c:pt>
                <c:pt idx="13">
                  <c:v>Supplies</c:v>
                </c:pt>
                <c:pt idx="14">
                  <c:v>Tables</c:v>
                </c:pt>
              </c:strCache>
            </c:strRef>
          </c:cat>
          <c:val>
            <c:numRef>
              <c:f>'Sale(s-c)'!$C$5:$C$20</c:f>
              <c:numCache>
                <c:formatCode>General</c:formatCode>
                <c:ptCount val="15"/>
                <c:pt idx="2">
                  <c:v>1113.0239999999999</c:v>
                </c:pt>
                <c:pt idx="3">
                  <c:v>2.3879999999999999</c:v>
                </c:pt>
                <c:pt idx="11">
                  <c:v>167.96799999999999</c:v>
                </c:pt>
                <c:pt idx="12">
                  <c:v>243.99199999999999</c:v>
                </c:pt>
              </c:numCache>
            </c:numRef>
          </c:val>
          <c:extLst>
            <c:ext xmlns:c16="http://schemas.microsoft.com/office/drawing/2014/chart" uri="{C3380CC4-5D6E-409C-BE32-E72D297353CC}">
              <c16:uniqueId val="{00000069-9F5F-4199-A0E7-A4BE7BF173E8}"/>
            </c:ext>
          </c:extLst>
        </c:ser>
        <c:ser>
          <c:idx val="2"/>
          <c:order val="2"/>
          <c:tx>
            <c:strRef>
              <c:f>'Sale(s-c)'!$D$3:$D$4</c:f>
              <c:strCache>
                <c:ptCount val="1"/>
                <c:pt idx="0">
                  <c:v>California</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'Sale(s-c)'!$A$5:$A$20</c:f>
              <c:strCache>
                <c:ptCount val="15"/>
                <c:pt idx="0">
                  <c:v>Accessories</c:v>
                </c:pt>
                <c:pt idx="1">
                  <c:v>Appliances</c:v>
                </c:pt>
                <c:pt idx="2">
                  <c:v>Art</c:v>
                </c:pt>
                <c:pt idx="3">
                  <c:v>Binders</c:v>
                </c:pt>
                <c:pt idx="4">
                  <c:v>Bookcases</c:v>
                </c:pt>
                <c:pt idx="5">
                  <c:v>Chairs</c:v>
                </c:pt>
                <c:pt idx="6">
                  <c:v>Envelopes</c:v>
                </c:pt>
                <c:pt idx="7">
                  <c:v>Fasteners</c:v>
                </c:pt>
                <c:pt idx="8">
                  <c:v>Furnishings</c:v>
                </c:pt>
                <c:pt idx="9">
                  <c:v>Labels</c:v>
                </c:pt>
                <c:pt idx="10">
                  <c:v>Paper</c:v>
                </c:pt>
                <c:pt idx="11">
                  <c:v>Phones</c:v>
                </c:pt>
                <c:pt idx="12">
                  <c:v>Storage</c:v>
                </c:pt>
                <c:pt idx="13">
                  <c:v>Supplies</c:v>
                </c:pt>
                <c:pt idx="14">
                  <c:v>Tables</c:v>
                </c:pt>
              </c:strCache>
            </c:strRef>
          </c:cat>
          <c:val>
            <c:numRef>
              <c:f>'Sale(s-c)'!$D$5:$D$20</c:f>
              <c:numCache>
                <c:formatCode>General</c:formatCode>
                <c:ptCount val="15"/>
                <c:pt idx="0">
                  <c:v>104.55</c:v>
                </c:pt>
                <c:pt idx="1">
                  <c:v>114.9</c:v>
                </c:pt>
                <c:pt idx="2">
                  <c:v>71.180000000000007</c:v>
                </c:pt>
                <c:pt idx="3">
                  <c:v>206.18399999999997</c:v>
                </c:pt>
                <c:pt idx="5">
                  <c:v>81.424000000000007</c:v>
                </c:pt>
                <c:pt idx="6">
                  <c:v>10.86</c:v>
                </c:pt>
                <c:pt idx="7">
                  <c:v>4.0199999999999996</c:v>
                </c:pt>
                <c:pt idx="8">
                  <c:v>410.3</c:v>
                </c:pt>
                <c:pt idx="9">
                  <c:v>14.62</c:v>
                </c:pt>
                <c:pt idx="10">
                  <c:v>352.39</c:v>
                </c:pt>
                <c:pt idx="11">
                  <c:v>2105.64</c:v>
                </c:pt>
                <c:pt idx="12">
                  <c:v>771.19999999999993</c:v>
                </c:pt>
                <c:pt idx="13">
                  <c:v>65.88</c:v>
                </c:pt>
                <c:pt idx="14">
                  <c:v>1706.184</c:v>
                </c:pt>
              </c:numCache>
            </c:numRef>
          </c:val>
          <c:extLst>
            <c:ext xmlns:c16="http://schemas.microsoft.com/office/drawing/2014/chart" uri="{C3380CC4-5D6E-409C-BE32-E72D297353CC}">
              <c16:uniqueId val="{0000006A-9F5F-4199-A0E7-A4BE7BF173E8}"/>
            </c:ext>
          </c:extLst>
        </c:ser>
        <c:ser>
          <c:idx val="3"/>
          <c:order val="3"/>
          <c:tx>
            <c:strRef>
              <c:f>'Sale(s-c)'!$E$3:$E$4</c:f>
              <c:strCache>
                <c:ptCount val="1"/>
                <c:pt idx="0">
                  <c:v>Colorado</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'Sale(s-c)'!$A$5:$A$20</c:f>
              <c:strCache>
                <c:ptCount val="15"/>
                <c:pt idx="0">
                  <c:v>Accessories</c:v>
                </c:pt>
                <c:pt idx="1">
                  <c:v>Appliances</c:v>
                </c:pt>
                <c:pt idx="2">
                  <c:v>Art</c:v>
                </c:pt>
                <c:pt idx="3">
                  <c:v>Binders</c:v>
                </c:pt>
                <c:pt idx="4">
                  <c:v>Bookcases</c:v>
                </c:pt>
                <c:pt idx="5">
                  <c:v>Chairs</c:v>
                </c:pt>
                <c:pt idx="6">
                  <c:v>Envelopes</c:v>
                </c:pt>
                <c:pt idx="7">
                  <c:v>Fasteners</c:v>
                </c:pt>
                <c:pt idx="8">
                  <c:v>Furnishings</c:v>
                </c:pt>
                <c:pt idx="9">
                  <c:v>Labels</c:v>
                </c:pt>
                <c:pt idx="10">
                  <c:v>Paper</c:v>
                </c:pt>
                <c:pt idx="11">
                  <c:v>Phones</c:v>
                </c:pt>
                <c:pt idx="12">
                  <c:v>Storage</c:v>
                </c:pt>
                <c:pt idx="13">
                  <c:v>Supplies</c:v>
                </c:pt>
                <c:pt idx="14">
                  <c:v>Tables</c:v>
                </c:pt>
              </c:strCache>
            </c:strRef>
          </c:cat>
          <c:val>
            <c:numRef>
              <c:f>'Sale(s-c)'!$E$5:$E$20</c:f>
              <c:numCache>
                <c:formatCode>General</c:formatCode>
                <c:ptCount val="15"/>
                <c:pt idx="0">
                  <c:v>238.89599999999999</c:v>
                </c:pt>
                <c:pt idx="3">
                  <c:v>36.881999999999998</c:v>
                </c:pt>
                <c:pt idx="8">
                  <c:v>102.36</c:v>
                </c:pt>
              </c:numCache>
            </c:numRef>
          </c:val>
          <c:extLst>
            <c:ext xmlns:c16="http://schemas.microsoft.com/office/drawing/2014/chart" uri="{C3380CC4-5D6E-409C-BE32-E72D297353CC}">
              <c16:uniqueId val="{0000006B-9F5F-4199-A0E7-A4BE7BF173E8}"/>
            </c:ext>
          </c:extLst>
        </c:ser>
        <c:ser>
          <c:idx val="4"/>
          <c:order val="4"/>
          <c:tx>
            <c:strRef>
              <c:f>'Sale(s-c)'!$F$3:$F$4</c:f>
              <c:strCache>
                <c:ptCount val="1"/>
                <c:pt idx="0">
                  <c:v>Delaware</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'Sale(s-c)'!$A$5:$A$20</c:f>
              <c:strCache>
                <c:ptCount val="15"/>
                <c:pt idx="0">
                  <c:v>Accessories</c:v>
                </c:pt>
                <c:pt idx="1">
                  <c:v>Appliances</c:v>
                </c:pt>
                <c:pt idx="2">
                  <c:v>Art</c:v>
                </c:pt>
                <c:pt idx="3">
                  <c:v>Binders</c:v>
                </c:pt>
                <c:pt idx="4">
                  <c:v>Bookcases</c:v>
                </c:pt>
                <c:pt idx="5">
                  <c:v>Chairs</c:v>
                </c:pt>
                <c:pt idx="6">
                  <c:v>Envelopes</c:v>
                </c:pt>
                <c:pt idx="7">
                  <c:v>Fasteners</c:v>
                </c:pt>
                <c:pt idx="8">
                  <c:v>Furnishings</c:v>
                </c:pt>
                <c:pt idx="9">
                  <c:v>Labels</c:v>
                </c:pt>
                <c:pt idx="10">
                  <c:v>Paper</c:v>
                </c:pt>
                <c:pt idx="11">
                  <c:v>Phones</c:v>
                </c:pt>
                <c:pt idx="12">
                  <c:v>Storage</c:v>
                </c:pt>
                <c:pt idx="13">
                  <c:v>Supplies</c:v>
                </c:pt>
                <c:pt idx="14">
                  <c:v>Tables</c:v>
                </c:pt>
              </c:strCache>
            </c:strRef>
          </c:cat>
          <c:val>
            <c:numRef>
              <c:f>'Sale(s-c)'!$F$5:$F$20</c:f>
              <c:numCache>
                <c:formatCode>General</c:formatCode>
                <c:ptCount val="15"/>
                <c:pt idx="0">
                  <c:v>45</c:v>
                </c:pt>
                <c:pt idx="3">
                  <c:v>30.84</c:v>
                </c:pt>
                <c:pt idx="6">
                  <c:v>115.02</c:v>
                </c:pt>
                <c:pt idx="8">
                  <c:v>47.04</c:v>
                </c:pt>
                <c:pt idx="11">
                  <c:v>89.84</c:v>
                </c:pt>
                <c:pt idx="12">
                  <c:v>226.56</c:v>
                </c:pt>
              </c:numCache>
            </c:numRef>
          </c:val>
          <c:extLst>
            <c:ext xmlns:c16="http://schemas.microsoft.com/office/drawing/2014/chart" uri="{C3380CC4-5D6E-409C-BE32-E72D297353CC}">
              <c16:uniqueId val="{0000006C-9F5F-4199-A0E7-A4BE7BF173E8}"/>
            </c:ext>
          </c:extLst>
        </c:ser>
        <c:ser>
          <c:idx val="5"/>
          <c:order val="5"/>
          <c:tx>
            <c:strRef>
              <c:f>'Sale(s-c)'!$G$3:$G$4</c:f>
              <c:strCache>
                <c:ptCount val="1"/>
                <c:pt idx="0">
                  <c:v>Florida</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'Sale(s-c)'!$A$5:$A$20</c:f>
              <c:strCache>
                <c:ptCount val="15"/>
                <c:pt idx="0">
                  <c:v>Accessories</c:v>
                </c:pt>
                <c:pt idx="1">
                  <c:v>Appliances</c:v>
                </c:pt>
                <c:pt idx="2">
                  <c:v>Art</c:v>
                </c:pt>
                <c:pt idx="3">
                  <c:v>Binders</c:v>
                </c:pt>
                <c:pt idx="4">
                  <c:v>Bookcases</c:v>
                </c:pt>
                <c:pt idx="5">
                  <c:v>Chairs</c:v>
                </c:pt>
                <c:pt idx="6">
                  <c:v>Envelopes</c:v>
                </c:pt>
                <c:pt idx="7">
                  <c:v>Fasteners</c:v>
                </c:pt>
                <c:pt idx="8">
                  <c:v>Furnishings</c:v>
                </c:pt>
                <c:pt idx="9">
                  <c:v>Labels</c:v>
                </c:pt>
                <c:pt idx="10">
                  <c:v>Paper</c:v>
                </c:pt>
                <c:pt idx="11">
                  <c:v>Phones</c:v>
                </c:pt>
                <c:pt idx="12">
                  <c:v>Storage</c:v>
                </c:pt>
                <c:pt idx="13">
                  <c:v>Supplies</c:v>
                </c:pt>
                <c:pt idx="14">
                  <c:v>Tables</c:v>
                </c:pt>
              </c:strCache>
            </c:strRef>
          </c:cat>
          <c:val>
            <c:numRef>
              <c:f>'Sale(s-c)'!$G$5:$G$20</c:f>
              <c:numCache>
                <c:formatCode>General</c:formatCode>
                <c:ptCount val="15"/>
                <c:pt idx="12">
                  <c:v>117.98399999999999</c:v>
                </c:pt>
                <c:pt idx="14">
                  <c:v>957.57749999999999</c:v>
                </c:pt>
              </c:numCache>
            </c:numRef>
          </c:val>
          <c:extLst>
            <c:ext xmlns:c16="http://schemas.microsoft.com/office/drawing/2014/chart" uri="{C3380CC4-5D6E-409C-BE32-E72D297353CC}">
              <c16:uniqueId val="{0000006D-9F5F-4199-A0E7-A4BE7BF173E8}"/>
            </c:ext>
          </c:extLst>
        </c:ser>
        <c:ser>
          <c:idx val="6"/>
          <c:order val="6"/>
          <c:tx>
            <c:strRef>
              <c:f>'Sale(s-c)'!$H$3:$H$4</c:f>
              <c:strCache>
                <c:ptCount val="1"/>
                <c:pt idx="0">
                  <c:v>Illinois</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'Sale(s-c)'!$A$5:$A$20</c:f>
              <c:strCache>
                <c:ptCount val="15"/>
                <c:pt idx="0">
                  <c:v>Accessories</c:v>
                </c:pt>
                <c:pt idx="1">
                  <c:v>Appliances</c:v>
                </c:pt>
                <c:pt idx="2">
                  <c:v>Art</c:v>
                </c:pt>
                <c:pt idx="3">
                  <c:v>Binders</c:v>
                </c:pt>
                <c:pt idx="4">
                  <c:v>Bookcases</c:v>
                </c:pt>
                <c:pt idx="5">
                  <c:v>Chairs</c:v>
                </c:pt>
                <c:pt idx="6">
                  <c:v>Envelopes</c:v>
                </c:pt>
                <c:pt idx="7">
                  <c:v>Fasteners</c:v>
                </c:pt>
                <c:pt idx="8">
                  <c:v>Furnishings</c:v>
                </c:pt>
                <c:pt idx="9">
                  <c:v>Labels</c:v>
                </c:pt>
                <c:pt idx="10">
                  <c:v>Paper</c:v>
                </c:pt>
                <c:pt idx="11">
                  <c:v>Phones</c:v>
                </c:pt>
                <c:pt idx="12">
                  <c:v>Storage</c:v>
                </c:pt>
                <c:pt idx="13">
                  <c:v>Supplies</c:v>
                </c:pt>
                <c:pt idx="14">
                  <c:v>Tables</c:v>
                </c:pt>
              </c:strCache>
            </c:strRef>
          </c:cat>
          <c:val>
            <c:numRef>
              <c:f>'Sale(s-c)'!$H$5:$H$20</c:f>
              <c:numCache>
                <c:formatCode>General</c:formatCode>
                <c:ptCount val="15"/>
                <c:pt idx="0">
                  <c:v>435.93599999999998</c:v>
                </c:pt>
                <c:pt idx="3">
                  <c:v>1.788</c:v>
                </c:pt>
                <c:pt idx="5">
                  <c:v>213.11500000000001</c:v>
                </c:pt>
                <c:pt idx="10">
                  <c:v>64.623999999999995</c:v>
                </c:pt>
                <c:pt idx="11">
                  <c:v>147.16800000000001</c:v>
                </c:pt>
                <c:pt idx="12">
                  <c:v>230.376</c:v>
                </c:pt>
                <c:pt idx="14">
                  <c:v>617.70000000000005</c:v>
                </c:pt>
              </c:numCache>
            </c:numRef>
          </c:val>
          <c:extLst>
            <c:ext xmlns:c16="http://schemas.microsoft.com/office/drawing/2014/chart" uri="{C3380CC4-5D6E-409C-BE32-E72D297353CC}">
              <c16:uniqueId val="{0000006E-9F5F-4199-A0E7-A4BE7BF173E8}"/>
            </c:ext>
          </c:extLst>
        </c:ser>
        <c:ser>
          <c:idx val="7"/>
          <c:order val="7"/>
          <c:tx>
            <c:strRef>
              <c:f>'Sale(s-c)'!$I$3:$I$4</c:f>
              <c:strCache>
                <c:ptCount val="1"/>
                <c:pt idx="0">
                  <c:v>Indiana</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'Sale(s-c)'!$A$5:$A$20</c:f>
              <c:strCache>
                <c:ptCount val="15"/>
                <c:pt idx="0">
                  <c:v>Accessories</c:v>
                </c:pt>
                <c:pt idx="1">
                  <c:v>Appliances</c:v>
                </c:pt>
                <c:pt idx="2">
                  <c:v>Art</c:v>
                </c:pt>
                <c:pt idx="3">
                  <c:v>Binders</c:v>
                </c:pt>
                <c:pt idx="4">
                  <c:v>Bookcases</c:v>
                </c:pt>
                <c:pt idx="5">
                  <c:v>Chairs</c:v>
                </c:pt>
                <c:pt idx="6">
                  <c:v>Envelopes</c:v>
                </c:pt>
                <c:pt idx="7">
                  <c:v>Fasteners</c:v>
                </c:pt>
                <c:pt idx="8">
                  <c:v>Furnishings</c:v>
                </c:pt>
                <c:pt idx="9">
                  <c:v>Labels</c:v>
                </c:pt>
                <c:pt idx="10">
                  <c:v>Paper</c:v>
                </c:pt>
                <c:pt idx="11">
                  <c:v>Phones</c:v>
                </c:pt>
                <c:pt idx="12">
                  <c:v>Storage</c:v>
                </c:pt>
                <c:pt idx="13">
                  <c:v>Supplies</c:v>
                </c:pt>
                <c:pt idx="14">
                  <c:v>Tables</c:v>
                </c:pt>
              </c:strCache>
            </c:strRef>
          </c:cat>
          <c:val>
            <c:numRef>
              <c:f>'Sale(s-c)'!$I$5:$I$20</c:f>
              <c:numCache>
                <c:formatCode>General</c:formatCode>
                <c:ptCount val="15"/>
                <c:pt idx="3">
                  <c:v>38.22</c:v>
                </c:pt>
                <c:pt idx="5">
                  <c:v>89.99</c:v>
                </c:pt>
                <c:pt idx="8">
                  <c:v>6.16</c:v>
                </c:pt>
                <c:pt idx="9">
                  <c:v>75.180000000000007</c:v>
                </c:pt>
              </c:numCache>
            </c:numRef>
          </c:val>
          <c:extLst>
            <c:ext xmlns:c16="http://schemas.microsoft.com/office/drawing/2014/chart" uri="{C3380CC4-5D6E-409C-BE32-E72D297353CC}">
              <c16:uniqueId val="{0000006F-9F5F-4199-A0E7-A4BE7BF173E8}"/>
            </c:ext>
          </c:extLst>
        </c:ser>
        <c:ser>
          <c:idx val="8"/>
          <c:order val="8"/>
          <c:tx>
            <c:strRef>
              <c:f>'Sale(s-c)'!$J$3:$J$4</c:f>
              <c:strCache>
                <c:ptCount val="1"/>
                <c:pt idx="0">
                  <c:v>Iowa</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'Sale(s-c)'!$A$5:$A$20</c:f>
              <c:strCache>
                <c:ptCount val="15"/>
                <c:pt idx="0">
                  <c:v>Accessories</c:v>
                </c:pt>
                <c:pt idx="1">
                  <c:v>Appliances</c:v>
                </c:pt>
                <c:pt idx="2">
                  <c:v>Art</c:v>
                </c:pt>
                <c:pt idx="3">
                  <c:v>Binders</c:v>
                </c:pt>
                <c:pt idx="4">
                  <c:v>Bookcases</c:v>
                </c:pt>
                <c:pt idx="5">
                  <c:v>Chairs</c:v>
                </c:pt>
                <c:pt idx="6">
                  <c:v>Envelopes</c:v>
                </c:pt>
                <c:pt idx="7">
                  <c:v>Fasteners</c:v>
                </c:pt>
                <c:pt idx="8">
                  <c:v>Furnishings</c:v>
                </c:pt>
                <c:pt idx="9">
                  <c:v>Labels</c:v>
                </c:pt>
                <c:pt idx="10">
                  <c:v>Paper</c:v>
                </c:pt>
                <c:pt idx="11">
                  <c:v>Phones</c:v>
                </c:pt>
                <c:pt idx="12">
                  <c:v>Storage</c:v>
                </c:pt>
                <c:pt idx="13">
                  <c:v>Supplies</c:v>
                </c:pt>
                <c:pt idx="14">
                  <c:v>Tables</c:v>
                </c:pt>
              </c:strCache>
            </c:strRef>
          </c:cat>
          <c:val>
            <c:numRef>
              <c:f>'Sale(s-c)'!$J$5:$J$20</c:f>
              <c:numCache>
                <c:formatCode>General</c:formatCode>
                <c:ptCount val="15"/>
                <c:pt idx="2">
                  <c:v>75.959999999999994</c:v>
                </c:pt>
                <c:pt idx="3">
                  <c:v>27.24</c:v>
                </c:pt>
              </c:numCache>
            </c:numRef>
          </c:val>
          <c:extLst>
            <c:ext xmlns:c16="http://schemas.microsoft.com/office/drawing/2014/chart" uri="{C3380CC4-5D6E-409C-BE32-E72D297353CC}">
              <c16:uniqueId val="{00000070-9F5F-4199-A0E7-A4BE7BF173E8}"/>
            </c:ext>
          </c:extLst>
        </c:ser>
        <c:ser>
          <c:idx val="9"/>
          <c:order val="9"/>
          <c:tx>
            <c:strRef>
              <c:f>'Sale(s-c)'!$K$3:$K$4</c:f>
              <c:strCache>
                <c:ptCount val="1"/>
                <c:pt idx="0">
                  <c:v>Kentucky</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'Sale(s-c)'!$A$5:$A$20</c:f>
              <c:strCache>
                <c:ptCount val="15"/>
                <c:pt idx="0">
                  <c:v>Accessories</c:v>
                </c:pt>
                <c:pt idx="1">
                  <c:v>Appliances</c:v>
                </c:pt>
                <c:pt idx="2">
                  <c:v>Art</c:v>
                </c:pt>
                <c:pt idx="3">
                  <c:v>Binders</c:v>
                </c:pt>
                <c:pt idx="4">
                  <c:v>Bookcases</c:v>
                </c:pt>
                <c:pt idx="5">
                  <c:v>Chairs</c:v>
                </c:pt>
                <c:pt idx="6">
                  <c:v>Envelopes</c:v>
                </c:pt>
                <c:pt idx="7">
                  <c:v>Fasteners</c:v>
                </c:pt>
                <c:pt idx="8">
                  <c:v>Furnishings</c:v>
                </c:pt>
                <c:pt idx="9">
                  <c:v>Labels</c:v>
                </c:pt>
                <c:pt idx="10">
                  <c:v>Paper</c:v>
                </c:pt>
                <c:pt idx="11">
                  <c:v>Phones</c:v>
                </c:pt>
                <c:pt idx="12">
                  <c:v>Storage</c:v>
                </c:pt>
                <c:pt idx="13">
                  <c:v>Supplies</c:v>
                </c:pt>
                <c:pt idx="14">
                  <c:v>Tables</c:v>
                </c:pt>
              </c:strCache>
            </c:strRef>
          </c:cat>
          <c:val>
            <c:numRef>
              <c:f>'Sale(s-c)'!$K$5:$K$20</c:f>
              <c:numCache>
                <c:formatCode>General</c:formatCode>
                <c:ptCount val="15"/>
                <c:pt idx="4">
                  <c:v>261.95999999999998</c:v>
                </c:pt>
                <c:pt idx="5">
                  <c:v>731.94</c:v>
                </c:pt>
              </c:numCache>
            </c:numRef>
          </c:val>
          <c:extLst>
            <c:ext xmlns:c16="http://schemas.microsoft.com/office/drawing/2014/chart" uri="{C3380CC4-5D6E-409C-BE32-E72D297353CC}">
              <c16:uniqueId val="{00000071-9F5F-4199-A0E7-A4BE7BF173E8}"/>
            </c:ext>
          </c:extLst>
        </c:ser>
        <c:ser>
          <c:idx val="10"/>
          <c:order val="10"/>
          <c:tx>
            <c:strRef>
              <c:f>'Sale(s-c)'!$L$3:$L$4</c:f>
              <c:strCache>
                <c:ptCount val="1"/>
                <c:pt idx="0">
                  <c:v>Michigan</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'Sale(s-c)'!$A$5:$A$20</c:f>
              <c:strCache>
                <c:ptCount val="15"/>
                <c:pt idx="0">
                  <c:v>Accessories</c:v>
                </c:pt>
                <c:pt idx="1">
                  <c:v>Appliances</c:v>
                </c:pt>
                <c:pt idx="2">
                  <c:v>Art</c:v>
                </c:pt>
                <c:pt idx="3">
                  <c:v>Binders</c:v>
                </c:pt>
                <c:pt idx="4">
                  <c:v>Bookcases</c:v>
                </c:pt>
                <c:pt idx="5">
                  <c:v>Chairs</c:v>
                </c:pt>
                <c:pt idx="6">
                  <c:v>Envelopes</c:v>
                </c:pt>
                <c:pt idx="7">
                  <c:v>Fasteners</c:v>
                </c:pt>
                <c:pt idx="8">
                  <c:v>Furnishings</c:v>
                </c:pt>
                <c:pt idx="9">
                  <c:v>Labels</c:v>
                </c:pt>
                <c:pt idx="10">
                  <c:v>Paper</c:v>
                </c:pt>
                <c:pt idx="11">
                  <c:v>Phones</c:v>
                </c:pt>
                <c:pt idx="12">
                  <c:v>Storage</c:v>
                </c:pt>
                <c:pt idx="13">
                  <c:v>Supplies</c:v>
                </c:pt>
                <c:pt idx="14">
                  <c:v>Tables</c:v>
                </c:pt>
              </c:strCache>
            </c:strRef>
          </c:cat>
          <c:val>
            <c:numRef>
              <c:f>'Sale(s-c)'!$L$5:$L$20</c:f>
              <c:numCache>
                <c:formatCode>General</c:formatCode>
                <c:ptCount val="15"/>
                <c:pt idx="10">
                  <c:v>19.05</c:v>
                </c:pt>
                <c:pt idx="12">
                  <c:v>211.96</c:v>
                </c:pt>
              </c:numCache>
            </c:numRef>
          </c:val>
          <c:extLst>
            <c:ext xmlns:c16="http://schemas.microsoft.com/office/drawing/2014/chart" uri="{C3380CC4-5D6E-409C-BE32-E72D297353CC}">
              <c16:uniqueId val="{00000072-9F5F-4199-A0E7-A4BE7BF173E8}"/>
            </c:ext>
          </c:extLst>
        </c:ser>
        <c:ser>
          <c:idx val="11"/>
          <c:order val="11"/>
          <c:tx>
            <c:strRef>
              <c:f>'Sale(s-c)'!$M$3:$M$4</c:f>
              <c:strCache>
                <c:ptCount val="1"/>
                <c:pt idx="0">
                  <c:v>Minnesota</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'Sale(s-c)'!$A$5:$A$20</c:f>
              <c:strCache>
                <c:ptCount val="15"/>
                <c:pt idx="0">
                  <c:v>Accessories</c:v>
                </c:pt>
                <c:pt idx="1">
                  <c:v>Appliances</c:v>
                </c:pt>
                <c:pt idx="2">
                  <c:v>Art</c:v>
                </c:pt>
                <c:pt idx="3">
                  <c:v>Binders</c:v>
                </c:pt>
                <c:pt idx="4">
                  <c:v>Bookcases</c:v>
                </c:pt>
                <c:pt idx="5">
                  <c:v>Chairs</c:v>
                </c:pt>
                <c:pt idx="6">
                  <c:v>Envelopes</c:v>
                </c:pt>
                <c:pt idx="7">
                  <c:v>Fasteners</c:v>
                </c:pt>
                <c:pt idx="8">
                  <c:v>Furnishings</c:v>
                </c:pt>
                <c:pt idx="9">
                  <c:v>Labels</c:v>
                </c:pt>
                <c:pt idx="10">
                  <c:v>Paper</c:v>
                </c:pt>
                <c:pt idx="11">
                  <c:v>Phones</c:v>
                </c:pt>
                <c:pt idx="12">
                  <c:v>Storage</c:v>
                </c:pt>
                <c:pt idx="13">
                  <c:v>Supplies</c:v>
                </c:pt>
                <c:pt idx="14">
                  <c:v>Tables</c:v>
                </c:pt>
              </c:strCache>
            </c:strRef>
          </c:cat>
          <c:val>
            <c:numRef>
              <c:f>'Sale(s-c)'!$M$5:$M$20</c:f>
              <c:numCache>
                <c:formatCode>General</c:formatCode>
                <c:ptCount val="15"/>
                <c:pt idx="0">
                  <c:v>65.97</c:v>
                </c:pt>
                <c:pt idx="1">
                  <c:v>77.88</c:v>
                </c:pt>
                <c:pt idx="3">
                  <c:v>50.42</c:v>
                </c:pt>
                <c:pt idx="8">
                  <c:v>53.34</c:v>
                </c:pt>
                <c:pt idx="9">
                  <c:v>6.16</c:v>
                </c:pt>
                <c:pt idx="10">
                  <c:v>36.880000000000003</c:v>
                </c:pt>
              </c:numCache>
            </c:numRef>
          </c:val>
          <c:extLst>
            <c:ext xmlns:c16="http://schemas.microsoft.com/office/drawing/2014/chart" uri="{C3380CC4-5D6E-409C-BE32-E72D297353CC}">
              <c16:uniqueId val="{00000073-9F5F-4199-A0E7-A4BE7BF173E8}"/>
            </c:ext>
          </c:extLst>
        </c:ser>
        <c:ser>
          <c:idx val="12"/>
          <c:order val="12"/>
          <c:tx>
            <c:strRef>
              <c:f>'Sale(s-c)'!$N$3:$N$4</c:f>
              <c:strCache>
                <c:ptCount val="1"/>
                <c:pt idx="0">
                  <c:v>Missouri</c:v>
                </c:pt>
              </c:strCache>
            </c:strRef>
          </c:tx>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'Sale(s-c)'!$A$5:$A$20</c:f>
              <c:strCache>
                <c:ptCount val="15"/>
                <c:pt idx="0">
                  <c:v>Accessories</c:v>
                </c:pt>
                <c:pt idx="1">
                  <c:v>Appliances</c:v>
                </c:pt>
                <c:pt idx="2">
                  <c:v>Art</c:v>
                </c:pt>
                <c:pt idx="3">
                  <c:v>Binders</c:v>
                </c:pt>
                <c:pt idx="4">
                  <c:v>Bookcases</c:v>
                </c:pt>
                <c:pt idx="5">
                  <c:v>Chairs</c:v>
                </c:pt>
                <c:pt idx="6">
                  <c:v>Envelopes</c:v>
                </c:pt>
                <c:pt idx="7">
                  <c:v>Fasteners</c:v>
                </c:pt>
                <c:pt idx="8">
                  <c:v>Furnishings</c:v>
                </c:pt>
                <c:pt idx="9">
                  <c:v>Labels</c:v>
                </c:pt>
                <c:pt idx="10">
                  <c:v>Paper</c:v>
                </c:pt>
                <c:pt idx="11">
                  <c:v>Phones</c:v>
                </c:pt>
                <c:pt idx="12">
                  <c:v>Storage</c:v>
                </c:pt>
                <c:pt idx="13">
                  <c:v>Supplies</c:v>
                </c:pt>
                <c:pt idx="14">
                  <c:v>Tables</c:v>
                </c:pt>
              </c:strCache>
            </c:strRef>
          </c:cat>
          <c:val>
            <c:numRef>
              <c:f>'Sale(s-c)'!$N$5:$N$20</c:f>
              <c:numCache>
                <c:formatCode>General</c:formatCode>
                <c:ptCount val="15"/>
                <c:pt idx="1">
                  <c:v>839.43</c:v>
                </c:pt>
              </c:numCache>
            </c:numRef>
          </c:val>
          <c:extLst>
            <c:ext xmlns:c16="http://schemas.microsoft.com/office/drawing/2014/chart" uri="{C3380CC4-5D6E-409C-BE32-E72D297353CC}">
              <c16:uniqueId val="{00000074-9F5F-4199-A0E7-A4BE7BF173E8}"/>
            </c:ext>
          </c:extLst>
        </c:ser>
        <c:ser>
          <c:idx val="13"/>
          <c:order val="13"/>
          <c:tx>
            <c:strRef>
              <c:f>'Sale(s-c)'!$O$3:$O$4</c:f>
              <c:strCache>
                <c:ptCount val="1"/>
                <c:pt idx="0">
                  <c:v>Nebraska</c:v>
                </c:pt>
              </c:strCache>
            </c:strRef>
          </c:tx>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'Sale(s-c)'!$A$5:$A$20</c:f>
              <c:strCache>
                <c:ptCount val="15"/>
                <c:pt idx="0">
                  <c:v>Accessories</c:v>
                </c:pt>
                <c:pt idx="1">
                  <c:v>Appliances</c:v>
                </c:pt>
                <c:pt idx="2">
                  <c:v>Art</c:v>
                </c:pt>
                <c:pt idx="3">
                  <c:v>Binders</c:v>
                </c:pt>
                <c:pt idx="4">
                  <c:v>Bookcases</c:v>
                </c:pt>
                <c:pt idx="5">
                  <c:v>Chairs</c:v>
                </c:pt>
                <c:pt idx="6">
                  <c:v>Envelopes</c:v>
                </c:pt>
                <c:pt idx="7">
                  <c:v>Fasteners</c:v>
                </c:pt>
                <c:pt idx="8">
                  <c:v>Furnishings</c:v>
                </c:pt>
                <c:pt idx="9">
                  <c:v>Labels</c:v>
                </c:pt>
                <c:pt idx="10">
                  <c:v>Paper</c:v>
                </c:pt>
                <c:pt idx="11">
                  <c:v>Phones</c:v>
                </c:pt>
                <c:pt idx="12">
                  <c:v>Storage</c:v>
                </c:pt>
                <c:pt idx="13">
                  <c:v>Supplies</c:v>
                </c:pt>
                <c:pt idx="14">
                  <c:v>Tables</c:v>
                </c:pt>
              </c:strCache>
            </c:strRef>
          </c:cat>
          <c:val>
            <c:numRef>
              <c:f>'Sale(s-c)'!$O$5:$O$20</c:f>
              <c:numCache>
                <c:formatCode>General</c:formatCode>
                <c:ptCount val="15"/>
                <c:pt idx="1">
                  <c:v>60.34</c:v>
                </c:pt>
                <c:pt idx="2">
                  <c:v>19.46</c:v>
                </c:pt>
              </c:numCache>
            </c:numRef>
          </c:val>
          <c:extLst>
            <c:ext xmlns:c16="http://schemas.microsoft.com/office/drawing/2014/chart" uri="{C3380CC4-5D6E-409C-BE32-E72D297353CC}">
              <c16:uniqueId val="{00000075-9F5F-4199-A0E7-A4BE7BF173E8}"/>
            </c:ext>
          </c:extLst>
        </c:ser>
        <c:ser>
          <c:idx val="14"/>
          <c:order val="14"/>
          <c:tx>
            <c:strRef>
              <c:f>'Sale(s-c)'!$P$3:$P$4</c:f>
              <c:strCache>
                <c:ptCount val="1"/>
                <c:pt idx="0">
                  <c:v>New York</c:v>
                </c:pt>
              </c:strCache>
            </c:strRef>
          </c:tx>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'Sale(s-c)'!$A$5:$A$20</c:f>
              <c:strCache>
                <c:ptCount val="15"/>
                <c:pt idx="0">
                  <c:v>Accessories</c:v>
                </c:pt>
                <c:pt idx="1">
                  <c:v>Appliances</c:v>
                </c:pt>
                <c:pt idx="2">
                  <c:v>Art</c:v>
                </c:pt>
                <c:pt idx="3">
                  <c:v>Binders</c:v>
                </c:pt>
                <c:pt idx="4">
                  <c:v>Bookcases</c:v>
                </c:pt>
                <c:pt idx="5">
                  <c:v>Chairs</c:v>
                </c:pt>
                <c:pt idx="6">
                  <c:v>Envelopes</c:v>
                </c:pt>
                <c:pt idx="7">
                  <c:v>Fasteners</c:v>
                </c:pt>
                <c:pt idx="8">
                  <c:v>Furnishings</c:v>
                </c:pt>
                <c:pt idx="9">
                  <c:v>Labels</c:v>
                </c:pt>
                <c:pt idx="10">
                  <c:v>Paper</c:v>
                </c:pt>
                <c:pt idx="11">
                  <c:v>Phones</c:v>
                </c:pt>
                <c:pt idx="12">
                  <c:v>Storage</c:v>
                </c:pt>
                <c:pt idx="13">
                  <c:v>Supplies</c:v>
                </c:pt>
                <c:pt idx="14">
                  <c:v>Tables</c:v>
                </c:pt>
              </c:strCache>
            </c:strRef>
          </c:cat>
          <c:val>
            <c:numRef>
              <c:f>'Sale(s-c)'!$P$5:$P$20</c:f>
              <c:numCache>
                <c:formatCode>General</c:formatCode>
                <c:ptCount val="15"/>
                <c:pt idx="0">
                  <c:v>30</c:v>
                </c:pt>
                <c:pt idx="2">
                  <c:v>1.68</c:v>
                </c:pt>
                <c:pt idx="3">
                  <c:v>53.095999999999997</c:v>
                </c:pt>
                <c:pt idx="5">
                  <c:v>319.41000000000003</c:v>
                </c:pt>
                <c:pt idx="7">
                  <c:v>15.26</c:v>
                </c:pt>
                <c:pt idx="8">
                  <c:v>138.49</c:v>
                </c:pt>
                <c:pt idx="10">
                  <c:v>46.96</c:v>
                </c:pt>
                <c:pt idx="11">
                  <c:v>1029.95</c:v>
                </c:pt>
                <c:pt idx="12">
                  <c:v>208.56</c:v>
                </c:pt>
              </c:numCache>
            </c:numRef>
          </c:val>
          <c:extLst>
            <c:ext xmlns:c16="http://schemas.microsoft.com/office/drawing/2014/chart" uri="{C3380CC4-5D6E-409C-BE32-E72D297353CC}">
              <c16:uniqueId val="{00000076-9F5F-4199-A0E7-A4BE7BF173E8}"/>
            </c:ext>
          </c:extLst>
        </c:ser>
        <c:ser>
          <c:idx val="15"/>
          <c:order val="15"/>
          <c:tx>
            <c:strRef>
              <c:f>'Sale(s-c)'!$Q$3:$Q$4</c:f>
              <c:strCache>
                <c:ptCount val="1"/>
                <c:pt idx="0">
                  <c:v>North Carolina</c:v>
                </c:pt>
              </c:strCache>
            </c:strRef>
          </c:tx>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'Sale(s-c)'!$A$5:$A$20</c:f>
              <c:strCache>
                <c:ptCount val="15"/>
                <c:pt idx="0">
                  <c:v>Accessories</c:v>
                </c:pt>
                <c:pt idx="1">
                  <c:v>Appliances</c:v>
                </c:pt>
                <c:pt idx="2">
                  <c:v>Art</c:v>
                </c:pt>
                <c:pt idx="3">
                  <c:v>Binders</c:v>
                </c:pt>
                <c:pt idx="4">
                  <c:v>Bookcases</c:v>
                </c:pt>
                <c:pt idx="5">
                  <c:v>Chairs</c:v>
                </c:pt>
                <c:pt idx="6">
                  <c:v>Envelopes</c:v>
                </c:pt>
                <c:pt idx="7">
                  <c:v>Fasteners</c:v>
                </c:pt>
                <c:pt idx="8">
                  <c:v>Furnishings</c:v>
                </c:pt>
                <c:pt idx="9">
                  <c:v>Labels</c:v>
                </c:pt>
                <c:pt idx="10">
                  <c:v>Paper</c:v>
                </c:pt>
                <c:pt idx="11">
                  <c:v>Phones</c:v>
                </c:pt>
                <c:pt idx="12">
                  <c:v>Storage</c:v>
                </c:pt>
                <c:pt idx="13">
                  <c:v>Supplies</c:v>
                </c:pt>
                <c:pt idx="14">
                  <c:v>Tables</c:v>
                </c:pt>
              </c:strCache>
            </c:strRef>
          </c:cat>
          <c:val>
            <c:numRef>
              <c:f>'Sale(s-c)'!$Q$5:$Q$20</c:f>
              <c:numCache>
                <c:formatCode>General</c:formatCode>
                <c:ptCount val="15"/>
                <c:pt idx="0">
                  <c:v>74.111999999999995</c:v>
                </c:pt>
                <c:pt idx="2">
                  <c:v>3.3039999999999998</c:v>
                </c:pt>
                <c:pt idx="6">
                  <c:v>200.98400000000001</c:v>
                </c:pt>
                <c:pt idx="10">
                  <c:v>15.552</c:v>
                </c:pt>
                <c:pt idx="11">
                  <c:v>27.992000000000001</c:v>
                </c:pt>
              </c:numCache>
            </c:numRef>
          </c:val>
          <c:extLst>
            <c:ext xmlns:c16="http://schemas.microsoft.com/office/drawing/2014/chart" uri="{C3380CC4-5D6E-409C-BE32-E72D297353CC}">
              <c16:uniqueId val="{00000077-9F5F-4199-A0E7-A4BE7BF173E8}"/>
            </c:ext>
          </c:extLst>
        </c:ser>
        <c:ser>
          <c:idx val="16"/>
          <c:order val="16"/>
          <c:tx>
            <c:strRef>
              <c:f>'Sale(s-c)'!$R$3:$R$4</c:f>
              <c:strCache>
                <c:ptCount val="1"/>
                <c:pt idx="0">
                  <c:v>Ohio</c:v>
                </c:pt>
              </c:strCache>
            </c:strRef>
          </c:tx>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'Sale(s-c)'!$A$5:$A$20</c:f>
              <c:strCache>
                <c:ptCount val="15"/>
                <c:pt idx="0">
                  <c:v>Accessories</c:v>
                </c:pt>
                <c:pt idx="1">
                  <c:v>Appliances</c:v>
                </c:pt>
                <c:pt idx="2">
                  <c:v>Art</c:v>
                </c:pt>
                <c:pt idx="3">
                  <c:v>Binders</c:v>
                </c:pt>
                <c:pt idx="4">
                  <c:v>Bookcases</c:v>
                </c:pt>
                <c:pt idx="5">
                  <c:v>Chairs</c:v>
                </c:pt>
                <c:pt idx="6">
                  <c:v>Envelopes</c:v>
                </c:pt>
                <c:pt idx="7">
                  <c:v>Fasteners</c:v>
                </c:pt>
                <c:pt idx="8">
                  <c:v>Furnishings</c:v>
                </c:pt>
                <c:pt idx="9">
                  <c:v>Labels</c:v>
                </c:pt>
                <c:pt idx="10">
                  <c:v>Paper</c:v>
                </c:pt>
                <c:pt idx="11">
                  <c:v>Phones</c:v>
                </c:pt>
                <c:pt idx="12">
                  <c:v>Storage</c:v>
                </c:pt>
                <c:pt idx="13">
                  <c:v>Supplies</c:v>
                </c:pt>
                <c:pt idx="14">
                  <c:v>Tables</c:v>
                </c:pt>
              </c:strCache>
            </c:strRef>
          </c:cat>
          <c:val>
            <c:numRef>
              <c:f>'Sale(s-c)'!$R$5:$R$20</c:f>
              <c:numCache>
                <c:formatCode>General</c:formatCode>
                <c:ptCount val="15"/>
                <c:pt idx="6">
                  <c:v>135.184</c:v>
                </c:pt>
                <c:pt idx="7">
                  <c:v>61.551999999999992</c:v>
                </c:pt>
                <c:pt idx="8">
                  <c:v>93.888000000000005</c:v>
                </c:pt>
                <c:pt idx="10">
                  <c:v>102.28</c:v>
                </c:pt>
                <c:pt idx="11">
                  <c:v>59.97</c:v>
                </c:pt>
              </c:numCache>
            </c:numRef>
          </c:val>
          <c:extLst>
            <c:ext xmlns:c16="http://schemas.microsoft.com/office/drawing/2014/chart" uri="{C3380CC4-5D6E-409C-BE32-E72D297353CC}">
              <c16:uniqueId val="{00000078-9F5F-4199-A0E7-A4BE7BF173E8}"/>
            </c:ext>
          </c:extLst>
        </c:ser>
        <c:ser>
          <c:idx val="17"/>
          <c:order val="17"/>
          <c:tx>
            <c:strRef>
              <c:f>'Sale(s-c)'!$S$3:$S$4</c:f>
              <c:strCache>
                <c:ptCount val="1"/>
                <c:pt idx="0">
                  <c:v>Oregon</c:v>
                </c:pt>
              </c:strCache>
            </c:strRef>
          </c:tx>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'Sale(s-c)'!$A$5:$A$20</c:f>
              <c:strCache>
                <c:ptCount val="15"/>
                <c:pt idx="0">
                  <c:v>Accessories</c:v>
                </c:pt>
                <c:pt idx="1">
                  <c:v>Appliances</c:v>
                </c:pt>
                <c:pt idx="2">
                  <c:v>Art</c:v>
                </c:pt>
                <c:pt idx="3">
                  <c:v>Binders</c:v>
                </c:pt>
                <c:pt idx="4">
                  <c:v>Bookcases</c:v>
                </c:pt>
                <c:pt idx="5">
                  <c:v>Chairs</c:v>
                </c:pt>
                <c:pt idx="6">
                  <c:v>Envelopes</c:v>
                </c:pt>
                <c:pt idx="7">
                  <c:v>Fasteners</c:v>
                </c:pt>
                <c:pt idx="8">
                  <c:v>Furnishings</c:v>
                </c:pt>
                <c:pt idx="9">
                  <c:v>Labels</c:v>
                </c:pt>
                <c:pt idx="10">
                  <c:v>Paper</c:v>
                </c:pt>
                <c:pt idx="11">
                  <c:v>Phones</c:v>
                </c:pt>
                <c:pt idx="12">
                  <c:v>Storage</c:v>
                </c:pt>
                <c:pt idx="13">
                  <c:v>Supplies</c:v>
                </c:pt>
                <c:pt idx="14">
                  <c:v>Tables</c:v>
                </c:pt>
              </c:strCache>
            </c:strRef>
          </c:cat>
          <c:val>
            <c:numRef>
              <c:f>'Sale(s-c)'!$S$5:$S$20</c:f>
              <c:numCache>
                <c:formatCode>General</c:formatCode>
                <c:ptCount val="15"/>
                <c:pt idx="3">
                  <c:v>5.6820000000000004</c:v>
                </c:pt>
              </c:numCache>
            </c:numRef>
          </c:val>
          <c:extLst>
            <c:ext xmlns:c16="http://schemas.microsoft.com/office/drawing/2014/chart" uri="{C3380CC4-5D6E-409C-BE32-E72D297353CC}">
              <c16:uniqueId val="{00000079-9F5F-4199-A0E7-A4BE7BF173E8}"/>
            </c:ext>
          </c:extLst>
        </c:ser>
        <c:ser>
          <c:idx val="18"/>
          <c:order val="18"/>
          <c:tx>
            <c:strRef>
              <c:f>'Sale(s-c)'!$T$3:$T$4</c:f>
              <c:strCache>
                <c:ptCount val="1"/>
                <c:pt idx="0">
                  <c:v>Pennsylvania</c:v>
                </c:pt>
              </c:strCache>
            </c:strRef>
          </c:tx>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'Sale(s-c)'!$A$5:$A$20</c:f>
              <c:strCache>
                <c:ptCount val="15"/>
                <c:pt idx="0">
                  <c:v>Accessories</c:v>
                </c:pt>
                <c:pt idx="1">
                  <c:v>Appliances</c:v>
                </c:pt>
                <c:pt idx="2">
                  <c:v>Art</c:v>
                </c:pt>
                <c:pt idx="3">
                  <c:v>Binders</c:v>
                </c:pt>
                <c:pt idx="4">
                  <c:v>Bookcases</c:v>
                </c:pt>
                <c:pt idx="5">
                  <c:v>Chairs</c:v>
                </c:pt>
                <c:pt idx="6">
                  <c:v>Envelopes</c:v>
                </c:pt>
                <c:pt idx="7">
                  <c:v>Fasteners</c:v>
                </c:pt>
                <c:pt idx="8">
                  <c:v>Furnishings</c:v>
                </c:pt>
                <c:pt idx="9">
                  <c:v>Labels</c:v>
                </c:pt>
                <c:pt idx="10">
                  <c:v>Paper</c:v>
                </c:pt>
                <c:pt idx="11">
                  <c:v>Phones</c:v>
                </c:pt>
                <c:pt idx="12">
                  <c:v>Storage</c:v>
                </c:pt>
                <c:pt idx="13">
                  <c:v>Supplies</c:v>
                </c:pt>
                <c:pt idx="14">
                  <c:v>Tables</c:v>
                </c:pt>
              </c:strCache>
            </c:strRef>
          </c:cat>
          <c:val>
            <c:numRef>
              <c:f>'Sale(s-c)'!$T$5:$T$20</c:f>
              <c:numCache>
                <c:formatCode>General</c:formatCode>
                <c:ptCount val="15"/>
                <c:pt idx="2">
                  <c:v>102.06400000000001</c:v>
                </c:pt>
                <c:pt idx="3">
                  <c:v>16.475999999999999</c:v>
                </c:pt>
                <c:pt idx="4">
                  <c:v>3083.43</c:v>
                </c:pt>
                <c:pt idx="5">
                  <c:v>71.372</c:v>
                </c:pt>
                <c:pt idx="6">
                  <c:v>3.2639999999999998</c:v>
                </c:pt>
                <c:pt idx="8">
                  <c:v>207</c:v>
                </c:pt>
              </c:numCache>
            </c:numRef>
          </c:val>
          <c:extLst>
            <c:ext xmlns:c16="http://schemas.microsoft.com/office/drawing/2014/chart" uri="{C3380CC4-5D6E-409C-BE32-E72D297353CC}">
              <c16:uniqueId val="{0000007A-9F5F-4199-A0E7-A4BE7BF173E8}"/>
            </c:ext>
          </c:extLst>
        </c:ser>
        <c:ser>
          <c:idx val="19"/>
          <c:order val="19"/>
          <c:tx>
            <c:strRef>
              <c:f>'Sale(s-c)'!$U$3:$U$4</c:f>
              <c:strCache>
                <c:ptCount val="1"/>
                <c:pt idx="0">
                  <c:v>South Carolina</c:v>
                </c:pt>
              </c:strCache>
            </c:strRef>
          </c:tx>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'Sale(s-c)'!$A$5:$A$20</c:f>
              <c:strCache>
                <c:ptCount val="15"/>
                <c:pt idx="0">
                  <c:v>Accessories</c:v>
                </c:pt>
                <c:pt idx="1">
                  <c:v>Appliances</c:v>
                </c:pt>
                <c:pt idx="2">
                  <c:v>Art</c:v>
                </c:pt>
                <c:pt idx="3">
                  <c:v>Binders</c:v>
                </c:pt>
                <c:pt idx="4">
                  <c:v>Bookcases</c:v>
                </c:pt>
                <c:pt idx="5">
                  <c:v>Chairs</c:v>
                </c:pt>
                <c:pt idx="6">
                  <c:v>Envelopes</c:v>
                </c:pt>
                <c:pt idx="7">
                  <c:v>Fasteners</c:v>
                </c:pt>
                <c:pt idx="8">
                  <c:v>Furnishings</c:v>
                </c:pt>
                <c:pt idx="9">
                  <c:v>Labels</c:v>
                </c:pt>
                <c:pt idx="10">
                  <c:v>Paper</c:v>
                </c:pt>
                <c:pt idx="11">
                  <c:v>Phones</c:v>
                </c:pt>
                <c:pt idx="12">
                  <c:v>Storage</c:v>
                </c:pt>
                <c:pt idx="13">
                  <c:v>Supplies</c:v>
                </c:pt>
                <c:pt idx="14">
                  <c:v>Tables</c:v>
                </c:pt>
              </c:strCache>
            </c:strRef>
          </c:cat>
          <c:val>
            <c:numRef>
              <c:f>'Sale(s-c)'!$U$5:$U$20</c:f>
              <c:numCache>
                <c:formatCode>General</c:formatCode>
                <c:ptCount val="15"/>
                <c:pt idx="5">
                  <c:v>301.95999999999998</c:v>
                </c:pt>
              </c:numCache>
            </c:numRef>
          </c:val>
          <c:extLst>
            <c:ext xmlns:c16="http://schemas.microsoft.com/office/drawing/2014/chart" uri="{C3380CC4-5D6E-409C-BE32-E72D297353CC}">
              <c16:uniqueId val="{0000007B-9F5F-4199-A0E7-A4BE7BF173E8}"/>
            </c:ext>
          </c:extLst>
        </c:ser>
        <c:ser>
          <c:idx val="20"/>
          <c:order val="20"/>
          <c:tx>
            <c:strRef>
              <c:f>'Sale(s-c)'!$V$3:$V$4</c:f>
              <c:strCache>
                <c:ptCount val="1"/>
                <c:pt idx="0">
                  <c:v>Tennessee</c:v>
                </c:pt>
              </c:strCache>
            </c:strRef>
          </c:tx>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'Sale(s-c)'!$A$5:$A$20</c:f>
              <c:strCache>
                <c:ptCount val="15"/>
                <c:pt idx="0">
                  <c:v>Accessories</c:v>
                </c:pt>
                <c:pt idx="1">
                  <c:v>Appliances</c:v>
                </c:pt>
                <c:pt idx="2">
                  <c:v>Art</c:v>
                </c:pt>
                <c:pt idx="3">
                  <c:v>Binders</c:v>
                </c:pt>
                <c:pt idx="4">
                  <c:v>Bookcases</c:v>
                </c:pt>
                <c:pt idx="5">
                  <c:v>Chairs</c:v>
                </c:pt>
                <c:pt idx="6">
                  <c:v>Envelopes</c:v>
                </c:pt>
                <c:pt idx="7">
                  <c:v>Fasteners</c:v>
                </c:pt>
                <c:pt idx="8">
                  <c:v>Furnishings</c:v>
                </c:pt>
                <c:pt idx="9">
                  <c:v>Labels</c:v>
                </c:pt>
                <c:pt idx="10">
                  <c:v>Paper</c:v>
                </c:pt>
                <c:pt idx="11">
                  <c:v>Phones</c:v>
                </c:pt>
                <c:pt idx="12">
                  <c:v>Storage</c:v>
                </c:pt>
                <c:pt idx="13">
                  <c:v>Supplies</c:v>
                </c:pt>
                <c:pt idx="14">
                  <c:v>Tables</c:v>
                </c:pt>
              </c:strCache>
            </c:strRef>
          </c:cat>
          <c:val>
            <c:numRef>
              <c:f>'Sale(s-c)'!$V$5:$V$20</c:f>
              <c:numCache>
                <c:formatCode>General</c:formatCode>
                <c:ptCount val="15"/>
                <c:pt idx="3">
                  <c:v>157.79400000000001</c:v>
                </c:pt>
                <c:pt idx="5">
                  <c:v>831.93600000000004</c:v>
                </c:pt>
                <c:pt idx="8">
                  <c:v>97.04</c:v>
                </c:pt>
                <c:pt idx="12">
                  <c:v>72.784000000000006</c:v>
                </c:pt>
              </c:numCache>
            </c:numRef>
          </c:val>
          <c:extLst>
            <c:ext xmlns:c16="http://schemas.microsoft.com/office/drawing/2014/chart" uri="{C3380CC4-5D6E-409C-BE32-E72D297353CC}">
              <c16:uniqueId val="{0000007C-9F5F-4199-A0E7-A4BE7BF173E8}"/>
            </c:ext>
          </c:extLst>
        </c:ser>
        <c:ser>
          <c:idx val="21"/>
          <c:order val="21"/>
          <c:tx>
            <c:strRef>
              <c:f>'Sale(s-c)'!$W$3:$W$4</c:f>
              <c:strCache>
                <c:ptCount val="1"/>
                <c:pt idx="0">
                  <c:v>Texas</c:v>
                </c:pt>
              </c:strCache>
            </c:strRef>
          </c:tx>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'Sale(s-c)'!$A$5:$A$20</c:f>
              <c:strCache>
                <c:ptCount val="15"/>
                <c:pt idx="0">
                  <c:v>Accessories</c:v>
                </c:pt>
                <c:pt idx="1">
                  <c:v>Appliances</c:v>
                </c:pt>
                <c:pt idx="2">
                  <c:v>Art</c:v>
                </c:pt>
                <c:pt idx="3">
                  <c:v>Binders</c:v>
                </c:pt>
                <c:pt idx="4">
                  <c:v>Bookcases</c:v>
                </c:pt>
                <c:pt idx="5">
                  <c:v>Chairs</c:v>
                </c:pt>
                <c:pt idx="6">
                  <c:v>Envelopes</c:v>
                </c:pt>
                <c:pt idx="7">
                  <c:v>Fasteners</c:v>
                </c:pt>
                <c:pt idx="8">
                  <c:v>Furnishings</c:v>
                </c:pt>
                <c:pt idx="9">
                  <c:v>Labels</c:v>
                </c:pt>
                <c:pt idx="10">
                  <c:v>Paper</c:v>
                </c:pt>
                <c:pt idx="11">
                  <c:v>Phones</c:v>
                </c:pt>
                <c:pt idx="12">
                  <c:v>Storage</c:v>
                </c:pt>
                <c:pt idx="13">
                  <c:v>Supplies</c:v>
                </c:pt>
                <c:pt idx="14">
                  <c:v>Tables</c:v>
                </c:pt>
              </c:strCache>
            </c:strRef>
          </c:cat>
          <c:val>
            <c:numRef>
              <c:f>'Sale(s-c)'!$W$5:$W$20</c:f>
              <c:numCache>
                <c:formatCode>General</c:formatCode>
                <c:ptCount val="15"/>
                <c:pt idx="1">
                  <c:v>68.81</c:v>
                </c:pt>
                <c:pt idx="3">
                  <c:v>3.7919999999999998</c:v>
                </c:pt>
                <c:pt idx="4">
                  <c:v>532.39919999999995</c:v>
                </c:pt>
                <c:pt idx="5">
                  <c:v>812.61599999999999</c:v>
                </c:pt>
                <c:pt idx="6">
                  <c:v>113.328</c:v>
                </c:pt>
                <c:pt idx="8">
                  <c:v>219.928</c:v>
                </c:pt>
                <c:pt idx="10">
                  <c:v>29.472000000000001</c:v>
                </c:pt>
                <c:pt idx="11">
                  <c:v>1468.712</c:v>
                </c:pt>
                <c:pt idx="12">
                  <c:v>185.608</c:v>
                </c:pt>
              </c:numCache>
            </c:numRef>
          </c:val>
          <c:extLst>
            <c:ext xmlns:c16="http://schemas.microsoft.com/office/drawing/2014/chart" uri="{C3380CC4-5D6E-409C-BE32-E72D297353CC}">
              <c16:uniqueId val="{0000007D-9F5F-4199-A0E7-A4BE7BF173E8}"/>
            </c:ext>
          </c:extLst>
        </c:ser>
        <c:ser>
          <c:idx val="22"/>
          <c:order val="22"/>
          <c:tx>
            <c:strRef>
              <c:f>'Sale(s-c)'!$X$3:$X$4</c:f>
              <c:strCache>
                <c:ptCount val="1"/>
                <c:pt idx="0">
                  <c:v>Utah</c:v>
                </c:pt>
              </c:strCache>
            </c:strRef>
          </c:tx>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'Sale(s-c)'!$A$5:$A$20</c:f>
              <c:strCache>
                <c:ptCount val="15"/>
                <c:pt idx="0">
                  <c:v>Accessories</c:v>
                </c:pt>
                <c:pt idx="1">
                  <c:v>Appliances</c:v>
                </c:pt>
                <c:pt idx="2">
                  <c:v>Art</c:v>
                </c:pt>
                <c:pt idx="3">
                  <c:v>Binders</c:v>
                </c:pt>
                <c:pt idx="4">
                  <c:v>Bookcases</c:v>
                </c:pt>
                <c:pt idx="5">
                  <c:v>Chairs</c:v>
                </c:pt>
                <c:pt idx="6">
                  <c:v>Envelopes</c:v>
                </c:pt>
                <c:pt idx="7">
                  <c:v>Fasteners</c:v>
                </c:pt>
                <c:pt idx="8">
                  <c:v>Furnishings</c:v>
                </c:pt>
                <c:pt idx="9">
                  <c:v>Labels</c:v>
                </c:pt>
                <c:pt idx="10">
                  <c:v>Paper</c:v>
                </c:pt>
                <c:pt idx="11">
                  <c:v>Phones</c:v>
                </c:pt>
                <c:pt idx="12">
                  <c:v>Storage</c:v>
                </c:pt>
                <c:pt idx="13">
                  <c:v>Supplies</c:v>
                </c:pt>
                <c:pt idx="14">
                  <c:v>Tables</c:v>
                </c:pt>
              </c:strCache>
            </c:strRef>
          </c:cat>
          <c:val>
            <c:numRef>
              <c:f>'Sale(s-c)'!$X$5:$X$20</c:f>
              <c:numCache>
                <c:formatCode>General</c:formatCode>
                <c:ptCount val="15"/>
                <c:pt idx="12">
                  <c:v>55.5</c:v>
                </c:pt>
                <c:pt idx="14">
                  <c:v>1044.6300000000001</c:v>
                </c:pt>
              </c:numCache>
            </c:numRef>
          </c:val>
          <c:extLst>
            <c:ext xmlns:c16="http://schemas.microsoft.com/office/drawing/2014/chart" uri="{C3380CC4-5D6E-409C-BE32-E72D297353CC}">
              <c16:uniqueId val="{0000007E-9F5F-4199-A0E7-A4BE7BF173E8}"/>
            </c:ext>
          </c:extLst>
        </c:ser>
        <c:ser>
          <c:idx val="23"/>
          <c:order val="23"/>
          <c:tx>
            <c:strRef>
              <c:f>'Sale(s-c)'!$Y$3:$Y$4</c:f>
              <c:strCache>
                <c:ptCount val="1"/>
                <c:pt idx="0">
                  <c:v>Virginia</c:v>
                </c:pt>
              </c:strCache>
            </c:strRef>
          </c:tx>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'Sale(s-c)'!$A$5:$A$20</c:f>
              <c:strCache>
                <c:ptCount val="15"/>
                <c:pt idx="0">
                  <c:v>Accessories</c:v>
                </c:pt>
                <c:pt idx="1">
                  <c:v>Appliances</c:v>
                </c:pt>
                <c:pt idx="2">
                  <c:v>Art</c:v>
                </c:pt>
                <c:pt idx="3">
                  <c:v>Binders</c:v>
                </c:pt>
                <c:pt idx="4">
                  <c:v>Bookcases</c:v>
                </c:pt>
                <c:pt idx="5">
                  <c:v>Chairs</c:v>
                </c:pt>
                <c:pt idx="6">
                  <c:v>Envelopes</c:v>
                </c:pt>
                <c:pt idx="7">
                  <c:v>Fasteners</c:v>
                </c:pt>
                <c:pt idx="8">
                  <c:v>Furnishings</c:v>
                </c:pt>
                <c:pt idx="9">
                  <c:v>Labels</c:v>
                </c:pt>
                <c:pt idx="10">
                  <c:v>Paper</c:v>
                </c:pt>
                <c:pt idx="11">
                  <c:v>Phones</c:v>
                </c:pt>
                <c:pt idx="12">
                  <c:v>Storage</c:v>
                </c:pt>
                <c:pt idx="13">
                  <c:v>Supplies</c:v>
                </c:pt>
                <c:pt idx="14">
                  <c:v>Tables</c:v>
                </c:pt>
              </c:strCache>
            </c:strRef>
          </c:cat>
          <c:val>
            <c:numRef>
              <c:f>'Sale(s-c)'!$Y$5:$Y$20</c:f>
              <c:numCache>
                <c:formatCode>General</c:formatCode>
                <c:ptCount val="15"/>
                <c:pt idx="10">
                  <c:v>75.88</c:v>
                </c:pt>
              </c:numCache>
            </c:numRef>
          </c:val>
          <c:extLst>
            <c:ext xmlns:c16="http://schemas.microsoft.com/office/drawing/2014/chart" uri="{C3380CC4-5D6E-409C-BE32-E72D297353CC}">
              <c16:uniqueId val="{0000007F-9F5F-4199-A0E7-A4BE7BF173E8}"/>
            </c:ext>
          </c:extLst>
        </c:ser>
        <c:ser>
          <c:idx val="24"/>
          <c:order val="24"/>
          <c:tx>
            <c:strRef>
              <c:f>'Sale(s-c)'!$Z$3:$Z$4</c:f>
              <c:strCache>
                <c:ptCount val="1"/>
                <c:pt idx="0">
                  <c:v>Washington</c:v>
                </c:pt>
              </c:strCache>
            </c:strRef>
          </c:tx>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'Sale(s-c)'!$A$5:$A$20</c:f>
              <c:strCache>
                <c:ptCount val="15"/>
                <c:pt idx="0">
                  <c:v>Accessories</c:v>
                </c:pt>
                <c:pt idx="1">
                  <c:v>Appliances</c:v>
                </c:pt>
                <c:pt idx="2">
                  <c:v>Art</c:v>
                </c:pt>
                <c:pt idx="3">
                  <c:v>Binders</c:v>
                </c:pt>
                <c:pt idx="4">
                  <c:v>Bookcases</c:v>
                </c:pt>
                <c:pt idx="5">
                  <c:v>Chairs</c:v>
                </c:pt>
                <c:pt idx="6">
                  <c:v>Envelopes</c:v>
                </c:pt>
                <c:pt idx="7">
                  <c:v>Fasteners</c:v>
                </c:pt>
                <c:pt idx="8">
                  <c:v>Furnishings</c:v>
                </c:pt>
                <c:pt idx="9">
                  <c:v>Labels</c:v>
                </c:pt>
                <c:pt idx="10">
                  <c:v>Paper</c:v>
                </c:pt>
                <c:pt idx="11">
                  <c:v>Phones</c:v>
                </c:pt>
                <c:pt idx="12">
                  <c:v>Storage</c:v>
                </c:pt>
                <c:pt idx="13">
                  <c:v>Supplies</c:v>
                </c:pt>
                <c:pt idx="14">
                  <c:v>Tables</c:v>
                </c:pt>
              </c:strCache>
            </c:strRef>
          </c:cat>
          <c:val>
            <c:numRef>
              <c:f>'Sale(s-c)'!$Z$5:$Z$20</c:f>
              <c:numCache>
                <c:formatCode>General</c:formatCode>
                <c:ptCount val="15"/>
                <c:pt idx="3">
                  <c:v>407.976</c:v>
                </c:pt>
                <c:pt idx="14">
                  <c:v>787.53</c:v>
                </c:pt>
              </c:numCache>
            </c:numRef>
          </c:val>
          <c:extLst>
            <c:ext xmlns:c16="http://schemas.microsoft.com/office/drawing/2014/chart" uri="{C3380CC4-5D6E-409C-BE32-E72D297353CC}">
              <c16:uniqueId val="{00000080-9F5F-4199-A0E7-A4BE7BF173E8}"/>
            </c:ext>
          </c:extLst>
        </c:ser>
        <c:ser>
          <c:idx val="25"/>
          <c:order val="25"/>
          <c:tx>
            <c:strRef>
              <c:f>'Sale(s-c)'!$AA$3:$AA$4</c:f>
              <c:strCache>
                <c:ptCount val="1"/>
                <c:pt idx="0">
                  <c:v>Wisconsin</c:v>
                </c:pt>
              </c:strCache>
            </c:strRef>
          </c:tx>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'Sale(s-c)'!$A$5:$A$20</c:f>
              <c:strCache>
                <c:ptCount val="15"/>
                <c:pt idx="0">
                  <c:v>Accessories</c:v>
                </c:pt>
                <c:pt idx="1">
                  <c:v>Appliances</c:v>
                </c:pt>
                <c:pt idx="2">
                  <c:v>Art</c:v>
                </c:pt>
                <c:pt idx="3">
                  <c:v>Binders</c:v>
                </c:pt>
                <c:pt idx="4">
                  <c:v>Bookcases</c:v>
                </c:pt>
                <c:pt idx="5">
                  <c:v>Chairs</c:v>
                </c:pt>
                <c:pt idx="6">
                  <c:v>Envelopes</c:v>
                </c:pt>
                <c:pt idx="7">
                  <c:v>Fasteners</c:v>
                </c:pt>
                <c:pt idx="8">
                  <c:v>Furnishings</c:v>
                </c:pt>
                <c:pt idx="9">
                  <c:v>Labels</c:v>
                </c:pt>
                <c:pt idx="10">
                  <c:v>Paper</c:v>
                </c:pt>
                <c:pt idx="11">
                  <c:v>Phones</c:v>
                </c:pt>
                <c:pt idx="12">
                  <c:v>Storage</c:v>
                </c:pt>
                <c:pt idx="13">
                  <c:v>Supplies</c:v>
                </c:pt>
                <c:pt idx="14">
                  <c:v>Tables</c:v>
                </c:pt>
              </c:strCache>
            </c:strRef>
          </c:cat>
          <c:val>
            <c:numRef>
              <c:f>'Sale(s-c)'!$AA$5:$AA$20</c:f>
              <c:numCache>
                <c:formatCode>General</c:formatCode>
                <c:ptCount val="15"/>
                <c:pt idx="11">
                  <c:v>534.41999999999996</c:v>
                </c:pt>
                <c:pt idx="12">
                  <c:v>665.88</c:v>
                </c:pt>
              </c:numCache>
            </c:numRef>
          </c:val>
          <c:extLst>
            <c:ext xmlns:c16="http://schemas.microsoft.com/office/drawing/2014/chart" uri="{C3380CC4-5D6E-409C-BE32-E72D297353CC}">
              <c16:uniqueId val="{00000081-9F5F-4199-A0E7-A4BE7BF173E8}"/>
            </c:ext>
          </c:extLst>
        </c:ser>
        <c:dLbls>
          <c:showLegendKey val="0"/>
          <c:showVal val="0"/>
          <c:showCatName val="0"/>
          <c:showSerName val="0"/>
          <c:showPercent val="0"/>
          <c:showBubbleSize val="0"/>
        </c:dLbls>
        <c:gapWidth val="150"/>
        <c:overlap val="100"/>
        <c:axId val="851995168"/>
        <c:axId val="851996000"/>
      </c:barChart>
      <c:catAx>
        <c:axId val="8519951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1996000"/>
        <c:crosses val="autoZero"/>
        <c:auto val="1"/>
        <c:lblAlgn val="ctr"/>
        <c:lblOffset val="100"/>
        <c:noMultiLvlLbl val="0"/>
      </c:catAx>
      <c:valAx>
        <c:axId val="85199600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1995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[Ex-Pro.xlsx]Sale-c!PivotTable3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b="1" i="0" baseline="0">
                <a:effectLst>
                  <a:outerShdw blurRad="50800" dist="38100" dir="5400000" algn="t" rotWithShape="0">
                    <a:srgbClr val="000000">
                      <a:alpha val="40000"/>
                    </a:srgbClr>
                  </a:outerShdw>
                </a:effectLst>
              </a:rPr>
              <a:t>Sale vs Sub-category</a:t>
            </a:r>
            <a:endParaRPr lang="en-IN">
              <a:effectLst/>
            </a:endParaRPr>
          </a:p>
        </c:rich>
      </c:tx>
      <c:layout>
        <c:manualLayout>
          <c:xMode val="edge"/>
          <c:yMode val="edge"/>
          <c:x val="0.46469444444444447"/>
          <c:y val="2.311534279972325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9.6022090988626421E-2"/>
          <c:y val="9.9549431321084861E-2"/>
          <c:w val="0.48017825896762906"/>
          <c:h val="0.80029709827938178"/>
        </c:manualLayout>
      </c:layout>
      <c:pieChart>
        <c:varyColors val="1"/>
        <c:ser>
          <c:idx val="0"/>
          <c:order val="0"/>
          <c:tx>
            <c:strRef>
              <c:f>'Sale-c'!$B$3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180-4F28-BFEA-BCF5A9B9C05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180-4F28-BFEA-BCF5A9B9C05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180-4F28-BFEA-BCF5A9B9C05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180-4F28-BFEA-BCF5A9B9C05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6180-4F28-BFEA-BCF5A9B9C05F}"/>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6180-4F28-BFEA-BCF5A9B9C05F}"/>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6180-4F28-BFEA-BCF5A9B9C05F}"/>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6180-4F28-BFEA-BCF5A9B9C05F}"/>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6180-4F28-BFEA-BCF5A9B9C05F}"/>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6180-4F28-BFEA-BCF5A9B9C05F}"/>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6180-4F28-BFEA-BCF5A9B9C05F}"/>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6180-4F28-BFEA-BCF5A9B9C05F}"/>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6180-4F28-BFEA-BCF5A9B9C05F}"/>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6180-4F28-BFEA-BCF5A9B9C05F}"/>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6180-4F28-BFEA-BCF5A9B9C05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'Sale-c'!$A$4:$A$19</c:f>
              <c:strCache>
                <c:ptCount val="15"/>
                <c:pt idx="0">
                  <c:v>Accessories</c:v>
                </c:pt>
                <c:pt idx="1">
                  <c:v>Appliances</c:v>
                </c:pt>
                <c:pt idx="2">
                  <c:v>Art</c:v>
                </c:pt>
                <c:pt idx="3">
                  <c:v>Binders</c:v>
                </c:pt>
                <c:pt idx="4">
                  <c:v>Bookcases</c:v>
                </c:pt>
                <c:pt idx="5">
                  <c:v>Chairs</c:v>
                </c:pt>
                <c:pt idx="6">
                  <c:v>Envelopes</c:v>
                </c:pt>
                <c:pt idx="7">
                  <c:v>Fasteners</c:v>
                </c:pt>
                <c:pt idx="8">
                  <c:v>Furnishings</c:v>
                </c:pt>
                <c:pt idx="9">
                  <c:v>Labels</c:v>
                </c:pt>
                <c:pt idx="10">
                  <c:v>Paper</c:v>
                </c:pt>
                <c:pt idx="11">
                  <c:v>Phones</c:v>
                </c:pt>
                <c:pt idx="12">
                  <c:v>Storage</c:v>
                </c:pt>
                <c:pt idx="13">
                  <c:v>Supplies</c:v>
                </c:pt>
                <c:pt idx="14">
                  <c:v>Tables</c:v>
                </c:pt>
              </c:strCache>
            </c:strRef>
          </c:cat>
          <c:val>
            <c:numRef>
              <c:f>'Sale-c'!$B$4:$B$19</c:f>
              <c:numCache>
                <c:formatCode>0.00%</c:formatCode>
                <c:ptCount val="15"/>
                <c:pt idx="0">
                  <c:v>3.4513992098879884E-2</c:v>
                </c:pt>
                <c:pt idx="1">
                  <c:v>4.7530732594903369E-2</c:v>
                </c:pt>
                <c:pt idx="2">
                  <c:v>4.8126012054471527E-2</c:v>
                </c:pt>
                <c:pt idx="3">
                  <c:v>3.6632939867331051E-2</c:v>
                </c:pt>
                <c:pt idx="4">
                  <c:v>0.13458303750555248</c:v>
                </c:pt>
                <c:pt idx="5">
                  <c:v>0.11986673111686667</c:v>
                </c:pt>
                <c:pt idx="6">
                  <c:v>2.0082352290375381E-2</c:v>
                </c:pt>
                <c:pt idx="7">
                  <c:v>2.8053655128156062E-3</c:v>
                </c:pt>
                <c:pt idx="8">
                  <c:v>4.7739871705406958E-2</c:v>
                </c:pt>
                <c:pt idx="9">
                  <c:v>3.3303997749627077E-3</c:v>
                </c:pt>
                <c:pt idx="10">
                  <c:v>2.5789705168585749E-2</c:v>
                </c:pt>
                <c:pt idx="11">
                  <c:v>0.195453097089063</c:v>
                </c:pt>
                <c:pt idx="12">
                  <c:v>0.10378533564659838</c:v>
                </c:pt>
                <c:pt idx="13">
                  <c:v>2.2864395287051182E-3</c:v>
                </c:pt>
                <c:pt idx="14">
                  <c:v>0.17747398804548212</c:v>
                </c:pt>
              </c:numCache>
            </c:numRef>
          </c:val>
          <c:extLst>
            <c:ext xmlns:c16="http://schemas.microsoft.com/office/drawing/2014/chart" uri="{C3380CC4-5D6E-409C-BE32-E72D297353CC}">
              <c16:uniqueId val="{00000000-276A-4B3C-AF75-4F7CA72E045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[Ex-Pro.xlsx]Profit-c!PivotTable4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b="1" i="0" baseline="0">
                <a:effectLst>
                  <a:outerShdw blurRad="50800" dist="38100" dir="5400000" algn="t" rotWithShape="0">
                    <a:srgbClr val="000000">
                      <a:alpha val="40000"/>
                    </a:srgbClr>
                  </a:outerShdw>
                </a:effectLst>
              </a:rPr>
              <a:t>Profit vs Sub-category</a:t>
            </a:r>
            <a:endParaRPr lang="en-IN">
              <a:effectLst/>
            </a:endParaRPr>
          </a:p>
        </c:rich>
      </c:tx>
      <c:layout>
        <c:manualLayout>
          <c:xMode val="edge"/>
          <c:yMode val="edge"/>
          <c:x val="0.26215288713910762"/>
          <c:y val="4.527559055118110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77077865266841"/>
          <c:y val="0.19587744240303295"/>
          <c:w val="0.77493285214348206"/>
          <c:h val="0.61801946631671045"/>
        </c:manualLayout>
      </c:layout>
      <c:barChart>
        <c:barDir val="bar"/>
        <c:grouping val="stacked"/>
        <c:varyColors val="0"/>
        <c:ser>
          <c:idx val="0"/>
          <c:order val="0"/>
          <c:tx>
            <c:strRef>
              <c:f>'Profit-c'!$B$3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'Profit-c'!$A$4:$A$19</c:f>
              <c:strCache>
                <c:ptCount val="15"/>
                <c:pt idx="0">
                  <c:v>Accessories</c:v>
                </c:pt>
                <c:pt idx="1">
                  <c:v>Appliances</c:v>
                </c:pt>
                <c:pt idx="2">
                  <c:v>Art</c:v>
                </c:pt>
                <c:pt idx="3">
                  <c:v>Binders</c:v>
                </c:pt>
                <c:pt idx="4">
                  <c:v>Bookcases</c:v>
                </c:pt>
                <c:pt idx="5">
                  <c:v>Chairs</c:v>
                </c:pt>
                <c:pt idx="6">
                  <c:v>Envelopes</c:v>
                </c:pt>
                <c:pt idx="7">
                  <c:v>Fasteners</c:v>
                </c:pt>
                <c:pt idx="8">
                  <c:v>Furnishings</c:v>
                </c:pt>
                <c:pt idx="9">
                  <c:v>Labels</c:v>
                </c:pt>
                <c:pt idx="10">
                  <c:v>Paper</c:v>
                </c:pt>
                <c:pt idx="11">
                  <c:v>Phones</c:v>
                </c:pt>
                <c:pt idx="12">
                  <c:v>Storage</c:v>
                </c:pt>
                <c:pt idx="13">
                  <c:v>Supplies</c:v>
                </c:pt>
                <c:pt idx="14">
                  <c:v>Tables</c:v>
                </c:pt>
              </c:strCache>
            </c:strRef>
          </c:cat>
          <c:val>
            <c:numRef>
              <c:f>'Profit-c'!$B$4:$B$19</c:f>
              <c:numCache>
                <c:formatCode>General</c:formatCode>
                <c:ptCount val="15"/>
                <c:pt idx="0">
                  <c:v>100.66380000000001</c:v>
                </c:pt>
                <c:pt idx="1">
                  <c:v>223.34059999999999</c:v>
                </c:pt>
                <c:pt idx="2">
                  <c:v>175.40940000000003</c:v>
                </c:pt>
                <c:pt idx="3">
                  <c:v>130.92689999999996</c:v>
                </c:pt>
                <c:pt idx="4">
                  <c:v>-1670.115</c:v>
                </c:pt>
                <c:pt idx="5">
                  <c:v>113.47380000000001</c:v>
                </c:pt>
                <c:pt idx="6">
                  <c:v>201.87090000000001</c:v>
                </c:pt>
                <c:pt idx="7">
                  <c:v>29.734400000000001</c:v>
                </c:pt>
                <c:pt idx="8">
                  <c:v>40.627700000000004</c:v>
                </c:pt>
                <c:pt idx="9">
                  <c:v>45.162800000000004</c:v>
                </c:pt>
                <c:pt idx="10">
                  <c:v>327.0994</c:v>
                </c:pt>
                <c:pt idx="11">
                  <c:v>852.56249999999977</c:v>
                </c:pt>
                <c:pt idx="12">
                  <c:v>169.6251</c:v>
                </c:pt>
                <c:pt idx="13">
                  <c:v>18.446400000000001</c:v>
                </c:pt>
                <c:pt idx="14">
                  <c:v>-299.75760000000002</c:v>
                </c:pt>
              </c:numCache>
            </c:numRef>
          </c:val>
          <c:extLst>
            <c:ext xmlns:c16="http://schemas.microsoft.com/office/drawing/2014/chart" uri="{C3380CC4-5D6E-409C-BE32-E72D297353CC}">
              <c16:uniqueId val="{00000000-8A8A-457A-A531-47FDF5850466}"/>
            </c:ext>
          </c:extLst>
        </c:ser>
        <c:dLbls>
          <c:showLegendKey val="0"/>
          <c:showVal val="0"/>
          <c:showCatName val="0"/>
          <c:showSerName val="0"/>
          <c:showPercent val="0"/>
          <c:showBubbleSize val="0"/>
        </c:dLbls>
        <c:gapWidth val="219"/>
        <c:overlap val="100"/>
        <c:axId val="1808880351"/>
        <c:axId val="1808881599"/>
      </c:barChart>
      <c:catAx>
        <c:axId val="1808880351"/>
        <c:scaling>
          <c:orientation val="minMax"/>
        </c:scaling>
        <c:delete val="0"/>
        <c:axPos val="l"/>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8881599"/>
        <c:crosses val="autoZero"/>
        <c:auto val="1"/>
        <c:lblAlgn val="ctr"/>
        <c:lblOffset val="100"/>
        <c:noMultiLvlLbl val="0"/>
      </c:catAx>
      <c:valAx>
        <c:axId val="180888159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8880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[Ex-Pro.xlsx]Month(P-S)!PivotTable5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800" b="1" i="0" baseline="0">
                <a:effectLst>
                  <a:outerShdw blurRad="50800" dist="38100" dir="5400000" algn="t" rotWithShape="0">
                    <a:srgbClr val="000000">
                      <a:alpha val="40000"/>
                    </a:srgbClr>
                  </a:outerShdw>
                </a:effectLst>
              </a:rPr>
              <a:t>Monthly Profit vs Sale</a:t>
            </a:r>
            <a:endParaRPr lang="en-IN">
              <a:effectLst/>
            </a:endParaRPr>
          </a:p>
        </c:rich>
      </c:tx>
      <c:layout>
        <c:manualLayout>
          <c:xMode val="edge"/>
          <c:yMode val="edge"/>
          <c:x val="0.39130268485774422"/>
          <c:y val="1.948432355046528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7"/>
          <c:y val="0.14032188684747743"/>
          <c:w val="0.62743197725284339"/>
          <c:h val="0.71718030037911928"/>
        </c:manualLayout>
      </c:layout>
      <c:lineChart>
        <c:grouping val="standard"/>
        <c:varyColors val="0"/>
        <c:ser>
          <c:idx val="0"/>
          <c:order val="0"/>
          <c:tx>
            <c:strRef>
              <c:f>'Month(P-S)'!$B$3</c:f>
              <c:strCache>
                <c:ptCount val="1"/>
                <c:pt idx="0">
                  <c:v>Sum of Sales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'Month(P-S)'!$A$4:$A$16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'Month(P-S)'!$B$4:$B$16</c:f>
              <c:numCache>
                <c:formatCode>General</c:formatCode>
                <c:ptCount val="12"/>
                <c:pt idx="0">
                  <c:v>225.39800000000002</c:v>
                </c:pt>
                <c:pt idx="1">
                  <c:v>947.26</c:v>
                </c:pt>
                <c:pt idx="2">
                  <c:v>304.18400000000003</c:v>
                </c:pt>
                <c:pt idx="3">
                  <c:v>1306.3070000000002</c:v>
                </c:pt>
                <c:pt idx="4">
                  <c:v>3143.39</c:v>
                </c:pt>
                <c:pt idx="5">
                  <c:v>1386.2979999999998</c:v>
                </c:pt>
                <c:pt idx="6">
                  <c:v>821.18200000000002</c:v>
                </c:pt>
                <c:pt idx="7">
                  <c:v>2953.7239999999997</c:v>
                </c:pt>
                <c:pt idx="8">
                  <c:v>9321.2640000000029</c:v>
                </c:pt>
                <c:pt idx="9">
                  <c:v>1104.7940000000001</c:v>
                </c:pt>
                <c:pt idx="10">
                  <c:v>3825.3455000000017</c:v>
                </c:pt>
                <c:pt idx="11">
                  <c:v>3474.2111999999997</c:v>
                </c:pt>
              </c:numCache>
            </c:numRef>
          </c:val>
          <c:smooth val="0"/>
          <c:extLst>
            <c:ext xmlns:c16="http://schemas.microsoft.com/office/drawing/2014/chart" uri="{C3380CC4-5D6E-409C-BE32-E72D297353CC}">
              <c16:uniqueId val="{00000000-B024-4693-91D6-A151AB0780DE}"/>
            </c:ext>
          </c:extLst>
        </c:ser>
        <c:ser>
          <c:idx val="1"/>
          <c:order val="1"/>
          <c:tx>
            <c:strRef>
              <c:f>'Month(P-S)'!$C$3</c:f>
              <c:strCache>
                <c:ptCount val="1"/>
                <c:pt idx="0">
                  <c:v>Sum of Profit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'Month(P-S)'!$A$4:$A$16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'Month(P-S)'!$C$4:$C$16</c:f>
              <c:numCache>
                <c:formatCode>General</c:formatCode>
                <c:ptCount val="12"/>
                <c:pt idx="0">
                  <c:v>66.623900000000006</c:v>
                </c:pt>
                <c:pt idx="1">
                  <c:v>189.72450000000001</c:v>
                </c:pt>
                <c:pt idx="2">
                  <c:v>98.943100000000001</c:v>
                </c:pt>
                <c:pt idx="3">
                  <c:v>-105.48990000000001</c:v>
                </c:pt>
                <c:pt idx="4">
                  <c:v>386.69830000000007</c:v>
                </c:pt>
                <c:pt idx="5">
                  <c:v>240.52549999999999</c:v>
                </c:pt>
                <c:pt idx="6">
                  <c:v>23.032300000000003</c:v>
                </c:pt>
                <c:pt idx="7">
                  <c:v>356.79549999999995</c:v>
                </c:pt>
                <c:pt idx="8">
                  <c:v>-1350.8622000000005</c:v>
                </c:pt>
                <c:pt idx="9">
                  <c:v>223.14400000000001</c:v>
                </c:pt>
                <c:pt idx="10">
                  <c:v>-154.32980000000003</c:v>
                </c:pt>
                <c:pt idx="11">
                  <c:v>484.26590000000004</c:v>
                </c:pt>
              </c:numCache>
            </c:numRef>
          </c:val>
          <c:smooth val="0"/>
          <c:extLst>
            <c:ext xmlns:c16="http://schemas.microsoft.com/office/drawing/2014/chart" uri="{C3380CC4-5D6E-409C-BE32-E72D297353CC}">
              <c16:uniqueId val="{00000001-B024-4693-91D6-A151AB0780DE}"/>
            </c:ext>
          </c:extLst>
        </c:ser>
        <c:dLbls>
          <c:showLegendKey val="0"/>
          <c:showVal val="0"/>
          <c:showCatName val="0"/>
          <c:showSerName val="0"/>
          <c:showPercent val="0"/>
          <c:showBubbleSize val="0"/>
        </c:dLbls>
        <c:marker val="1"/>
        <c:smooth val="0"/>
        <c:axId val="1947090703"/>
        <c:axId val="1947092367"/>
      </c:lineChart>
      <c:catAx>
        <c:axId val="194709070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47092367"/>
        <c:crosses val="autoZero"/>
        <c:auto val="1"/>
        <c:lblAlgn val="ctr"/>
        <c:lblOffset val="100"/>
        <c:noMultiLvlLbl val="0"/>
      </c:catAx>
      <c:valAx>
        <c:axId val="194709236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47090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[Ex-Pro.xlsx]Sale-c!PivotTable3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 by Sub-category</a:t>
            </a:r>
          </a:p>
        </c:rich>
      </c:tx>
      <c:layout>
        <c:manualLayout>
          <c:xMode val="edge"/>
          <c:yMode val="edge"/>
          <c:x val="0.80083333333333329"/>
          <c:y val="0.11934966462525518"/>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9.6022090988626421E-2"/>
          <c:y val="9.9549431321084861E-2"/>
          <c:w val="0.48017825896762906"/>
          <c:h val="0.80029709827938178"/>
        </c:manualLayout>
      </c:layout>
      <c:pieChart>
        <c:varyColors val="1"/>
        <c:ser>
          <c:idx val="0"/>
          <c:order val="0"/>
          <c:tx>
            <c:strRef>
              <c:f>'Sale-c'!$B$3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BC4-4B05-84C9-81F003DC2D0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BC4-4B05-84C9-81F003DC2D0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BC4-4B05-84C9-81F003DC2D0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BC4-4B05-84C9-81F003DC2D0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3BC4-4B05-84C9-81F003DC2D0F}"/>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3BC4-4B05-84C9-81F003DC2D0F}"/>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3BC4-4B05-84C9-81F003DC2D0F}"/>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3BC4-4B05-84C9-81F003DC2D0F}"/>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3BC4-4B05-84C9-81F003DC2D0F}"/>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3BC4-4B05-84C9-81F003DC2D0F}"/>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3BC4-4B05-84C9-81F003DC2D0F}"/>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3BC4-4B05-84C9-81F003DC2D0F}"/>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3BC4-4B05-84C9-81F003DC2D0F}"/>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3BC4-4B05-84C9-81F003DC2D0F}"/>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3BC4-4B05-84C9-81F003DC2D0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'Sale-c'!$A$4:$A$19</c:f>
              <c:strCache>
                <c:ptCount val="15"/>
                <c:pt idx="0">
                  <c:v>Accessories</c:v>
                </c:pt>
                <c:pt idx="1">
                  <c:v>Appliances</c:v>
                </c:pt>
                <c:pt idx="2">
                  <c:v>Art</c:v>
                </c:pt>
                <c:pt idx="3">
                  <c:v>Binders</c:v>
                </c:pt>
                <c:pt idx="4">
                  <c:v>Bookcases</c:v>
                </c:pt>
                <c:pt idx="5">
                  <c:v>Chairs</c:v>
                </c:pt>
                <c:pt idx="6">
                  <c:v>Envelopes</c:v>
                </c:pt>
                <c:pt idx="7">
                  <c:v>Fasteners</c:v>
                </c:pt>
                <c:pt idx="8">
                  <c:v>Furnishings</c:v>
                </c:pt>
                <c:pt idx="9">
                  <c:v>Labels</c:v>
                </c:pt>
                <c:pt idx="10">
                  <c:v>Paper</c:v>
                </c:pt>
                <c:pt idx="11">
                  <c:v>Phones</c:v>
                </c:pt>
                <c:pt idx="12">
                  <c:v>Storage</c:v>
                </c:pt>
                <c:pt idx="13">
                  <c:v>Supplies</c:v>
                </c:pt>
                <c:pt idx="14">
                  <c:v>Tables</c:v>
                </c:pt>
              </c:strCache>
            </c:strRef>
          </c:cat>
          <c:val>
            <c:numRef>
              <c:f>'Sale-c'!$B$4:$B$19</c:f>
              <c:numCache>
                <c:formatCode>0.00%</c:formatCode>
                <c:ptCount val="15"/>
                <c:pt idx="0">
                  <c:v>3.4513992098879884E-2</c:v>
                </c:pt>
                <c:pt idx="1">
                  <c:v>4.7530732594903369E-2</c:v>
                </c:pt>
                <c:pt idx="2">
                  <c:v>4.8126012054471527E-2</c:v>
                </c:pt>
                <c:pt idx="3">
                  <c:v>3.6632939867331051E-2</c:v>
                </c:pt>
                <c:pt idx="4">
                  <c:v>0.13458303750555248</c:v>
                </c:pt>
                <c:pt idx="5">
                  <c:v>0.11986673111686667</c:v>
                </c:pt>
                <c:pt idx="6">
                  <c:v>2.0082352290375381E-2</c:v>
                </c:pt>
                <c:pt idx="7">
                  <c:v>2.8053655128156062E-3</c:v>
                </c:pt>
                <c:pt idx="8">
                  <c:v>4.7739871705406958E-2</c:v>
                </c:pt>
                <c:pt idx="9">
                  <c:v>3.3303997749627077E-3</c:v>
                </c:pt>
                <c:pt idx="10">
                  <c:v>2.5789705168585749E-2</c:v>
                </c:pt>
                <c:pt idx="11">
                  <c:v>0.195453097089063</c:v>
                </c:pt>
                <c:pt idx="12">
                  <c:v>0.10378533564659838</c:v>
                </c:pt>
                <c:pt idx="13">
                  <c:v>2.2864395287051182E-3</c:v>
                </c:pt>
                <c:pt idx="14">
                  <c:v>0.17747398804548212</c:v>
                </c:pt>
              </c:numCache>
            </c:numRef>
          </c:val>
          <c:extLst>
            <c:ext xmlns:c16="http://schemas.microsoft.com/office/drawing/2014/chart" uri="{C3380CC4-5D6E-409C-BE32-E72D297353CC}">
              <c16:uniqueId val="{0000001E-3BC4-4B05-84C9-81F003DC2D0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[Ex-Pro.xlsx]Profit-c!PivotTable4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by</a:t>
            </a:r>
            <a:r>
              <a:rPr lang="en-US" baseline="0"/>
              <a:t> Sub-category</a:t>
            </a:r>
            <a:endParaRPr lang="en-US"/>
          </a:p>
        </c:rich>
      </c:tx>
      <c:layout>
        <c:manualLayout>
          <c:xMode val="edge"/>
          <c:yMode val="edge"/>
          <c:x val="0.30065367204633298"/>
          <c:y val="4.527573176760670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77077865266841"/>
          <c:y val="0.19587744240303295"/>
          <c:w val="0.77493285214348206"/>
          <c:h val="0.61801946631671045"/>
        </c:manualLayout>
      </c:layout>
      <c:barChart>
        <c:barDir val="bar"/>
        <c:grouping val="stacked"/>
        <c:varyColors val="0"/>
        <c:ser>
          <c:idx val="0"/>
          <c:order val="0"/>
          <c:tx>
            <c:strRef>
              <c:f>'Profit-c'!$B$3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'Profit-c'!$A$4:$A$19</c:f>
              <c:strCache>
                <c:ptCount val="15"/>
                <c:pt idx="0">
                  <c:v>Accessories</c:v>
                </c:pt>
                <c:pt idx="1">
                  <c:v>Appliances</c:v>
                </c:pt>
                <c:pt idx="2">
                  <c:v>Art</c:v>
                </c:pt>
                <c:pt idx="3">
                  <c:v>Binders</c:v>
                </c:pt>
                <c:pt idx="4">
                  <c:v>Bookcases</c:v>
                </c:pt>
                <c:pt idx="5">
                  <c:v>Chairs</c:v>
                </c:pt>
                <c:pt idx="6">
                  <c:v>Envelopes</c:v>
                </c:pt>
                <c:pt idx="7">
                  <c:v>Fasteners</c:v>
                </c:pt>
                <c:pt idx="8">
                  <c:v>Furnishings</c:v>
                </c:pt>
                <c:pt idx="9">
                  <c:v>Labels</c:v>
                </c:pt>
                <c:pt idx="10">
                  <c:v>Paper</c:v>
                </c:pt>
                <c:pt idx="11">
                  <c:v>Phones</c:v>
                </c:pt>
                <c:pt idx="12">
                  <c:v>Storage</c:v>
                </c:pt>
                <c:pt idx="13">
                  <c:v>Supplies</c:v>
                </c:pt>
                <c:pt idx="14">
                  <c:v>Tables</c:v>
                </c:pt>
              </c:strCache>
            </c:strRef>
          </c:cat>
          <c:val>
            <c:numRef>
              <c:f>'Profit-c'!$B$4:$B$19</c:f>
              <c:numCache>
                <c:formatCode>General</c:formatCode>
                <c:ptCount val="15"/>
                <c:pt idx="0">
                  <c:v>100.66380000000001</c:v>
                </c:pt>
                <c:pt idx="1">
                  <c:v>223.34059999999999</c:v>
                </c:pt>
                <c:pt idx="2">
                  <c:v>175.40940000000003</c:v>
                </c:pt>
                <c:pt idx="3">
                  <c:v>130.92689999999996</c:v>
                </c:pt>
                <c:pt idx="4">
                  <c:v>-1670.115</c:v>
                </c:pt>
                <c:pt idx="5">
                  <c:v>113.47380000000001</c:v>
                </c:pt>
                <c:pt idx="6">
                  <c:v>201.87090000000001</c:v>
                </c:pt>
                <c:pt idx="7">
                  <c:v>29.734400000000001</c:v>
                </c:pt>
                <c:pt idx="8">
                  <c:v>40.627700000000004</c:v>
                </c:pt>
                <c:pt idx="9">
                  <c:v>45.162800000000004</c:v>
                </c:pt>
                <c:pt idx="10">
                  <c:v>327.0994</c:v>
                </c:pt>
                <c:pt idx="11">
                  <c:v>852.56249999999977</c:v>
                </c:pt>
                <c:pt idx="12">
                  <c:v>169.6251</c:v>
                </c:pt>
                <c:pt idx="13">
                  <c:v>18.446400000000001</c:v>
                </c:pt>
                <c:pt idx="14">
                  <c:v>-299.75760000000002</c:v>
                </c:pt>
              </c:numCache>
            </c:numRef>
          </c:val>
          <c:extLst>
            <c:ext xmlns:c16="http://schemas.microsoft.com/office/drawing/2014/chart" uri="{C3380CC4-5D6E-409C-BE32-E72D297353CC}">
              <c16:uniqueId val="{00000000-947A-4D32-B09B-2E4A5C48C7E2}"/>
            </c:ext>
          </c:extLst>
        </c:ser>
        <c:dLbls>
          <c:showLegendKey val="0"/>
          <c:showVal val="0"/>
          <c:showCatName val="0"/>
          <c:showSerName val="0"/>
          <c:showPercent val="0"/>
          <c:showBubbleSize val="0"/>
        </c:dLbls>
        <c:gapWidth val="219"/>
        <c:overlap val="100"/>
        <c:axId val="1808880351"/>
        <c:axId val="1808881599"/>
      </c:barChart>
      <c:catAx>
        <c:axId val="1808880351"/>
        <c:scaling>
          <c:orientation val="minMax"/>
        </c:scaling>
        <c:delete val="0"/>
        <c:axPos val="l"/>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8881599"/>
        <c:crosses val="autoZero"/>
        <c:auto val="1"/>
        <c:lblAlgn val="ctr"/>
        <c:lblOffset val="100"/>
        <c:noMultiLvlLbl val="0"/>
      </c:catAx>
      <c:valAx>
        <c:axId val="180888159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8880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[Ex-Pro.xlsx]Month(P-S)!PivotTable5</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Monthly Profit</a:t>
            </a:r>
            <a:r>
              <a:rPr lang="en-IN" baseline="0"/>
              <a:t> &amp; Sale</a:t>
            </a:r>
            <a:endParaRPr lang="en-IN"/>
          </a:p>
        </c:rich>
      </c:tx>
      <c:layout>
        <c:manualLayout>
          <c:xMode val="edge"/>
          <c:yMode val="edge"/>
          <c:x val="0.35585470005786823"/>
          <c:y val="2.300360883225564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7"/>
          <c:y val="0.14032188684747743"/>
          <c:w val="0.62743197725284339"/>
          <c:h val="0.71718030037911928"/>
        </c:manualLayout>
      </c:layout>
      <c:lineChart>
        <c:grouping val="standard"/>
        <c:varyColors val="0"/>
        <c:ser>
          <c:idx val="0"/>
          <c:order val="0"/>
          <c:tx>
            <c:strRef>
              <c:f>'Month(P-S)'!$B$3</c:f>
              <c:strCache>
                <c:ptCount val="1"/>
                <c:pt idx="0">
                  <c:v>Sum of Sales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'Month(P-S)'!$A$4:$A$16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'Month(P-S)'!$B$4:$B$16</c:f>
              <c:numCache>
                <c:formatCode>General</c:formatCode>
                <c:ptCount val="12"/>
                <c:pt idx="0">
                  <c:v>225.39800000000002</c:v>
                </c:pt>
                <c:pt idx="1">
                  <c:v>947.26</c:v>
                </c:pt>
                <c:pt idx="2">
                  <c:v>304.18400000000003</c:v>
                </c:pt>
                <c:pt idx="3">
                  <c:v>1306.3070000000002</c:v>
                </c:pt>
                <c:pt idx="4">
                  <c:v>3143.39</c:v>
                </c:pt>
                <c:pt idx="5">
                  <c:v>1386.2979999999998</c:v>
                </c:pt>
                <c:pt idx="6">
                  <c:v>821.18200000000002</c:v>
                </c:pt>
                <c:pt idx="7">
                  <c:v>2953.7239999999997</c:v>
                </c:pt>
                <c:pt idx="8">
                  <c:v>9321.2640000000029</c:v>
                </c:pt>
                <c:pt idx="9">
                  <c:v>1104.7940000000001</c:v>
                </c:pt>
                <c:pt idx="10">
                  <c:v>3825.3455000000017</c:v>
                </c:pt>
                <c:pt idx="11">
                  <c:v>3474.2111999999997</c:v>
                </c:pt>
              </c:numCache>
            </c:numRef>
          </c:val>
          <c:smooth val="0"/>
          <c:extLst>
            <c:ext xmlns:c16="http://schemas.microsoft.com/office/drawing/2014/chart" uri="{C3380CC4-5D6E-409C-BE32-E72D297353CC}">
              <c16:uniqueId val="{00000000-3BDB-46B9-89E0-D0CC4C336858}"/>
            </c:ext>
          </c:extLst>
        </c:ser>
        <c:ser>
          <c:idx val="1"/>
          <c:order val="1"/>
          <c:tx>
            <c:strRef>
              <c:f>'Month(P-S)'!$C$3</c:f>
              <c:strCache>
                <c:ptCount val="1"/>
                <c:pt idx="0">
                  <c:v>Sum of Profit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'Month(P-S)'!$A$4:$A$16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'Month(P-S)'!$C$4:$C$16</c:f>
              <c:numCache>
                <c:formatCode>General</c:formatCode>
                <c:ptCount val="12"/>
                <c:pt idx="0">
                  <c:v>66.623900000000006</c:v>
                </c:pt>
                <c:pt idx="1">
                  <c:v>189.72450000000001</c:v>
                </c:pt>
                <c:pt idx="2">
                  <c:v>98.943100000000001</c:v>
                </c:pt>
                <c:pt idx="3">
                  <c:v>-105.48990000000001</c:v>
                </c:pt>
                <c:pt idx="4">
                  <c:v>386.69830000000007</c:v>
                </c:pt>
                <c:pt idx="5">
                  <c:v>240.52549999999999</c:v>
                </c:pt>
                <c:pt idx="6">
                  <c:v>23.032300000000003</c:v>
                </c:pt>
                <c:pt idx="7">
                  <c:v>356.79549999999995</c:v>
                </c:pt>
                <c:pt idx="8">
                  <c:v>-1350.8622000000005</c:v>
                </c:pt>
                <c:pt idx="9">
                  <c:v>223.14400000000001</c:v>
                </c:pt>
                <c:pt idx="10">
                  <c:v>-154.32980000000003</c:v>
                </c:pt>
                <c:pt idx="11">
                  <c:v>484.26590000000004</c:v>
                </c:pt>
              </c:numCache>
            </c:numRef>
          </c:val>
          <c:smooth val="0"/>
          <c:extLst>
            <c:ext xmlns:c16="http://schemas.microsoft.com/office/drawing/2014/chart" uri="{C3380CC4-5D6E-409C-BE32-E72D297353CC}">
              <c16:uniqueId val="{00000001-3BDB-46B9-89E0-D0CC4C336858}"/>
            </c:ext>
          </c:extLst>
        </c:ser>
        <c:dLbls>
          <c:showLegendKey val="0"/>
          <c:showVal val="0"/>
          <c:showCatName val="0"/>
          <c:showSerName val="0"/>
          <c:showPercent val="0"/>
          <c:showBubbleSize val="0"/>
        </c:dLbls>
        <c:marker val="1"/>
        <c:smooth val="0"/>
        <c:axId val="1947090703"/>
        <c:axId val="1947092367"/>
      </c:lineChart>
      <c:catAx>
        <c:axId val="194709070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47092367"/>
        <c:crosses val="autoZero"/>
        <c:auto val="1"/>
        <c:lblAlgn val="ctr"/>
        <c:lblOffset val="100"/>
        <c:noMultiLvlLbl val="0"/>
      </c:catAx>
      <c:valAx>
        <c:axId val="194709236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47090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[Ex-Pro.xlsx]Sale(s-c)!PivotTable2</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State-wise Sales comparison</a:t>
            </a:r>
          </a:p>
        </c:rich>
      </c:tx>
      <c:layout>
        <c:manualLayout>
          <c:xMode val="edge"/>
          <c:yMode val="edge"/>
          <c:x val="0.19473600174978131"/>
          <c:y val="2.675707203266258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w="9525">
              <a:solidFill>
                <a:schemeClr val="accent5">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a:solidFill>
                <a:schemeClr val="accent6">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w="9525">
              <a:solidFill>
                <a:schemeClr val="accent1">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w="9525">
              <a:solidFill>
                <a:schemeClr val="accent2">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w="9525">
              <a:solidFill>
                <a:schemeClr val="accent3">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w="9525">
              <a:solidFill>
                <a:schemeClr val="accent4">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w="9525">
              <a:solidFill>
                <a:schemeClr val="accent5">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w="9525">
              <a:solidFill>
                <a:schemeClr val="accent6">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w="9525">
              <a:solidFill>
                <a:schemeClr val="accent1">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w="9525">
              <a:solidFill>
                <a:schemeClr val="accent2">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w="9525">
              <a:solidFill>
                <a:schemeClr val="accent3">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w="9525">
              <a:solidFill>
                <a:schemeClr val="accent4">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w="9525">
              <a:solidFill>
                <a:schemeClr val="accent5">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w="9525">
              <a:solidFill>
                <a:schemeClr val="accent6">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w="9525">
              <a:solidFill>
                <a:schemeClr val="accent1">
                  <a:lumMod val="60000"/>
                  <a:lumOff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w="9525">
              <a:solidFill>
                <a:schemeClr val="accent2">
                  <a:lumMod val="60000"/>
                  <a:lumOff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'Sale(s-c)'!$B$3:$B$4</c:f>
              <c:strCache>
                <c:ptCount val="1"/>
                <c:pt idx="0">
                  <c:v>Alabama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'Sale(s-c)'!$A$5:$A$20</c:f>
              <c:strCache>
                <c:ptCount val="15"/>
                <c:pt idx="0">
                  <c:v>Accessories</c:v>
                </c:pt>
                <c:pt idx="1">
                  <c:v>Appliances</c:v>
                </c:pt>
                <c:pt idx="2">
                  <c:v>Art</c:v>
                </c:pt>
                <c:pt idx="3">
                  <c:v>Binders</c:v>
                </c:pt>
                <c:pt idx="4">
                  <c:v>Bookcases</c:v>
                </c:pt>
                <c:pt idx="5">
                  <c:v>Chairs</c:v>
                </c:pt>
                <c:pt idx="6">
                  <c:v>Envelopes</c:v>
                </c:pt>
                <c:pt idx="7">
                  <c:v>Fasteners</c:v>
                </c:pt>
                <c:pt idx="8">
                  <c:v>Furnishings</c:v>
                </c:pt>
                <c:pt idx="9">
                  <c:v>Labels</c:v>
                </c:pt>
                <c:pt idx="10">
                  <c:v>Paper</c:v>
                </c:pt>
                <c:pt idx="11">
                  <c:v>Phones</c:v>
                </c:pt>
                <c:pt idx="12">
                  <c:v>Storage</c:v>
                </c:pt>
                <c:pt idx="13">
                  <c:v>Supplies</c:v>
                </c:pt>
                <c:pt idx="14">
                  <c:v>Tables</c:v>
                </c:pt>
              </c:strCache>
            </c:strRef>
          </c:cat>
          <c:val>
            <c:numRef>
              <c:f>'Sale(s-c)'!$B$5:$B$20</c:f>
              <c:numCache>
                <c:formatCode>General</c:formatCode>
                <c:ptCount val="15"/>
                <c:pt idx="1">
                  <c:v>208.16</c:v>
                </c:pt>
                <c:pt idx="3">
                  <c:v>16.739999999999998</c:v>
                </c:pt>
              </c:numCache>
            </c:numRef>
          </c:val>
          <c:extLst>
            <c:ext xmlns:c16="http://schemas.microsoft.com/office/drawing/2014/chart" uri="{C3380CC4-5D6E-409C-BE32-E72D297353CC}">
              <c16:uniqueId val="{00000000-4781-4A26-B030-8138BF495FB3}"/>
            </c:ext>
          </c:extLst>
        </c:ser>
        <c:ser>
          <c:idx val="1"/>
          <c:order val="1"/>
          <c:tx>
            <c:strRef>
              <c:f>'Sale(s-c)'!$C$3:$C$4</c:f>
              <c:strCache>
                <c:ptCount val="1"/>
                <c:pt idx="0">
                  <c:v>Arizona</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'Sale(s-c)'!$A$5:$A$20</c:f>
              <c:strCache>
                <c:ptCount val="15"/>
                <c:pt idx="0">
                  <c:v>Accessories</c:v>
                </c:pt>
                <c:pt idx="1">
                  <c:v>Appliances</c:v>
                </c:pt>
                <c:pt idx="2">
                  <c:v>Art</c:v>
                </c:pt>
                <c:pt idx="3">
                  <c:v>Binders</c:v>
                </c:pt>
                <c:pt idx="4">
                  <c:v>Bookcases</c:v>
                </c:pt>
                <c:pt idx="5">
                  <c:v>Chairs</c:v>
                </c:pt>
                <c:pt idx="6">
                  <c:v>Envelopes</c:v>
                </c:pt>
                <c:pt idx="7">
                  <c:v>Fasteners</c:v>
                </c:pt>
                <c:pt idx="8">
                  <c:v>Furnishings</c:v>
                </c:pt>
                <c:pt idx="9">
                  <c:v>Labels</c:v>
                </c:pt>
                <c:pt idx="10">
                  <c:v>Paper</c:v>
                </c:pt>
                <c:pt idx="11">
                  <c:v>Phones</c:v>
                </c:pt>
                <c:pt idx="12">
                  <c:v>Storage</c:v>
                </c:pt>
                <c:pt idx="13">
                  <c:v>Supplies</c:v>
                </c:pt>
                <c:pt idx="14">
                  <c:v>Tables</c:v>
                </c:pt>
              </c:strCache>
            </c:strRef>
          </c:cat>
          <c:val>
            <c:numRef>
              <c:f>'Sale(s-c)'!$C$5:$C$20</c:f>
              <c:numCache>
                <c:formatCode>General</c:formatCode>
                <c:ptCount val="15"/>
                <c:pt idx="2">
                  <c:v>1113.0239999999999</c:v>
                </c:pt>
                <c:pt idx="3">
                  <c:v>2.3879999999999999</c:v>
                </c:pt>
                <c:pt idx="11">
                  <c:v>167.96799999999999</c:v>
                </c:pt>
                <c:pt idx="12">
                  <c:v>243.99199999999999</c:v>
                </c:pt>
              </c:numCache>
            </c:numRef>
          </c:val>
          <c:extLst>
            <c:ext xmlns:c16="http://schemas.microsoft.com/office/drawing/2014/chart" uri="{C3380CC4-5D6E-409C-BE32-E72D297353CC}">
              <c16:uniqueId val="{00000069-8243-4FC6-93F9-4DC9D3336A5B}"/>
            </c:ext>
          </c:extLst>
        </c:ser>
        <c:ser>
          <c:idx val="2"/>
          <c:order val="2"/>
          <c:tx>
            <c:strRef>
              <c:f>'Sale(s-c)'!$D$3:$D$4</c:f>
              <c:strCache>
                <c:ptCount val="1"/>
                <c:pt idx="0">
                  <c:v>California</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'Sale(s-c)'!$A$5:$A$20</c:f>
              <c:strCache>
                <c:ptCount val="15"/>
                <c:pt idx="0">
                  <c:v>Accessories</c:v>
                </c:pt>
                <c:pt idx="1">
                  <c:v>Appliances</c:v>
                </c:pt>
                <c:pt idx="2">
                  <c:v>Art</c:v>
                </c:pt>
                <c:pt idx="3">
                  <c:v>Binders</c:v>
                </c:pt>
                <c:pt idx="4">
                  <c:v>Bookcases</c:v>
                </c:pt>
                <c:pt idx="5">
                  <c:v>Chairs</c:v>
                </c:pt>
                <c:pt idx="6">
                  <c:v>Envelopes</c:v>
                </c:pt>
                <c:pt idx="7">
                  <c:v>Fasteners</c:v>
                </c:pt>
                <c:pt idx="8">
                  <c:v>Furnishings</c:v>
                </c:pt>
                <c:pt idx="9">
                  <c:v>Labels</c:v>
                </c:pt>
                <c:pt idx="10">
                  <c:v>Paper</c:v>
                </c:pt>
                <c:pt idx="11">
                  <c:v>Phones</c:v>
                </c:pt>
                <c:pt idx="12">
                  <c:v>Storage</c:v>
                </c:pt>
                <c:pt idx="13">
                  <c:v>Supplies</c:v>
                </c:pt>
                <c:pt idx="14">
                  <c:v>Tables</c:v>
                </c:pt>
              </c:strCache>
            </c:strRef>
          </c:cat>
          <c:val>
            <c:numRef>
              <c:f>'Sale(s-c)'!$D$5:$D$20</c:f>
              <c:numCache>
                <c:formatCode>General</c:formatCode>
                <c:ptCount val="15"/>
                <c:pt idx="0">
                  <c:v>104.55</c:v>
                </c:pt>
                <c:pt idx="1">
                  <c:v>114.9</c:v>
                </c:pt>
                <c:pt idx="2">
                  <c:v>71.180000000000007</c:v>
                </c:pt>
                <c:pt idx="3">
                  <c:v>206.18399999999997</c:v>
                </c:pt>
                <c:pt idx="5">
                  <c:v>81.424000000000007</c:v>
                </c:pt>
                <c:pt idx="6">
                  <c:v>10.86</c:v>
                </c:pt>
                <c:pt idx="7">
                  <c:v>4.0199999999999996</c:v>
                </c:pt>
                <c:pt idx="8">
                  <c:v>410.3</c:v>
                </c:pt>
                <c:pt idx="9">
                  <c:v>14.62</c:v>
                </c:pt>
                <c:pt idx="10">
                  <c:v>352.39</c:v>
                </c:pt>
                <c:pt idx="11">
                  <c:v>2105.64</c:v>
                </c:pt>
                <c:pt idx="12">
                  <c:v>771.19999999999993</c:v>
                </c:pt>
                <c:pt idx="13">
                  <c:v>65.88</c:v>
                </c:pt>
                <c:pt idx="14">
                  <c:v>1706.184</c:v>
                </c:pt>
              </c:numCache>
            </c:numRef>
          </c:val>
          <c:extLst>
            <c:ext xmlns:c16="http://schemas.microsoft.com/office/drawing/2014/chart" uri="{C3380CC4-5D6E-409C-BE32-E72D297353CC}">
              <c16:uniqueId val="{0000006A-8243-4FC6-93F9-4DC9D3336A5B}"/>
            </c:ext>
          </c:extLst>
        </c:ser>
        <c:ser>
          <c:idx val="3"/>
          <c:order val="3"/>
          <c:tx>
            <c:strRef>
              <c:f>'Sale(s-c)'!$E$3:$E$4</c:f>
              <c:strCache>
                <c:ptCount val="1"/>
                <c:pt idx="0">
                  <c:v>Colorado</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'Sale(s-c)'!$A$5:$A$20</c:f>
              <c:strCache>
                <c:ptCount val="15"/>
                <c:pt idx="0">
                  <c:v>Accessories</c:v>
                </c:pt>
                <c:pt idx="1">
                  <c:v>Appliances</c:v>
                </c:pt>
                <c:pt idx="2">
                  <c:v>Art</c:v>
                </c:pt>
                <c:pt idx="3">
                  <c:v>Binders</c:v>
                </c:pt>
                <c:pt idx="4">
                  <c:v>Bookcases</c:v>
                </c:pt>
                <c:pt idx="5">
                  <c:v>Chairs</c:v>
                </c:pt>
                <c:pt idx="6">
                  <c:v>Envelopes</c:v>
                </c:pt>
                <c:pt idx="7">
                  <c:v>Fasteners</c:v>
                </c:pt>
                <c:pt idx="8">
                  <c:v>Furnishings</c:v>
                </c:pt>
                <c:pt idx="9">
                  <c:v>Labels</c:v>
                </c:pt>
                <c:pt idx="10">
                  <c:v>Paper</c:v>
                </c:pt>
                <c:pt idx="11">
                  <c:v>Phones</c:v>
                </c:pt>
                <c:pt idx="12">
                  <c:v>Storage</c:v>
                </c:pt>
                <c:pt idx="13">
                  <c:v>Supplies</c:v>
                </c:pt>
                <c:pt idx="14">
                  <c:v>Tables</c:v>
                </c:pt>
              </c:strCache>
            </c:strRef>
          </c:cat>
          <c:val>
            <c:numRef>
              <c:f>'Sale(s-c)'!$E$5:$E$20</c:f>
              <c:numCache>
                <c:formatCode>General</c:formatCode>
                <c:ptCount val="15"/>
                <c:pt idx="0">
                  <c:v>238.89599999999999</c:v>
                </c:pt>
                <c:pt idx="3">
                  <c:v>36.881999999999998</c:v>
                </c:pt>
                <c:pt idx="8">
                  <c:v>102.36</c:v>
                </c:pt>
              </c:numCache>
            </c:numRef>
          </c:val>
          <c:extLst>
            <c:ext xmlns:c16="http://schemas.microsoft.com/office/drawing/2014/chart" uri="{C3380CC4-5D6E-409C-BE32-E72D297353CC}">
              <c16:uniqueId val="{0000006B-8243-4FC6-93F9-4DC9D3336A5B}"/>
            </c:ext>
          </c:extLst>
        </c:ser>
        <c:ser>
          <c:idx val="4"/>
          <c:order val="4"/>
          <c:tx>
            <c:strRef>
              <c:f>'Sale(s-c)'!$F$3:$F$4</c:f>
              <c:strCache>
                <c:ptCount val="1"/>
                <c:pt idx="0">
                  <c:v>Delaware</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'Sale(s-c)'!$A$5:$A$20</c:f>
              <c:strCache>
                <c:ptCount val="15"/>
                <c:pt idx="0">
                  <c:v>Accessories</c:v>
                </c:pt>
                <c:pt idx="1">
                  <c:v>Appliances</c:v>
                </c:pt>
                <c:pt idx="2">
                  <c:v>Art</c:v>
                </c:pt>
                <c:pt idx="3">
                  <c:v>Binders</c:v>
                </c:pt>
                <c:pt idx="4">
                  <c:v>Bookcases</c:v>
                </c:pt>
                <c:pt idx="5">
                  <c:v>Chairs</c:v>
                </c:pt>
                <c:pt idx="6">
                  <c:v>Envelopes</c:v>
                </c:pt>
                <c:pt idx="7">
                  <c:v>Fasteners</c:v>
                </c:pt>
                <c:pt idx="8">
                  <c:v>Furnishings</c:v>
                </c:pt>
                <c:pt idx="9">
                  <c:v>Labels</c:v>
                </c:pt>
                <c:pt idx="10">
                  <c:v>Paper</c:v>
                </c:pt>
                <c:pt idx="11">
                  <c:v>Phones</c:v>
                </c:pt>
                <c:pt idx="12">
                  <c:v>Storage</c:v>
                </c:pt>
                <c:pt idx="13">
                  <c:v>Supplies</c:v>
                </c:pt>
                <c:pt idx="14">
                  <c:v>Tables</c:v>
                </c:pt>
              </c:strCache>
            </c:strRef>
          </c:cat>
          <c:val>
            <c:numRef>
              <c:f>'Sale(s-c)'!$F$5:$F$20</c:f>
              <c:numCache>
                <c:formatCode>General</c:formatCode>
                <c:ptCount val="15"/>
                <c:pt idx="0">
                  <c:v>45</c:v>
                </c:pt>
                <c:pt idx="3">
                  <c:v>30.84</c:v>
                </c:pt>
                <c:pt idx="6">
                  <c:v>115.02</c:v>
                </c:pt>
                <c:pt idx="8">
                  <c:v>47.04</c:v>
                </c:pt>
                <c:pt idx="11">
                  <c:v>89.84</c:v>
                </c:pt>
                <c:pt idx="12">
                  <c:v>226.56</c:v>
                </c:pt>
              </c:numCache>
            </c:numRef>
          </c:val>
          <c:extLst>
            <c:ext xmlns:c16="http://schemas.microsoft.com/office/drawing/2014/chart" uri="{C3380CC4-5D6E-409C-BE32-E72D297353CC}">
              <c16:uniqueId val="{0000006C-8243-4FC6-93F9-4DC9D3336A5B}"/>
            </c:ext>
          </c:extLst>
        </c:ser>
        <c:ser>
          <c:idx val="5"/>
          <c:order val="5"/>
          <c:tx>
            <c:strRef>
              <c:f>'Sale(s-c)'!$G$3:$G$4</c:f>
              <c:strCache>
                <c:ptCount val="1"/>
                <c:pt idx="0">
                  <c:v>Florida</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'Sale(s-c)'!$A$5:$A$20</c:f>
              <c:strCache>
                <c:ptCount val="15"/>
                <c:pt idx="0">
                  <c:v>Accessories</c:v>
                </c:pt>
                <c:pt idx="1">
                  <c:v>Appliances</c:v>
                </c:pt>
                <c:pt idx="2">
                  <c:v>Art</c:v>
                </c:pt>
                <c:pt idx="3">
                  <c:v>Binders</c:v>
                </c:pt>
                <c:pt idx="4">
                  <c:v>Bookcases</c:v>
                </c:pt>
                <c:pt idx="5">
                  <c:v>Chairs</c:v>
                </c:pt>
                <c:pt idx="6">
                  <c:v>Envelopes</c:v>
                </c:pt>
                <c:pt idx="7">
                  <c:v>Fasteners</c:v>
                </c:pt>
                <c:pt idx="8">
                  <c:v>Furnishings</c:v>
                </c:pt>
                <c:pt idx="9">
                  <c:v>Labels</c:v>
                </c:pt>
                <c:pt idx="10">
                  <c:v>Paper</c:v>
                </c:pt>
                <c:pt idx="11">
                  <c:v>Phones</c:v>
                </c:pt>
                <c:pt idx="12">
                  <c:v>Storage</c:v>
                </c:pt>
                <c:pt idx="13">
                  <c:v>Supplies</c:v>
                </c:pt>
                <c:pt idx="14">
                  <c:v>Tables</c:v>
                </c:pt>
              </c:strCache>
            </c:strRef>
          </c:cat>
          <c:val>
            <c:numRef>
              <c:f>'Sale(s-c)'!$G$5:$G$20</c:f>
              <c:numCache>
                <c:formatCode>General</c:formatCode>
                <c:ptCount val="15"/>
                <c:pt idx="12">
                  <c:v>117.98399999999999</c:v>
                </c:pt>
                <c:pt idx="14">
                  <c:v>957.57749999999999</c:v>
                </c:pt>
              </c:numCache>
            </c:numRef>
          </c:val>
          <c:extLst>
            <c:ext xmlns:c16="http://schemas.microsoft.com/office/drawing/2014/chart" uri="{C3380CC4-5D6E-409C-BE32-E72D297353CC}">
              <c16:uniqueId val="{0000006D-8243-4FC6-93F9-4DC9D3336A5B}"/>
            </c:ext>
          </c:extLst>
        </c:ser>
        <c:ser>
          <c:idx val="6"/>
          <c:order val="6"/>
          <c:tx>
            <c:strRef>
              <c:f>'Sale(s-c)'!$H$3:$H$4</c:f>
              <c:strCache>
                <c:ptCount val="1"/>
                <c:pt idx="0">
                  <c:v>Illinois</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'Sale(s-c)'!$A$5:$A$20</c:f>
              <c:strCache>
                <c:ptCount val="15"/>
                <c:pt idx="0">
                  <c:v>Accessories</c:v>
                </c:pt>
                <c:pt idx="1">
                  <c:v>Appliances</c:v>
                </c:pt>
                <c:pt idx="2">
                  <c:v>Art</c:v>
                </c:pt>
                <c:pt idx="3">
                  <c:v>Binders</c:v>
                </c:pt>
                <c:pt idx="4">
                  <c:v>Bookcases</c:v>
                </c:pt>
                <c:pt idx="5">
                  <c:v>Chairs</c:v>
                </c:pt>
                <c:pt idx="6">
                  <c:v>Envelopes</c:v>
                </c:pt>
                <c:pt idx="7">
                  <c:v>Fasteners</c:v>
                </c:pt>
                <c:pt idx="8">
                  <c:v>Furnishings</c:v>
                </c:pt>
                <c:pt idx="9">
                  <c:v>Labels</c:v>
                </c:pt>
                <c:pt idx="10">
                  <c:v>Paper</c:v>
                </c:pt>
                <c:pt idx="11">
                  <c:v>Phones</c:v>
                </c:pt>
                <c:pt idx="12">
                  <c:v>Storage</c:v>
                </c:pt>
                <c:pt idx="13">
                  <c:v>Supplies</c:v>
                </c:pt>
                <c:pt idx="14">
                  <c:v>Tables</c:v>
                </c:pt>
              </c:strCache>
            </c:strRef>
          </c:cat>
          <c:val>
            <c:numRef>
              <c:f>'Sale(s-c)'!$H$5:$H$20</c:f>
              <c:numCache>
                <c:formatCode>General</c:formatCode>
                <c:ptCount val="15"/>
                <c:pt idx="0">
                  <c:v>435.93599999999998</c:v>
                </c:pt>
                <c:pt idx="3">
                  <c:v>1.788</c:v>
                </c:pt>
                <c:pt idx="5">
                  <c:v>213.11500000000001</c:v>
                </c:pt>
                <c:pt idx="10">
                  <c:v>64.623999999999995</c:v>
                </c:pt>
                <c:pt idx="11">
                  <c:v>147.16800000000001</c:v>
                </c:pt>
                <c:pt idx="12">
                  <c:v>230.376</c:v>
                </c:pt>
                <c:pt idx="14">
                  <c:v>617.70000000000005</c:v>
                </c:pt>
              </c:numCache>
            </c:numRef>
          </c:val>
          <c:extLst>
            <c:ext xmlns:c16="http://schemas.microsoft.com/office/drawing/2014/chart" uri="{C3380CC4-5D6E-409C-BE32-E72D297353CC}">
              <c16:uniqueId val="{0000006E-8243-4FC6-93F9-4DC9D3336A5B}"/>
            </c:ext>
          </c:extLst>
        </c:ser>
        <c:ser>
          <c:idx val="7"/>
          <c:order val="7"/>
          <c:tx>
            <c:strRef>
              <c:f>'Sale(s-c)'!$I$3:$I$4</c:f>
              <c:strCache>
                <c:ptCount val="1"/>
                <c:pt idx="0">
                  <c:v>Indiana</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'Sale(s-c)'!$A$5:$A$20</c:f>
              <c:strCache>
                <c:ptCount val="15"/>
                <c:pt idx="0">
                  <c:v>Accessories</c:v>
                </c:pt>
                <c:pt idx="1">
                  <c:v>Appliances</c:v>
                </c:pt>
                <c:pt idx="2">
                  <c:v>Art</c:v>
                </c:pt>
                <c:pt idx="3">
                  <c:v>Binders</c:v>
                </c:pt>
                <c:pt idx="4">
                  <c:v>Bookcases</c:v>
                </c:pt>
                <c:pt idx="5">
                  <c:v>Chairs</c:v>
                </c:pt>
                <c:pt idx="6">
                  <c:v>Envelopes</c:v>
                </c:pt>
                <c:pt idx="7">
                  <c:v>Fasteners</c:v>
                </c:pt>
                <c:pt idx="8">
                  <c:v>Furnishings</c:v>
                </c:pt>
                <c:pt idx="9">
                  <c:v>Labels</c:v>
                </c:pt>
                <c:pt idx="10">
                  <c:v>Paper</c:v>
                </c:pt>
                <c:pt idx="11">
                  <c:v>Phones</c:v>
                </c:pt>
                <c:pt idx="12">
                  <c:v>Storage</c:v>
                </c:pt>
                <c:pt idx="13">
                  <c:v>Supplies</c:v>
                </c:pt>
                <c:pt idx="14">
                  <c:v>Tables</c:v>
                </c:pt>
              </c:strCache>
            </c:strRef>
          </c:cat>
          <c:val>
            <c:numRef>
              <c:f>'Sale(s-c)'!$I$5:$I$20</c:f>
              <c:numCache>
                <c:formatCode>General</c:formatCode>
                <c:ptCount val="15"/>
                <c:pt idx="3">
                  <c:v>38.22</c:v>
                </c:pt>
                <c:pt idx="5">
                  <c:v>89.99</c:v>
                </c:pt>
                <c:pt idx="8">
                  <c:v>6.16</c:v>
                </c:pt>
                <c:pt idx="9">
                  <c:v>75.180000000000007</c:v>
                </c:pt>
              </c:numCache>
            </c:numRef>
          </c:val>
          <c:extLst>
            <c:ext xmlns:c16="http://schemas.microsoft.com/office/drawing/2014/chart" uri="{C3380CC4-5D6E-409C-BE32-E72D297353CC}">
              <c16:uniqueId val="{0000006F-8243-4FC6-93F9-4DC9D3336A5B}"/>
            </c:ext>
          </c:extLst>
        </c:ser>
        <c:ser>
          <c:idx val="8"/>
          <c:order val="8"/>
          <c:tx>
            <c:strRef>
              <c:f>'Sale(s-c)'!$J$3:$J$4</c:f>
              <c:strCache>
                <c:ptCount val="1"/>
                <c:pt idx="0">
                  <c:v>Iowa</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'Sale(s-c)'!$A$5:$A$20</c:f>
              <c:strCache>
                <c:ptCount val="15"/>
                <c:pt idx="0">
                  <c:v>Accessories</c:v>
                </c:pt>
                <c:pt idx="1">
                  <c:v>Appliances</c:v>
                </c:pt>
                <c:pt idx="2">
                  <c:v>Art</c:v>
                </c:pt>
                <c:pt idx="3">
                  <c:v>Binders</c:v>
                </c:pt>
                <c:pt idx="4">
                  <c:v>Bookcases</c:v>
                </c:pt>
                <c:pt idx="5">
                  <c:v>Chairs</c:v>
                </c:pt>
                <c:pt idx="6">
                  <c:v>Envelopes</c:v>
                </c:pt>
                <c:pt idx="7">
                  <c:v>Fasteners</c:v>
                </c:pt>
                <c:pt idx="8">
                  <c:v>Furnishings</c:v>
                </c:pt>
                <c:pt idx="9">
                  <c:v>Labels</c:v>
                </c:pt>
                <c:pt idx="10">
                  <c:v>Paper</c:v>
                </c:pt>
                <c:pt idx="11">
                  <c:v>Phones</c:v>
                </c:pt>
                <c:pt idx="12">
                  <c:v>Storage</c:v>
                </c:pt>
                <c:pt idx="13">
                  <c:v>Supplies</c:v>
                </c:pt>
                <c:pt idx="14">
                  <c:v>Tables</c:v>
                </c:pt>
              </c:strCache>
            </c:strRef>
          </c:cat>
          <c:val>
            <c:numRef>
              <c:f>'Sale(s-c)'!$J$5:$J$20</c:f>
              <c:numCache>
                <c:formatCode>General</c:formatCode>
                <c:ptCount val="15"/>
                <c:pt idx="2">
                  <c:v>75.959999999999994</c:v>
                </c:pt>
                <c:pt idx="3">
                  <c:v>27.24</c:v>
                </c:pt>
              </c:numCache>
            </c:numRef>
          </c:val>
          <c:extLst>
            <c:ext xmlns:c16="http://schemas.microsoft.com/office/drawing/2014/chart" uri="{C3380CC4-5D6E-409C-BE32-E72D297353CC}">
              <c16:uniqueId val="{00000070-8243-4FC6-93F9-4DC9D3336A5B}"/>
            </c:ext>
          </c:extLst>
        </c:ser>
        <c:ser>
          <c:idx val="9"/>
          <c:order val="9"/>
          <c:tx>
            <c:strRef>
              <c:f>'Sale(s-c)'!$K$3:$K$4</c:f>
              <c:strCache>
                <c:ptCount val="1"/>
                <c:pt idx="0">
                  <c:v>Kentucky</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'Sale(s-c)'!$A$5:$A$20</c:f>
              <c:strCache>
                <c:ptCount val="15"/>
                <c:pt idx="0">
                  <c:v>Accessories</c:v>
                </c:pt>
                <c:pt idx="1">
                  <c:v>Appliances</c:v>
                </c:pt>
                <c:pt idx="2">
                  <c:v>Art</c:v>
                </c:pt>
                <c:pt idx="3">
                  <c:v>Binders</c:v>
                </c:pt>
                <c:pt idx="4">
                  <c:v>Bookcases</c:v>
                </c:pt>
                <c:pt idx="5">
                  <c:v>Chairs</c:v>
                </c:pt>
                <c:pt idx="6">
                  <c:v>Envelopes</c:v>
                </c:pt>
                <c:pt idx="7">
                  <c:v>Fasteners</c:v>
                </c:pt>
                <c:pt idx="8">
                  <c:v>Furnishings</c:v>
                </c:pt>
                <c:pt idx="9">
                  <c:v>Labels</c:v>
                </c:pt>
                <c:pt idx="10">
                  <c:v>Paper</c:v>
                </c:pt>
                <c:pt idx="11">
                  <c:v>Phones</c:v>
                </c:pt>
                <c:pt idx="12">
                  <c:v>Storage</c:v>
                </c:pt>
                <c:pt idx="13">
                  <c:v>Supplies</c:v>
                </c:pt>
                <c:pt idx="14">
                  <c:v>Tables</c:v>
                </c:pt>
              </c:strCache>
            </c:strRef>
          </c:cat>
          <c:val>
            <c:numRef>
              <c:f>'Sale(s-c)'!$K$5:$K$20</c:f>
              <c:numCache>
                <c:formatCode>General</c:formatCode>
                <c:ptCount val="15"/>
                <c:pt idx="4">
                  <c:v>261.95999999999998</c:v>
                </c:pt>
                <c:pt idx="5">
                  <c:v>731.94</c:v>
                </c:pt>
              </c:numCache>
            </c:numRef>
          </c:val>
          <c:extLst>
            <c:ext xmlns:c16="http://schemas.microsoft.com/office/drawing/2014/chart" uri="{C3380CC4-5D6E-409C-BE32-E72D297353CC}">
              <c16:uniqueId val="{00000071-8243-4FC6-93F9-4DC9D3336A5B}"/>
            </c:ext>
          </c:extLst>
        </c:ser>
        <c:ser>
          <c:idx val="10"/>
          <c:order val="10"/>
          <c:tx>
            <c:strRef>
              <c:f>'Sale(s-c)'!$L$3:$L$4</c:f>
              <c:strCache>
                <c:ptCount val="1"/>
                <c:pt idx="0">
                  <c:v>Michigan</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'Sale(s-c)'!$A$5:$A$20</c:f>
              <c:strCache>
                <c:ptCount val="15"/>
                <c:pt idx="0">
                  <c:v>Accessories</c:v>
                </c:pt>
                <c:pt idx="1">
                  <c:v>Appliances</c:v>
                </c:pt>
                <c:pt idx="2">
                  <c:v>Art</c:v>
                </c:pt>
                <c:pt idx="3">
                  <c:v>Binders</c:v>
                </c:pt>
                <c:pt idx="4">
                  <c:v>Bookcases</c:v>
                </c:pt>
                <c:pt idx="5">
                  <c:v>Chairs</c:v>
                </c:pt>
                <c:pt idx="6">
                  <c:v>Envelopes</c:v>
                </c:pt>
                <c:pt idx="7">
                  <c:v>Fasteners</c:v>
                </c:pt>
                <c:pt idx="8">
                  <c:v>Furnishings</c:v>
                </c:pt>
                <c:pt idx="9">
                  <c:v>Labels</c:v>
                </c:pt>
                <c:pt idx="10">
                  <c:v>Paper</c:v>
                </c:pt>
                <c:pt idx="11">
                  <c:v>Phones</c:v>
                </c:pt>
                <c:pt idx="12">
                  <c:v>Storage</c:v>
                </c:pt>
                <c:pt idx="13">
                  <c:v>Supplies</c:v>
                </c:pt>
                <c:pt idx="14">
                  <c:v>Tables</c:v>
                </c:pt>
              </c:strCache>
            </c:strRef>
          </c:cat>
          <c:val>
            <c:numRef>
              <c:f>'Sale(s-c)'!$L$5:$L$20</c:f>
              <c:numCache>
                <c:formatCode>General</c:formatCode>
                <c:ptCount val="15"/>
                <c:pt idx="10">
                  <c:v>19.05</c:v>
                </c:pt>
                <c:pt idx="12">
                  <c:v>211.96</c:v>
                </c:pt>
              </c:numCache>
            </c:numRef>
          </c:val>
          <c:extLst>
            <c:ext xmlns:c16="http://schemas.microsoft.com/office/drawing/2014/chart" uri="{C3380CC4-5D6E-409C-BE32-E72D297353CC}">
              <c16:uniqueId val="{00000072-8243-4FC6-93F9-4DC9D3336A5B}"/>
            </c:ext>
          </c:extLst>
        </c:ser>
        <c:ser>
          <c:idx val="11"/>
          <c:order val="11"/>
          <c:tx>
            <c:strRef>
              <c:f>'Sale(s-c)'!$M$3:$M$4</c:f>
              <c:strCache>
                <c:ptCount val="1"/>
                <c:pt idx="0">
                  <c:v>Minnesota</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'Sale(s-c)'!$A$5:$A$20</c:f>
              <c:strCache>
                <c:ptCount val="15"/>
                <c:pt idx="0">
                  <c:v>Accessories</c:v>
                </c:pt>
                <c:pt idx="1">
                  <c:v>Appliances</c:v>
                </c:pt>
                <c:pt idx="2">
                  <c:v>Art</c:v>
                </c:pt>
                <c:pt idx="3">
                  <c:v>Binders</c:v>
                </c:pt>
                <c:pt idx="4">
                  <c:v>Bookcases</c:v>
                </c:pt>
                <c:pt idx="5">
                  <c:v>Chairs</c:v>
                </c:pt>
                <c:pt idx="6">
                  <c:v>Envelopes</c:v>
                </c:pt>
                <c:pt idx="7">
                  <c:v>Fasteners</c:v>
                </c:pt>
                <c:pt idx="8">
                  <c:v>Furnishings</c:v>
                </c:pt>
                <c:pt idx="9">
                  <c:v>Labels</c:v>
                </c:pt>
                <c:pt idx="10">
                  <c:v>Paper</c:v>
                </c:pt>
                <c:pt idx="11">
                  <c:v>Phones</c:v>
                </c:pt>
                <c:pt idx="12">
                  <c:v>Storage</c:v>
                </c:pt>
                <c:pt idx="13">
                  <c:v>Supplies</c:v>
                </c:pt>
                <c:pt idx="14">
                  <c:v>Tables</c:v>
                </c:pt>
              </c:strCache>
            </c:strRef>
          </c:cat>
          <c:val>
            <c:numRef>
              <c:f>'Sale(s-c)'!$M$5:$M$20</c:f>
              <c:numCache>
                <c:formatCode>General</c:formatCode>
                <c:ptCount val="15"/>
                <c:pt idx="0">
                  <c:v>65.97</c:v>
                </c:pt>
                <c:pt idx="1">
                  <c:v>77.88</c:v>
                </c:pt>
                <c:pt idx="3">
                  <c:v>50.42</c:v>
                </c:pt>
                <c:pt idx="8">
                  <c:v>53.34</c:v>
                </c:pt>
                <c:pt idx="9">
                  <c:v>6.16</c:v>
                </c:pt>
                <c:pt idx="10">
                  <c:v>36.880000000000003</c:v>
                </c:pt>
              </c:numCache>
            </c:numRef>
          </c:val>
          <c:extLst>
            <c:ext xmlns:c16="http://schemas.microsoft.com/office/drawing/2014/chart" uri="{C3380CC4-5D6E-409C-BE32-E72D297353CC}">
              <c16:uniqueId val="{00000073-8243-4FC6-93F9-4DC9D3336A5B}"/>
            </c:ext>
          </c:extLst>
        </c:ser>
        <c:ser>
          <c:idx val="12"/>
          <c:order val="12"/>
          <c:tx>
            <c:strRef>
              <c:f>'Sale(s-c)'!$N$3:$N$4</c:f>
              <c:strCache>
                <c:ptCount val="1"/>
                <c:pt idx="0">
                  <c:v>Missouri</c:v>
                </c:pt>
              </c:strCache>
            </c:strRef>
          </c:tx>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'Sale(s-c)'!$A$5:$A$20</c:f>
              <c:strCache>
                <c:ptCount val="15"/>
                <c:pt idx="0">
                  <c:v>Accessories</c:v>
                </c:pt>
                <c:pt idx="1">
                  <c:v>Appliances</c:v>
                </c:pt>
                <c:pt idx="2">
                  <c:v>Art</c:v>
                </c:pt>
                <c:pt idx="3">
                  <c:v>Binders</c:v>
                </c:pt>
                <c:pt idx="4">
                  <c:v>Bookcases</c:v>
                </c:pt>
                <c:pt idx="5">
                  <c:v>Chairs</c:v>
                </c:pt>
                <c:pt idx="6">
                  <c:v>Envelopes</c:v>
                </c:pt>
                <c:pt idx="7">
                  <c:v>Fasteners</c:v>
                </c:pt>
                <c:pt idx="8">
                  <c:v>Furnishings</c:v>
                </c:pt>
                <c:pt idx="9">
                  <c:v>Labels</c:v>
                </c:pt>
                <c:pt idx="10">
                  <c:v>Paper</c:v>
                </c:pt>
                <c:pt idx="11">
                  <c:v>Phones</c:v>
                </c:pt>
                <c:pt idx="12">
                  <c:v>Storage</c:v>
                </c:pt>
                <c:pt idx="13">
                  <c:v>Supplies</c:v>
                </c:pt>
                <c:pt idx="14">
                  <c:v>Tables</c:v>
                </c:pt>
              </c:strCache>
            </c:strRef>
          </c:cat>
          <c:val>
            <c:numRef>
              <c:f>'Sale(s-c)'!$N$5:$N$20</c:f>
              <c:numCache>
                <c:formatCode>General</c:formatCode>
                <c:ptCount val="15"/>
                <c:pt idx="1">
                  <c:v>839.43</c:v>
                </c:pt>
              </c:numCache>
            </c:numRef>
          </c:val>
          <c:extLst>
            <c:ext xmlns:c16="http://schemas.microsoft.com/office/drawing/2014/chart" uri="{C3380CC4-5D6E-409C-BE32-E72D297353CC}">
              <c16:uniqueId val="{00000074-8243-4FC6-93F9-4DC9D3336A5B}"/>
            </c:ext>
          </c:extLst>
        </c:ser>
        <c:ser>
          <c:idx val="13"/>
          <c:order val="13"/>
          <c:tx>
            <c:strRef>
              <c:f>'Sale(s-c)'!$O$3:$O$4</c:f>
              <c:strCache>
                <c:ptCount val="1"/>
                <c:pt idx="0">
                  <c:v>Nebraska</c:v>
                </c:pt>
              </c:strCache>
            </c:strRef>
          </c:tx>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'Sale(s-c)'!$A$5:$A$20</c:f>
              <c:strCache>
                <c:ptCount val="15"/>
                <c:pt idx="0">
                  <c:v>Accessories</c:v>
                </c:pt>
                <c:pt idx="1">
                  <c:v>Appliances</c:v>
                </c:pt>
                <c:pt idx="2">
                  <c:v>Art</c:v>
                </c:pt>
                <c:pt idx="3">
                  <c:v>Binders</c:v>
                </c:pt>
                <c:pt idx="4">
                  <c:v>Bookcases</c:v>
                </c:pt>
                <c:pt idx="5">
                  <c:v>Chairs</c:v>
                </c:pt>
                <c:pt idx="6">
                  <c:v>Envelopes</c:v>
                </c:pt>
                <c:pt idx="7">
                  <c:v>Fasteners</c:v>
                </c:pt>
                <c:pt idx="8">
                  <c:v>Furnishings</c:v>
                </c:pt>
                <c:pt idx="9">
                  <c:v>Labels</c:v>
                </c:pt>
                <c:pt idx="10">
                  <c:v>Paper</c:v>
                </c:pt>
                <c:pt idx="11">
                  <c:v>Phones</c:v>
                </c:pt>
                <c:pt idx="12">
                  <c:v>Storage</c:v>
                </c:pt>
                <c:pt idx="13">
                  <c:v>Supplies</c:v>
                </c:pt>
                <c:pt idx="14">
                  <c:v>Tables</c:v>
                </c:pt>
              </c:strCache>
            </c:strRef>
          </c:cat>
          <c:val>
            <c:numRef>
              <c:f>'Sale(s-c)'!$O$5:$O$20</c:f>
              <c:numCache>
                <c:formatCode>General</c:formatCode>
                <c:ptCount val="15"/>
                <c:pt idx="1">
                  <c:v>60.34</c:v>
                </c:pt>
                <c:pt idx="2">
                  <c:v>19.46</c:v>
                </c:pt>
              </c:numCache>
            </c:numRef>
          </c:val>
          <c:extLst>
            <c:ext xmlns:c16="http://schemas.microsoft.com/office/drawing/2014/chart" uri="{C3380CC4-5D6E-409C-BE32-E72D297353CC}">
              <c16:uniqueId val="{00000075-8243-4FC6-93F9-4DC9D3336A5B}"/>
            </c:ext>
          </c:extLst>
        </c:ser>
        <c:ser>
          <c:idx val="14"/>
          <c:order val="14"/>
          <c:tx>
            <c:strRef>
              <c:f>'Sale(s-c)'!$P$3:$P$4</c:f>
              <c:strCache>
                <c:ptCount val="1"/>
                <c:pt idx="0">
                  <c:v>New York</c:v>
                </c:pt>
              </c:strCache>
            </c:strRef>
          </c:tx>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'Sale(s-c)'!$A$5:$A$20</c:f>
              <c:strCache>
                <c:ptCount val="15"/>
                <c:pt idx="0">
                  <c:v>Accessories</c:v>
                </c:pt>
                <c:pt idx="1">
                  <c:v>Appliances</c:v>
                </c:pt>
                <c:pt idx="2">
                  <c:v>Art</c:v>
                </c:pt>
                <c:pt idx="3">
                  <c:v>Binders</c:v>
                </c:pt>
                <c:pt idx="4">
                  <c:v>Bookcases</c:v>
                </c:pt>
                <c:pt idx="5">
                  <c:v>Chairs</c:v>
                </c:pt>
                <c:pt idx="6">
                  <c:v>Envelopes</c:v>
                </c:pt>
                <c:pt idx="7">
                  <c:v>Fasteners</c:v>
                </c:pt>
                <c:pt idx="8">
                  <c:v>Furnishings</c:v>
                </c:pt>
                <c:pt idx="9">
                  <c:v>Labels</c:v>
                </c:pt>
                <c:pt idx="10">
                  <c:v>Paper</c:v>
                </c:pt>
                <c:pt idx="11">
                  <c:v>Phones</c:v>
                </c:pt>
                <c:pt idx="12">
                  <c:v>Storage</c:v>
                </c:pt>
                <c:pt idx="13">
                  <c:v>Supplies</c:v>
                </c:pt>
                <c:pt idx="14">
                  <c:v>Tables</c:v>
                </c:pt>
              </c:strCache>
            </c:strRef>
          </c:cat>
          <c:val>
            <c:numRef>
              <c:f>'Sale(s-c)'!$P$5:$P$20</c:f>
              <c:numCache>
                <c:formatCode>General</c:formatCode>
                <c:ptCount val="15"/>
                <c:pt idx="0">
                  <c:v>30</c:v>
                </c:pt>
                <c:pt idx="2">
                  <c:v>1.68</c:v>
                </c:pt>
                <c:pt idx="3">
                  <c:v>53.095999999999997</c:v>
                </c:pt>
                <c:pt idx="5">
                  <c:v>319.41000000000003</c:v>
                </c:pt>
                <c:pt idx="7">
                  <c:v>15.26</c:v>
                </c:pt>
                <c:pt idx="8">
                  <c:v>138.49</c:v>
                </c:pt>
                <c:pt idx="10">
                  <c:v>46.96</c:v>
                </c:pt>
                <c:pt idx="11">
                  <c:v>1029.95</c:v>
                </c:pt>
                <c:pt idx="12">
                  <c:v>208.56</c:v>
                </c:pt>
              </c:numCache>
            </c:numRef>
          </c:val>
          <c:extLst>
            <c:ext xmlns:c16="http://schemas.microsoft.com/office/drawing/2014/chart" uri="{C3380CC4-5D6E-409C-BE32-E72D297353CC}">
              <c16:uniqueId val="{00000076-8243-4FC6-93F9-4DC9D3336A5B}"/>
            </c:ext>
          </c:extLst>
        </c:ser>
        <c:ser>
          <c:idx val="15"/>
          <c:order val="15"/>
          <c:tx>
            <c:strRef>
              <c:f>'Sale(s-c)'!$Q$3:$Q$4</c:f>
              <c:strCache>
                <c:ptCount val="1"/>
                <c:pt idx="0">
                  <c:v>North Carolina</c:v>
                </c:pt>
              </c:strCache>
            </c:strRef>
          </c:tx>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'Sale(s-c)'!$A$5:$A$20</c:f>
              <c:strCache>
                <c:ptCount val="15"/>
                <c:pt idx="0">
                  <c:v>Accessories</c:v>
                </c:pt>
                <c:pt idx="1">
                  <c:v>Appliances</c:v>
                </c:pt>
                <c:pt idx="2">
                  <c:v>Art</c:v>
                </c:pt>
                <c:pt idx="3">
                  <c:v>Binders</c:v>
                </c:pt>
                <c:pt idx="4">
                  <c:v>Bookcases</c:v>
                </c:pt>
                <c:pt idx="5">
                  <c:v>Chairs</c:v>
                </c:pt>
                <c:pt idx="6">
                  <c:v>Envelopes</c:v>
                </c:pt>
                <c:pt idx="7">
                  <c:v>Fasteners</c:v>
                </c:pt>
                <c:pt idx="8">
                  <c:v>Furnishings</c:v>
                </c:pt>
                <c:pt idx="9">
                  <c:v>Labels</c:v>
                </c:pt>
                <c:pt idx="10">
                  <c:v>Paper</c:v>
                </c:pt>
                <c:pt idx="11">
                  <c:v>Phones</c:v>
                </c:pt>
                <c:pt idx="12">
                  <c:v>Storage</c:v>
                </c:pt>
                <c:pt idx="13">
                  <c:v>Supplies</c:v>
                </c:pt>
                <c:pt idx="14">
                  <c:v>Tables</c:v>
                </c:pt>
              </c:strCache>
            </c:strRef>
          </c:cat>
          <c:val>
            <c:numRef>
              <c:f>'Sale(s-c)'!$Q$5:$Q$20</c:f>
              <c:numCache>
                <c:formatCode>General</c:formatCode>
                <c:ptCount val="15"/>
                <c:pt idx="0">
                  <c:v>74.111999999999995</c:v>
                </c:pt>
                <c:pt idx="2">
                  <c:v>3.3039999999999998</c:v>
                </c:pt>
                <c:pt idx="6">
                  <c:v>200.98400000000001</c:v>
                </c:pt>
                <c:pt idx="10">
                  <c:v>15.552</c:v>
                </c:pt>
                <c:pt idx="11">
                  <c:v>27.992000000000001</c:v>
                </c:pt>
              </c:numCache>
            </c:numRef>
          </c:val>
          <c:extLst>
            <c:ext xmlns:c16="http://schemas.microsoft.com/office/drawing/2014/chart" uri="{C3380CC4-5D6E-409C-BE32-E72D297353CC}">
              <c16:uniqueId val="{00000077-8243-4FC6-93F9-4DC9D3336A5B}"/>
            </c:ext>
          </c:extLst>
        </c:ser>
        <c:ser>
          <c:idx val="16"/>
          <c:order val="16"/>
          <c:tx>
            <c:strRef>
              <c:f>'Sale(s-c)'!$R$3:$R$4</c:f>
              <c:strCache>
                <c:ptCount val="1"/>
                <c:pt idx="0">
                  <c:v>Ohio</c:v>
                </c:pt>
              </c:strCache>
            </c:strRef>
          </c:tx>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'Sale(s-c)'!$A$5:$A$20</c:f>
              <c:strCache>
                <c:ptCount val="15"/>
                <c:pt idx="0">
                  <c:v>Accessories</c:v>
                </c:pt>
                <c:pt idx="1">
                  <c:v>Appliances</c:v>
                </c:pt>
                <c:pt idx="2">
                  <c:v>Art</c:v>
                </c:pt>
                <c:pt idx="3">
                  <c:v>Binders</c:v>
                </c:pt>
                <c:pt idx="4">
                  <c:v>Bookcases</c:v>
                </c:pt>
                <c:pt idx="5">
                  <c:v>Chairs</c:v>
                </c:pt>
                <c:pt idx="6">
                  <c:v>Envelopes</c:v>
                </c:pt>
                <c:pt idx="7">
                  <c:v>Fasteners</c:v>
                </c:pt>
                <c:pt idx="8">
                  <c:v>Furnishings</c:v>
                </c:pt>
                <c:pt idx="9">
                  <c:v>Labels</c:v>
                </c:pt>
                <c:pt idx="10">
                  <c:v>Paper</c:v>
                </c:pt>
                <c:pt idx="11">
                  <c:v>Phones</c:v>
                </c:pt>
                <c:pt idx="12">
                  <c:v>Storage</c:v>
                </c:pt>
                <c:pt idx="13">
                  <c:v>Supplies</c:v>
                </c:pt>
                <c:pt idx="14">
                  <c:v>Tables</c:v>
                </c:pt>
              </c:strCache>
            </c:strRef>
          </c:cat>
          <c:val>
            <c:numRef>
              <c:f>'Sale(s-c)'!$R$5:$R$20</c:f>
              <c:numCache>
                <c:formatCode>General</c:formatCode>
                <c:ptCount val="15"/>
                <c:pt idx="6">
                  <c:v>135.184</c:v>
                </c:pt>
                <c:pt idx="7">
                  <c:v>61.551999999999992</c:v>
                </c:pt>
                <c:pt idx="8">
                  <c:v>93.888000000000005</c:v>
                </c:pt>
                <c:pt idx="10">
                  <c:v>102.28</c:v>
                </c:pt>
                <c:pt idx="11">
                  <c:v>59.97</c:v>
                </c:pt>
              </c:numCache>
            </c:numRef>
          </c:val>
          <c:extLst>
            <c:ext xmlns:c16="http://schemas.microsoft.com/office/drawing/2014/chart" uri="{C3380CC4-5D6E-409C-BE32-E72D297353CC}">
              <c16:uniqueId val="{00000078-8243-4FC6-93F9-4DC9D3336A5B}"/>
            </c:ext>
          </c:extLst>
        </c:ser>
        <c:ser>
          <c:idx val="17"/>
          <c:order val="17"/>
          <c:tx>
            <c:strRef>
              <c:f>'Sale(s-c)'!$S$3:$S$4</c:f>
              <c:strCache>
                <c:ptCount val="1"/>
                <c:pt idx="0">
                  <c:v>Oregon</c:v>
                </c:pt>
              </c:strCache>
            </c:strRef>
          </c:tx>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'Sale(s-c)'!$A$5:$A$20</c:f>
              <c:strCache>
                <c:ptCount val="15"/>
                <c:pt idx="0">
                  <c:v>Accessories</c:v>
                </c:pt>
                <c:pt idx="1">
                  <c:v>Appliances</c:v>
                </c:pt>
                <c:pt idx="2">
                  <c:v>Art</c:v>
                </c:pt>
                <c:pt idx="3">
                  <c:v>Binders</c:v>
                </c:pt>
                <c:pt idx="4">
                  <c:v>Bookcases</c:v>
                </c:pt>
                <c:pt idx="5">
                  <c:v>Chairs</c:v>
                </c:pt>
                <c:pt idx="6">
                  <c:v>Envelopes</c:v>
                </c:pt>
                <c:pt idx="7">
                  <c:v>Fasteners</c:v>
                </c:pt>
                <c:pt idx="8">
                  <c:v>Furnishings</c:v>
                </c:pt>
                <c:pt idx="9">
                  <c:v>Labels</c:v>
                </c:pt>
                <c:pt idx="10">
                  <c:v>Paper</c:v>
                </c:pt>
                <c:pt idx="11">
                  <c:v>Phones</c:v>
                </c:pt>
                <c:pt idx="12">
                  <c:v>Storage</c:v>
                </c:pt>
                <c:pt idx="13">
                  <c:v>Supplies</c:v>
                </c:pt>
                <c:pt idx="14">
                  <c:v>Tables</c:v>
                </c:pt>
              </c:strCache>
            </c:strRef>
          </c:cat>
          <c:val>
            <c:numRef>
              <c:f>'Sale(s-c)'!$S$5:$S$20</c:f>
              <c:numCache>
                <c:formatCode>General</c:formatCode>
                <c:ptCount val="15"/>
                <c:pt idx="3">
                  <c:v>5.6820000000000004</c:v>
                </c:pt>
              </c:numCache>
            </c:numRef>
          </c:val>
          <c:extLst>
            <c:ext xmlns:c16="http://schemas.microsoft.com/office/drawing/2014/chart" uri="{C3380CC4-5D6E-409C-BE32-E72D297353CC}">
              <c16:uniqueId val="{00000079-8243-4FC6-93F9-4DC9D3336A5B}"/>
            </c:ext>
          </c:extLst>
        </c:ser>
        <c:ser>
          <c:idx val="18"/>
          <c:order val="18"/>
          <c:tx>
            <c:strRef>
              <c:f>'Sale(s-c)'!$T$3:$T$4</c:f>
              <c:strCache>
                <c:ptCount val="1"/>
                <c:pt idx="0">
                  <c:v>Pennsylvania</c:v>
                </c:pt>
              </c:strCache>
            </c:strRef>
          </c:tx>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'Sale(s-c)'!$A$5:$A$20</c:f>
              <c:strCache>
                <c:ptCount val="15"/>
                <c:pt idx="0">
                  <c:v>Accessories</c:v>
                </c:pt>
                <c:pt idx="1">
                  <c:v>Appliances</c:v>
                </c:pt>
                <c:pt idx="2">
                  <c:v>Art</c:v>
                </c:pt>
                <c:pt idx="3">
                  <c:v>Binders</c:v>
                </c:pt>
                <c:pt idx="4">
                  <c:v>Bookcases</c:v>
                </c:pt>
                <c:pt idx="5">
                  <c:v>Chairs</c:v>
                </c:pt>
                <c:pt idx="6">
                  <c:v>Envelopes</c:v>
                </c:pt>
                <c:pt idx="7">
                  <c:v>Fasteners</c:v>
                </c:pt>
                <c:pt idx="8">
                  <c:v>Furnishings</c:v>
                </c:pt>
                <c:pt idx="9">
                  <c:v>Labels</c:v>
                </c:pt>
                <c:pt idx="10">
                  <c:v>Paper</c:v>
                </c:pt>
                <c:pt idx="11">
                  <c:v>Phones</c:v>
                </c:pt>
                <c:pt idx="12">
                  <c:v>Storage</c:v>
                </c:pt>
                <c:pt idx="13">
                  <c:v>Supplies</c:v>
                </c:pt>
                <c:pt idx="14">
                  <c:v>Tables</c:v>
                </c:pt>
              </c:strCache>
            </c:strRef>
          </c:cat>
          <c:val>
            <c:numRef>
              <c:f>'Sale(s-c)'!$T$5:$T$20</c:f>
              <c:numCache>
                <c:formatCode>General</c:formatCode>
                <c:ptCount val="15"/>
                <c:pt idx="2">
                  <c:v>102.06400000000001</c:v>
                </c:pt>
                <c:pt idx="3">
                  <c:v>16.475999999999999</c:v>
                </c:pt>
                <c:pt idx="4">
                  <c:v>3083.43</c:v>
                </c:pt>
                <c:pt idx="5">
                  <c:v>71.372</c:v>
                </c:pt>
                <c:pt idx="6">
                  <c:v>3.2639999999999998</c:v>
                </c:pt>
                <c:pt idx="8">
                  <c:v>207</c:v>
                </c:pt>
              </c:numCache>
            </c:numRef>
          </c:val>
          <c:extLst>
            <c:ext xmlns:c16="http://schemas.microsoft.com/office/drawing/2014/chart" uri="{C3380CC4-5D6E-409C-BE32-E72D297353CC}">
              <c16:uniqueId val="{0000007A-8243-4FC6-93F9-4DC9D3336A5B}"/>
            </c:ext>
          </c:extLst>
        </c:ser>
        <c:ser>
          <c:idx val="19"/>
          <c:order val="19"/>
          <c:tx>
            <c:strRef>
              <c:f>'Sale(s-c)'!$U$3:$U$4</c:f>
              <c:strCache>
                <c:ptCount val="1"/>
                <c:pt idx="0">
                  <c:v>South Carolina</c:v>
                </c:pt>
              </c:strCache>
            </c:strRef>
          </c:tx>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'Sale(s-c)'!$A$5:$A$20</c:f>
              <c:strCache>
                <c:ptCount val="15"/>
                <c:pt idx="0">
                  <c:v>Accessories</c:v>
                </c:pt>
                <c:pt idx="1">
                  <c:v>Appliances</c:v>
                </c:pt>
                <c:pt idx="2">
                  <c:v>Art</c:v>
                </c:pt>
                <c:pt idx="3">
                  <c:v>Binders</c:v>
                </c:pt>
                <c:pt idx="4">
                  <c:v>Bookcases</c:v>
                </c:pt>
                <c:pt idx="5">
                  <c:v>Chairs</c:v>
                </c:pt>
                <c:pt idx="6">
                  <c:v>Envelopes</c:v>
                </c:pt>
                <c:pt idx="7">
                  <c:v>Fasteners</c:v>
                </c:pt>
                <c:pt idx="8">
                  <c:v>Furnishings</c:v>
                </c:pt>
                <c:pt idx="9">
                  <c:v>Labels</c:v>
                </c:pt>
                <c:pt idx="10">
                  <c:v>Paper</c:v>
                </c:pt>
                <c:pt idx="11">
                  <c:v>Phones</c:v>
                </c:pt>
                <c:pt idx="12">
                  <c:v>Storage</c:v>
                </c:pt>
                <c:pt idx="13">
                  <c:v>Supplies</c:v>
                </c:pt>
                <c:pt idx="14">
                  <c:v>Tables</c:v>
                </c:pt>
              </c:strCache>
            </c:strRef>
          </c:cat>
          <c:val>
            <c:numRef>
              <c:f>'Sale(s-c)'!$U$5:$U$20</c:f>
              <c:numCache>
                <c:formatCode>General</c:formatCode>
                <c:ptCount val="15"/>
                <c:pt idx="5">
                  <c:v>301.95999999999998</c:v>
                </c:pt>
              </c:numCache>
            </c:numRef>
          </c:val>
          <c:extLst>
            <c:ext xmlns:c16="http://schemas.microsoft.com/office/drawing/2014/chart" uri="{C3380CC4-5D6E-409C-BE32-E72D297353CC}">
              <c16:uniqueId val="{0000007B-8243-4FC6-93F9-4DC9D3336A5B}"/>
            </c:ext>
          </c:extLst>
        </c:ser>
        <c:ser>
          <c:idx val="20"/>
          <c:order val="20"/>
          <c:tx>
            <c:strRef>
              <c:f>'Sale(s-c)'!$V$3:$V$4</c:f>
              <c:strCache>
                <c:ptCount val="1"/>
                <c:pt idx="0">
                  <c:v>Tennessee</c:v>
                </c:pt>
              </c:strCache>
            </c:strRef>
          </c:tx>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'Sale(s-c)'!$A$5:$A$20</c:f>
              <c:strCache>
                <c:ptCount val="15"/>
                <c:pt idx="0">
                  <c:v>Accessories</c:v>
                </c:pt>
                <c:pt idx="1">
                  <c:v>Appliances</c:v>
                </c:pt>
                <c:pt idx="2">
                  <c:v>Art</c:v>
                </c:pt>
                <c:pt idx="3">
                  <c:v>Binders</c:v>
                </c:pt>
                <c:pt idx="4">
                  <c:v>Bookcases</c:v>
                </c:pt>
                <c:pt idx="5">
                  <c:v>Chairs</c:v>
                </c:pt>
                <c:pt idx="6">
                  <c:v>Envelopes</c:v>
                </c:pt>
                <c:pt idx="7">
                  <c:v>Fasteners</c:v>
                </c:pt>
                <c:pt idx="8">
                  <c:v>Furnishings</c:v>
                </c:pt>
                <c:pt idx="9">
                  <c:v>Labels</c:v>
                </c:pt>
                <c:pt idx="10">
                  <c:v>Paper</c:v>
                </c:pt>
                <c:pt idx="11">
                  <c:v>Phones</c:v>
                </c:pt>
                <c:pt idx="12">
                  <c:v>Storage</c:v>
                </c:pt>
                <c:pt idx="13">
                  <c:v>Supplies</c:v>
                </c:pt>
                <c:pt idx="14">
                  <c:v>Tables</c:v>
                </c:pt>
              </c:strCache>
            </c:strRef>
          </c:cat>
          <c:val>
            <c:numRef>
              <c:f>'Sale(s-c)'!$V$5:$V$20</c:f>
              <c:numCache>
                <c:formatCode>General</c:formatCode>
                <c:ptCount val="15"/>
                <c:pt idx="3">
                  <c:v>157.79400000000001</c:v>
                </c:pt>
                <c:pt idx="5">
                  <c:v>831.93600000000004</c:v>
                </c:pt>
                <c:pt idx="8">
                  <c:v>97.04</c:v>
                </c:pt>
                <c:pt idx="12">
                  <c:v>72.784000000000006</c:v>
                </c:pt>
              </c:numCache>
            </c:numRef>
          </c:val>
          <c:extLst>
            <c:ext xmlns:c16="http://schemas.microsoft.com/office/drawing/2014/chart" uri="{C3380CC4-5D6E-409C-BE32-E72D297353CC}">
              <c16:uniqueId val="{0000007C-8243-4FC6-93F9-4DC9D3336A5B}"/>
            </c:ext>
          </c:extLst>
        </c:ser>
        <c:ser>
          <c:idx val="21"/>
          <c:order val="21"/>
          <c:tx>
            <c:strRef>
              <c:f>'Sale(s-c)'!$W$3:$W$4</c:f>
              <c:strCache>
                <c:ptCount val="1"/>
                <c:pt idx="0">
                  <c:v>Texas</c:v>
                </c:pt>
              </c:strCache>
            </c:strRef>
          </c:tx>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'Sale(s-c)'!$A$5:$A$20</c:f>
              <c:strCache>
                <c:ptCount val="15"/>
                <c:pt idx="0">
                  <c:v>Accessories</c:v>
                </c:pt>
                <c:pt idx="1">
                  <c:v>Appliances</c:v>
                </c:pt>
                <c:pt idx="2">
                  <c:v>Art</c:v>
                </c:pt>
                <c:pt idx="3">
                  <c:v>Binders</c:v>
                </c:pt>
                <c:pt idx="4">
                  <c:v>Bookcases</c:v>
                </c:pt>
                <c:pt idx="5">
                  <c:v>Chairs</c:v>
                </c:pt>
                <c:pt idx="6">
                  <c:v>Envelopes</c:v>
                </c:pt>
                <c:pt idx="7">
                  <c:v>Fasteners</c:v>
                </c:pt>
                <c:pt idx="8">
                  <c:v>Furnishings</c:v>
                </c:pt>
                <c:pt idx="9">
                  <c:v>Labels</c:v>
                </c:pt>
                <c:pt idx="10">
                  <c:v>Paper</c:v>
                </c:pt>
                <c:pt idx="11">
                  <c:v>Phones</c:v>
                </c:pt>
                <c:pt idx="12">
                  <c:v>Storage</c:v>
                </c:pt>
                <c:pt idx="13">
                  <c:v>Supplies</c:v>
                </c:pt>
                <c:pt idx="14">
                  <c:v>Tables</c:v>
                </c:pt>
              </c:strCache>
            </c:strRef>
          </c:cat>
          <c:val>
            <c:numRef>
              <c:f>'Sale(s-c)'!$W$5:$W$20</c:f>
              <c:numCache>
                <c:formatCode>General</c:formatCode>
                <c:ptCount val="15"/>
                <c:pt idx="1">
                  <c:v>68.81</c:v>
                </c:pt>
                <c:pt idx="3">
                  <c:v>3.7919999999999998</c:v>
                </c:pt>
                <c:pt idx="4">
                  <c:v>532.39919999999995</c:v>
                </c:pt>
                <c:pt idx="5">
                  <c:v>812.61599999999999</c:v>
                </c:pt>
                <c:pt idx="6">
                  <c:v>113.328</c:v>
                </c:pt>
                <c:pt idx="8">
                  <c:v>219.928</c:v>
                </c:pt>
                <c:pt idx="10">
                  <c:v>29.472000000000001</c:v>
                </c:pt>
                <c:pt idx="11">
                  <c:v>1468.712</c:v>
                </c:pt>
                <c:pt idx="12">
                  <c:v>185.608</c:v>
                </c:pt>
              </c:numCache>
            </c:numRef>
          </c:val>
          <c:extLst>
            <c:ext xmlns:c16="http://schemas.microsoft.com/office/drawing/2014/chart" uri="{C3380CC4-5D6E-409C-BE32-E72D297353CC}">
              <c16:uniqueId val="{0000007D-8243-4FC6-93F9-4DC9D3336A5B}"/>
            </c:ext>
          </c:extLst>
        </c:ser>
        <c:ser>
          <c:idx val="22"/>
          <c:order val="22"/>
          <c:tx>
            <c:strRef>
              <c:f>'Sale(s-c)'!$X$3:$X$4</c:f>
              <c:strCache>
                <c:ptCount val="1"/>
                <c:pt idx="0">
                  <c:v>Utah</c:v>
                </c:pt>
              </c:strCache>
            </c:strRef>
          </c:tx>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'Sale(s-c)'!$A$5:$A$20</c:f>
              <c:strCache>
                <c:ptCount val="15"/>
                <c:pt idx="0">
                  <c:v>Accessories</c:v>
                </c:pt>
                <c:pt idx="1">
                  <c:v>Appliances</c:v>
                </c:pt>
                <c:pt idx="2">
                  <c:v>Art</c:v>
                </c:pt>
                <c:pt idx="3">
                  <c:v>Binders</c:v>
                </c:pt>
                <c:pt idx="4">
                  <c:v>Bookcases</c:v>
                </c:pt>
                <c:pt idx="5">
                  <c:v>Chairs</c:v>
                </c:pt>
                <c:pt idx="6">
                  <c:v>Envelopes</c:v>
                </c:pt>
                <c:pt idx="7">
                  <c:v>Fasteners</c:v>
                </c:pt>
                <c:pt idx="8">
                  <c:v>Furnishings</c:v>
                </c:pt>
                <c:pt idx="9">
                  <c:v>Labels</c:v>
                </c:pt>
                <c:pt idx="10">
                  <c:v>Paper</c:v>
                </c:pt>
                <c:pt idx="11">
                  <c:v>Phones</c:v>
                </c:pt>
                <c:pt idx="12">
                  <c:v>Storage</c:v>
                </c:pt>
                <c:pt idx="13">
                  <c:v>Supplies</c:v>
                </c:pt>
                <c:pt idx="14">
                  <c:v>Tables</c:v>
                </c:pt>
              </c:strCache>
            </c:strRef>
          </c:cat>
          <c:val>
            <c:numRef>
              <c:f>'Sale(s-c)'!$X$5:$X$20</c:f>
              <c:numCache>
                <c:formatCode>General</c:formatCode>
                <c:ptCount val="15"/>
                <c:pt idx="12">
                  <c:v>55.5</c:v>
                </c:pt>
                <c:pt idx="14">
                  <c:v>1044.6300000000001</c:v>
                </c:pt>
              </c:numCache>
            </c:numRef>
          </c:val>
          <c:extLst>
            <c:ext xmlns:c16="http://schemas.microsoft.com/office/drawing/2014/chart" uri="{C3380CC4-5D6E-409C-BE32-E72D297353CC}">
              <c16:uniqueId val="{0000007E-8243-4FC6-93F9-4DC9D3336A5B}"/>
            </c:ext>
          </c:extLst>
        </c:ser>
        <c:ser>
          <c:idx val="23"/>
          <c:order val="23"/>
          <c:tx>
            <c:strRef>
              <c:f>'Sale(s-c)'!$Y$3:$Y$4</c:f>
              <c:strCache>
                <c:ptCount val="1"/>
                <c:pt idx="0">
                  <c:v>Virginia</c:v>
                </c:pt>
              </c:strCache>
            </c:strRef>
          </c:tx>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'Sale(s-c)'!$A$5:$A$20</c:f>
              <c:strCache>
                <c:ptCount val="15"/>
                <c:pt idx="0">
                  <c:v>Accessories</c:v>
                </c:pt>
                <c:pt idx="1">
                  <c:v>Appliances</c:v>
                </c:pt>
                <c:pt idx="2">
                  <c:v>Art</c:v>
                </c:pt>
                <c:pt idx="3">
                  <c:v>Binders</c:v>
                </c:pt>
                <c:pt idx="4">
                  <c:v>Bookcases</c:v>
                </c:pt>
                <c:pt idx="5">
                  <c:v>Chairs</c:v>
                </c:pt>
                <c:pt idx="6">
                  <c:v>Envelopes</c:v>
                </c:pt>
                <c:pt idx="7">
                  <c:v>Fasteners</c:v>
                </c:pt>
                <c:pt idx="8">
                  <c:v>Furnishings</c:v>
                </c:pt>
                <c:pt idx="9">
                  <c:v>Labels</c:v>
                </c:pt>
                <c:pt idx="10">
                  <c:v>Paper</c:v>
                </c:pt>
                <c:pt idx="11">
                  <c:v>Phones</c:v>
                </c:pt>
                <c:pt idx="12">
                  <c:v>Storage</c:v>
                </c:pt>
                <c:pt idx="13">
                  <c:v>Supplies</c:v>
                </c:pt>
                <c:pt idx="14">
                  <c:v>Tables</c:v>
                </c:pt>
              </c:strCache>
            </c:strRef>
          </c:cat>
          <c:val>
            <c:numRef>
              <c:f>'Sale(s-c)'!$Y$5:$Y$20</c:f>
              <c:numCache>
                <c:formatCode>General</c:formatCode>
                <c:ptCount val="15"/>
                <c:pt idx="10">
                  <c:v>75.88</c:v>
                </c:pt>
              </c:numCache>
            </c:numRef>
          </c:val>
          <c:extLst>
            <c:ext xmlns:c16="http://schemas.microsoft.com/office/drawing/2014/chart" uri="{C3380CC4-5D6E-409C-BE32-E72D297353CC}">
              <c16:uniqueId val="{0000007F-8243-4FC6-93F9-4DC9D3336A5B}"/>
            </c:ext>
          </c:extLst>
        </c:ser>
        <c:ser>
          <c:idx val="24"/>
          <c:order val="24"/>
          <c:tx>
            <c:strRef>
              <c:f>'Sale(s-c)'!$Z$3:$Z$4</c:f>
              <c:strCache>
                <c:ptCount val="1"/>
                <c:pt idx="0">
                  <c:v>Washington</c:v>
                </c:pt>
              </c:strCache>
            </c:strRef>
          </c:tx>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'Sale(s-c)'!$A$5:$A$20</c:f>
              <c:strCache>
                <c:ptCount val="15"/>
                <c:pt idx="0">
                  <c:v>Accessories</c:v>
                </c:pt>
                <c:pt idx="1">
                  <c:v>Appliances</c:v>
                </c:pt>
                <c:pt idx="2">
                  <c:v>Art</c:v>
                </c:pt>
                <c:pt idx="3">
                  <c:v>Binders</c:v>
                </c:pt>
                <c:pt idx="4">
                  <c:v>Bookcases</c:v>
                </c:pt>
                <c:pt idx="5">
                  <c:v>Chairs</c:v>
                </c:pt>
                <c:pt idx="6">
                  <c:v>Envelopes</c:v>
                </c:pt>
                <c:pt idx="7">
                  <c:v>Fasteners</c:v>
                </c:pt>
                <c:pt idx="8">
                  <c:v>Furnishings</c:v>
                </c:pt>
                <c:pt idx="9">
                  <c:v>Labels</c:v>
                </c:pt>
                <c:pt idx="10">
                  <c:v>Paper</c:v>
                </c:pt>
                <c:pt idx="11">
                  <c:v>Phones</c:v>
                </c:pt>
                <c:pt idx="12">
                  <c:v>Storage</c:v>
                </c:pt>
                <c:pt idx="13">
                  <c:v>Supplies</c:v>
                </c:pt>
                <c:pt idx="14">
                  <c:v>Tables</c:v>
                </c:pt>
              </c:strCache>
            </c:strRef>
          </c:cat>
          <c:val>
            <c:numRef>
              <c:f>'Sale(s-c)'!$Z$5:$Z$20</c:f>
              <c:numCache>
                <c:formatCode>General</c:formatCode>
                <c:ptCount val="15"/>
                <c:pt idx="3">
                  <c:v>407.976</c:v>
                </c:pt>
                <c:pt idx="14">
                  <c:v>787.53</c:v>
                </c:pt>
              </c:numCache>
            </c:numRef>
          </c:val>
          <c:extLst>
            <c:ext xmlns:c16="http://schemas.microsoft.com/office/drawing/2014/chart" uri="{C3380CC4-5D6E-409C-BE32-E72D297353CC}">
              <c16:uniqueId val="{00000080-8243-4FC6-93F9-4DC9D3336A5B}"/>
            </c:ext>
          </c:extLst>
        </c:ser>
        <c:ser>
          <c:idx val="25"/>
          <c:order val="25"/>
          <c:tx>
            <c:strRef>
              <c:f>'Sale(s-c)'!$AA$3:$AA$4</c:f>
              <c:strCache>
                <c:ptCount val="1"/>
                <c:pt idx="0">
                  <c:v>Wisconsin</c:v>
                </c:pt>
              </c:strCache>
            </c:strRef>
          </c:tx>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'Sale(s-c)'!$A$5:$A$20</c:f>
              <c:strCache>
                <c:ptCount val="15"/>
                <c:pt idx="0">
                  <c:v>Accessories</c:v>
                </c:pt>
                <c:pt idx="1">
                  <c:v>Appliances</c:v>
                </c:pt>
                <c:pt idx="2">
                  <c:v>Art</c:v>
                </c:pt>
                <c:pt idx="3">
                  <c:v>Binders</c:v>
                </c:pt>
                <c:pt idx="4">
                  <c:v>Bookcases</c:v>
                </c:pt>
                <c:pt idx="5">
                  <c:v>Chairs</c:v>
                </c:pt>
                <c:pt idx="6">
                  <c:v>Envelopes</c:v>
                </c:pt>
                <c:pt idx="7">
                  <c:v>Fasteners</c:v>
                </c:pt>
                <c:pt idx="8">
                  <c:v>Furnishings</c:v>
                </c:pt>
                <c:pt idx="9">
                  <c:v>Labels</c:v>
                </c:pt>
                <c:pt idx="10">
                  <c:v>Paper</c:v>
                </c:pt>
                <c:pt idx="11">
                  <c:v>Phones</c:v>
                </c:pt>
                <c:pt idx="12">
                  <c:v>Storage</c:v>
                </c:pt>
                <c:pt idx="13">
                  <c:v>Supplies</c:v>
                </c:pt>
                <c:pt idx="14">
                  <c:v>Tables</c:v>
                </c:pt>
              </c:strCache>
            </c:strRef>
          </c:cat>
          <c:val>
            <c:numRef>
              <c:f>'Sale(s-c)'!$AA$5:$AA$20</c:f>
              <c:numCache>
                <c:formatCode>General</c:formatCode>
                <c:ptCount val="15"/>
                <c:pt idx="11">
                  <c:v>534.41999999999996</c:v>
                </c:pt>
                <c:pt idx="12">
                  <c:v>665.88</c:v>
                </c:pt>
              </c:numCache>
            </c:numRef>
          </c:val>
          <c:extLst>
            <c:ext xmlns:c16="http://schemas.microsoft.com/office/drawing/2014/chart" uri="{C3380CC4-5D6E-409C-BE32-E72D297353CC}">
              <c16:uniqueId val="{00000081-8243-4FC6-93F9-4DC9D3336A5B}"/>
            </c:ext>
          </c:extLst>
        </c:ser>
        <c:dLbls>
          <c:showLegendKey val="0"/>
          <c:showVal val="0"/>
          <c:showCatName val="0"/>
          <c:showSerName val="0"/>
          <c:showPercent val="0"/>
          <c:showBubbleSize val="0"/>
        </c:dLbls>
        <c:gapWidth val="150"/>
        <c:overlap val="100"/>
        <c:axId val="851995168"/>
        <c:axId val="851996000"/>
      </c:barChart>
      <c:catAx>
        <c:axId val="8519951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1996000"/>
        <c:crosses val="autoZero"/>
        <c:auto val="1"/>
        <c:lblAlgn val="ctr"/>
        <c:lblOffset val="100"/>
        <c:noMultiLvlLbl val="0"/>
      </c:catAx>
      <c:valAx>
        <c:axId val="85199600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1995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14</xdr:col>
      <xdr:colOff>381000</xdr:colOff>
      <xdr:row>20</xdr:row>
      <xdr:rowOff>114300</xdr:rowOff>
    </xdr:from>
    <xdr:to>
      <xdr:col>17</xdr:col>
      <xdr:colOff>22969</xdr:colOff>
      <xdr:row>38</xdr:row>
      <xdr:rowOff>76200</xdr:rowOff>
    </xdr:to>
    <mc:AlternateContent xmlns:mc="http://schemas.openxmlformats.org/markup-compatibility/2006" xmlns:a14="http://schemas.microsoft.com/office/drawing/2010/main">
      <mc:Choice Requires="a14">
        <xdr:graphicFrame macro="">
          <xdr:nvGraphicFramePr>
            <xdr:cNvPr id="3" name="State">
              <a:extLst>
                <a:ext uri="{FF2B5EF4-FFF2-40B4-BE49-F238E27FC236}">
                  <a16:creationId xmlns:a16="http://schemas.microsoft.com/office/drawing/2014/main" id="{7E9E37AB-D2DA-4ED9-AB38-5F31F81D7D41}"/>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9250734" y="3762172"/>
              <a:ext cx="1823937" cy="32449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81739</xdr:colOff>
      <xdr:row>20</xdr:row>
      <xdr:rowOff>63905</xdr:rowOff>
    </xdr:from>
    <xdr:to>
      <xdr:col>13</xdr:col>
      <xdr:colOff>513404</xdr:colOff>
      <xdr:row>38</xdr:row>
      <xdr:rowOff>101330</xdr:rowOff>
    </xdr:to>
    <xdr:graphicFrame macro="">
      <xdr:nvGraphicFramePr>
        <xdr:cNvPr id="4" name="Chart 3">
          <a:extLst>
            <a:ext uri="{FF2B5EF4-FFF2-40B4-BE49-F238E27FC236}">
              <a16:creationId xmlns:a16="http://schemas.microsoft.com/office/drawing/2014/main" id="{FB84E578-A5FE-4426-AF9B-24ACB3E4D5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527050</xdr:colOff>
      <xdr:row>2</xdr:row>
      <xdr:rowOff>57150</xdr:rowOff>
    </xdr:from>
    <xdr:to>
      <xdr:col>10</xdr:col>
      <xdr:colOff>222250</xdr:colOff>
      <xdr:row>18</xdr:row>
      <xdr:rowOff>146050</xdr:rowOff>
    </xdr:to>
    <xdr:graphicFrame macro="">
      <xdr:nvGraphicFramePr>
        <xdr:cNvPr id="2" name="Chart 1">
          <a:extLst>
            <a:ext uri="{FF2B5EF4-FFF2-40B4-BE49-F238E27FC236}">
              <a16:creationId xmlns:a16="http://schemas.microsoft.com/office/drawing/2014/main" id="{4E5AB4FD-047E-450C-BE47-8FD956D5BC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266700</xdr:colOff>
      <xdr:row>2</xdr:row>
      <xdr:rowOff>63500</xdr:rowOff>
    </xdr:from>
    <xdr:to>
      <xdr:col>9</xdr:col>
      <xdr:colOff>571500</xdr:colOff>
      <xdr:row>18</xdr:row>
      <xdr:rowOff>165100</xdr:rowOff>
    </xdr:to>
    <xdr:graphicFrame macro="">
      <xdr:nvGraphicFramePr>
        <xdr:cNvPr id="2" name="Chart 1">
          <a:extLst>
            <a:ext uri="{FF2B5EF4-FFF2-40B4-BE49-F238E27FC236}">
              <a16:creationId xmlns:a16="http://schemas.microsoft.com/office/drawing/2014/main" id="{96A7FABC-2418-4F6E-80DD-B3536E98E9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25400</xdr:colOff>
      <xdr:row>2</xdr:row>
      <xdr:rowOff>95250</xdr:rowOff>
    </xdr:from>
    <xdr:to>
      <xdr:col>13</xdr:col>
      <xdr:colOff>25400</xdr:colOff>
      <xdr:row>18</xdr:row>
      <xdr:rowOff>165100</xdr:rowOff>
    </xdr:to>
    <mc:AlternateContent xmlns:mc="http://schemas.openxmlformats.org/markup-compatibility/2006" xmlns:a14="http://schemas.microsoft.com/office/drawing/2010/main">
      <mc:Choice Requires="a14">
        <xdr:graphicFrame macro="">
          <xdr:nvGraphicFramePr>
            <xdr:cNvPr id="3" name="Sub-Category">
              <a:extLst>
                <a:ext uri="{FF2B5EF4-FFF2-40B4-BE49-F238E27FC236}">
                  <a16:creationId xmlns:a16="http://schemas.microsoft.com/office/drawing/2014/main" id="{1E390EBC-7A78-4C35-8457-F2753C56D5C0}"/>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6705600" y="463550"/>
              <a:ext cx="1828800" cy="3016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146050</xdr:colOff>
      <xdr:row>0</xdr:row>
      <xdr:rowOff>6350</xdr:rowOff>
    </xdr:from>
    <xdr:to>
      <xdr:col>10</xdr:col>
      <xdr:colOff>558800</xdr:colOff>
      <xdr:row>19</xdr:row>
      <xdr:rowOff>0</xdr:rowOff>
    </xdr:to>
    <xdr:graphicFrame macro="">
      <xdr:nvGraphicFramePr>
        <xdr:cNvPr id="2" name="Chart 1">
          <a:extLst>
            <a:ext uri="{FF2B5EF4-FFF2-40B4-BE49-F238E27FC236}">
              <a16:creationId xmlns:a16="http://schemas.microsoft.com/office/drawing/2014/main" id="{AEAA2469-F9EA-4F93-8432-79F4F7DF75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571500</xdr:colOff>
      <xdr:row>6</xdr:row>
      <xdr:rowOff>171450</xdr:rowOff>
    </xdr:from>
    <xdr:to>
      <xdr:col>16</xdr:col>
      <xdr:colOff>222250</xdr:colOff>
      <xdr:row>18</xdr:row>
      <xdr:rowOff>180975</xdr:rowOff>
    </xdr:to>
    <mc:AlternateContent xmlns:mc="http://schemas.openxmlformats.org/markup-compatibility/2006" xmlns:a14="http://schemas.microsoft.com/office/drawing/2010/main">
      <mc:Choice Requires="a14">
        <xdr:graphicFrame macro="">
          <xdr:nvGraphicFramePr>
            <xdr:cNvPr id="3" name="Month">
              <a:extLst>
                <a:ext uri="{FF2B5EF4-FFF2-40B4-BE49-F238E27FC236}">
                  <a16:creationId xmlns:a16="http://schemas.microsoft.com/office/drawing/2014/main" id="{B34C350A-16DC-465C-911C-ED12A60657C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7200900" y="1276350"/>
              <a:ext cx="3308350" cy="2219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577850</xdr:colOff>
      <xdr:row>0</xdr:row>
      <xdr:rowOff>0</xdr:rowOff>
    </xdr:from>
    <xdr:to>
      <xdr:col>16</xdr:col>
      <xdr:colOff>254000</xdr:colOff>
      <xdr:row>6</xdr:row>
      <xdr:rowOff>139700</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3E7003F2-7AB6-43BA-A031-FA21F5C1ABC3}"/>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7207250" y="0"/>
              <a:ext cx="3333750" cy="1244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19</xdr:col>
      <xdr:colOff>20158</xdr:colOff>
      <xdr:row>0</xdr:row>
      <xdr:rowOff>0</xdr:rowOff>
    </xdr:from>
    <xdr:to>
      <xdr:col>21</xdr:col>
      <xdr:colOff>564443</xdr:colOff>
      <xdr:row>17</xdr:row>
      <xdr:rowOff>0</xdr:rowOff>
    </xdr:to>
    <mc:AlternateContent xmlns:mc="http://schemas.openxmlformats.org/markup-compatibility/2006" xmlns:a14="http://schemas.microsoft.com/office/drawing/2010/main">
      <mc:Choice Requires="a14">
        <xdr:graphicFrame macro="">
          <xdr:nvGraphicFramePr>
            <xdr:cNvPr id="3" name="State 1">
              <a:extLst>
                <a:ext uri="{FF2B5EF4-FFF2-40B4-BE49-F238E27FC236}">
                  <a16:creationId xmlns:a16="http://schemas.microsoft.com/office/drawing/2014/main" id="{E576897D-3B93-4967-8CC6-7DE1AF172318}"/>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1646431" y="0"/>
              <a:ext cx="1768103" cy="31403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16</xdr:row>
      <xdr:rowOff>165100</xdr:rowOff>
    </xdr:from>
    <xdr:to>
      <xdr:col>9</xdr:col>
      <xdr:colOff>19050</xdr:colOff>
      <xdr:row>35</xdr:row>
      <xdr:rowOff>161270</xdr:rowOff>
    </xdr:to>
    <xdr:graphicFrame macro="">
      <xdr:nvGraphicFramePr>
        <xdr:cNvPr id="4" name="Chart 3">
          <a:extLst>
            <a:ext uri="{FF2B5EF4-FFF2-40B4-BE49-F238E27FC236}">
              <a16:creationId xmlns:a16="http://schemas.microsoft.com/office/drawing/2014/main" id="{B4F34F65-83FB-4AD1-92ED-53F43F8A32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372433</xdr:colOff>
      <xdr:row>0</xdr:row>
      <xdr:rowOff>0</xdr:rowOff>
    </xdr:from>
    <xdr:to>
      <xdr:col>19</xdr:col>
      <xdr:colOff>0</xdr:colOff>
      <xdr:row>16</xdr:row>
      <xdr:rowOff>177800</xdr:rowOff>
    </xdr:to>
    <xdr:graphicFrame macro="">
      <xdr:nvGraphicFramePr>
        <xdr:cNvPr id="5" name="Chart 4">
          <a:extLst>
            <a:ext uri="{FF2B5EF4-FFF2-40B4-BE49-F238E27FC236}">
              <a16:creationId xmlns:a16="http://schemas.microsoft.com/office/drawing/2014/main" id="{9AA472C9-6656-4147-8006-877682D4A1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21</xdr:col>
      <xdr:colOff>584603</xdr:colOff>
      <xdr:row>0</xdr:row>
      <xdr:rowOff>0</xdr:rowOff>
    </xdr:from>
    <xdr:to>
      <xdr:col>24</xdr:col>
      <xdr:colOff>551946</xdr:colOff>
      <xdr:row>17</xdr:row>
      <xdr:rowOff>12700</xdr:rowOff>
    </xdr:to>
    <mc:AlternateContent xmlns:mc="http://schemas.openxmlformats.org/markup-compatibility/2006" xmlns:a14="http://schemas.microsoft.com/office/drawing/2010/main">
      <mc:Choice Requires="a14">
        <xdr:graphicFrame macro="">
          <xdr:nvGraphicFramePr>
            <xdr:cNvPr id="6" name="Sub-Category 1">
              <a:extLst>
                <a:ext uri="{FF2B5EF4-FFF2-40B4-BE49-F238E27FC236}">
                  <a16:creationId xmlns:a16="http://schemas.microsoft.com/office/drawing/2014/main" id="{50D5F106-B34B-47EC-B4AF-737F34AC15A3}"/>
                </a:ext>
              </a:extLst>
            </xdr:cNvPr>
            <xdr:cNvGraphicFramePr/>
          </xdr:nvGraphicFramePr>
          <xdr:xfrm>
            <a:off x="0" y="0"/>
            <a:ext cx="0" cy="0"/>
          </xdr:xfrm>
          <a:graphic>
            <a:graphicData uri="http://schemas.microsoft.com/office/drawing/2010/slicer">
              <sle:slicer xmlns:sle="http://schemas.microsoft.com/office/drawing/2010/slicer" name="Sub-Category 1"/>
            </a:graphicData>
          </a:graphic>
        </xdr:graphicFrame>
      </mc:Choice>
      <mc:Fallback xmlns="">
        <xdr:sp macro="" textlink="">
          <xdr:nvSpPr>
            <xdr:cNvPr id="0" name=""/>
            <xdr:cNvSpPr>
              <a:spLocks noTextEdit="1"/>
            </xdr:cNvSpPr>
          </xdr:nvSpPr>
          <xdr:spPr>
            <a:xfrm>
              <a:off x="13434694" y="0"/>
              <a:ext cx="1803070" cy="31530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12700</xdr:colOff>
      <xdr:row>16</xdr:row>
      <xdr:rowOff>165100</xdr:rowOff>
    </xdr:from>
    <xdr:to>
      <xdr:col>19</xdr:col>
      <xdr:colOff>25400</xdr:colOff>
      <xdr:row>35</xdr:row>
      <xdr:rowOff>171349</xdr:rowOff>
    </xdr:to>
    <xdr:graphicFrame macro="">
      <xdr:nvGraphicFramePr>
        <xdr:cNvPr id="7" name="Chart 6">
          <a:extLst>
            <a:ext uri="{FF2B5EF4-FFF2-40B4-BE49-F238E27FC236}">
              <a16:creationId xmlns:a16="http://schemas.microsoft.com/office/drawing/2014/main" id="{13A20E1D-05C8-41A2-B46D-101CD85F7A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19</xdr:col>
      <xdr:colOff>19049</xdr:colOff>
      <xdr:row>23</xdr:row>
      <xdr:rowOff>149377</xdr:rowOff>
    </xdr:from>
    <xdr:to>
      <xdr:col>24</xdr:col>
      <xdr:colOff>554364</xdr:colOff>
      <xdr:row>36</xdr:row>
      <xdr:rowOff>10080</xdr:rowOff>
    </xdr:to>
    <mc:AlternateContent xmlns:mc="http://schemas.openxmlformats.org/markup-compatibility/2006" xmlns:a14="http://schemas.microsoft.com/office/drawing/2010/main">
      <mc:Choice Requires="a14">
        <xdr:graphicFrame macro="">
          <xdr:nvGraphicFramePr>
            <xdr:cNvPr id="10" name="Month 1">
              <a:extLst>
                <a:ext uri="{FF2B5EF4-FFF2-40B4-BE49-F238E27FC236}">
                  <a16:creationId xmlns:a16="http://schemas.microsoft.com/office/drawing/2014/main" id="{422DBF6F-64A1-437A-9240-F33ABFC0C159}"/>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1645322" y="4398104"/>
              <a:ext cx="3594860" cy="22621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31749</xdr:colOff>
      <xdr:row>17</xdr:row>
      <xdr:rowOff>0</xdr:rowOff>
    </xdr:from>
    <xdr:to>
      <xdr:col>24</xdr:col>
      <xdr:colOff>544284</xdr:colOff>
      <xdr:row>23</xdr:row>
      <xdr:rowOff>151191</xdr:rowOff>
    </xdr:to>
    <mc:AlternateContent xmlns:mc="http://schemas.openxmlformats.org/markup-compatibility/2006" xmlns:tsle="http://schemas.microsoft.com/office/drawing/2012/timeslicer">
      <mc:Choice Requires="tsle">
        <xdr:graphicFrame macro="">
          <xdr:nvGraphicFramePr>
            <xdr:cNvPr id="11" name="Order Date 1">
              <a:extLst>
                <a:ext uri="{FF2B5EF4-FFF2-40B4-BE49-F238E27FC236}">
                  <a16:creationId xmlns:a16="http://schemas.microsoft.com/office/drawing/2014/main" id="{4EB2E420-990B-488F-942D-56EE2518ED6B}"/>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1522226" y="3084286"/>
              <a:ext cx="3334960" cy="116477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0</xdr:colOff>
      <xdr:row>0</xdr:row>
      <xdr:rowOff>0</xdr:rowOff>
    </xdr:from>
    <xdr:to>
      <xdr:col>11</xdr:col>
      <xdr:colOff>388469</xdr:colOff>
      <xdr:row>16</xdr:row>
      <xdr:rowOff>171824</xdr:rowOff>
    </xdr:to>
    <xdr:graphicFrame macro="">
      <xdr:nvGraphicFramePr>
        <xdr:cNvPr id="12" name="Chart 11">
          <a:extLst>
            <a:ext uri="{FF2B5EF4-FFF2-40B4-BE49-F238E27FC236}">
              <a16:creationId xmlns:a16="http://schemas.microsoft.com/office/drawing/2014/main" id="{69ADD80F-E67C-4220-8854-2A160FEE14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i landge" refreshedDate="45994.467564699073" createdVersion="7" refreshedVersion="7" minRefreshableVersion="3" recordCount="149" xr:uid="{E718E462-C209-4FC5-80D1-3AA8B4A10737}">
  <cacheSource type="worksheet">
    <worksheetSource ref="A1:J150" sheet="Sample - Superstore"/>
  </cacheSource>
  <cacheFields count="10">
    <cacheField name="Order Date" numFmtId="0">
      <sharedItems containsSemiMixedTypes="0" containsNonDate="0" containsDate="1" containsString="0" minDate="2014-05-12T00:00:00" maxDate="2019-11-14T00:00:00" count="70">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6-20T00:00:00"/>
        <d v="2016-11-12T00:00:00"/>
        <d v="2016-06-17T00:00:00"/>
        <d v="2015-11-24T00:00:00"/>
        <d v="2015-04-30T00:00:00"/>
        <d v="2014-05-12T00:00:00"/>
        <d v="2016-04-06T00:00:00"/>
        <d v="2016-08-18T00:00:00"/>
        <d v="2017-09-14T00:00:00"/>
        <d v="2015-04-26T00:00:00"/>
        <d v="2017-09-12T00:00:00"/>
        <d v="2014-11-1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6-11-13T00:00:00"/>
        <d v="2018-11-13T00:00:00"/>
        <d v="2019-11-13T00:00:00"/>
        <d v="2015-10-15T00:00:00"/>
        <d v="2017-12-25T00:00:00"/>
        <d v="2016-03-11T00:00:00"/>
        <d v="2014-08-25T00:00:00"/>
        <d v="2015-02-03T00:00:00"/>
        <d v="2015-05-04T00:00:00"/>
        <d v="2014-12-26T00:00:00"/>
        <d v="2014-09-20T00:00:00"/>
        <d v="2017-05-11T00:00:00"/>
        <d v="2016-06-11T00:00:00"/>
        <d v="2017-02-02T00:00:00"/>
        <d v="2016-10-13T00:00:00"/>
        <d v="2017-09-18T00:00:00"/>
        <d v="2017-12-22T00:00:00"/>
        <d v="2015-07-09T00:00:00"/>
        <d v="2014-10-22T00:00:00"/>
      </sharedItems>
    </cacheField>
    <cacheField name="Customer Name" numFmtId="0">
      <sharedItems/>
    </cacheField>
    <cacheField name="City" numFmtId="0">
      <sharedItems/>
    </cacheField>
    <cacheField name="State" numFmtId="0">
      <sharedItems count="26">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haredItems>
    </cacheField>
    <cacheField name="Sub-Category" numFmtId="0">
      <sharedItems count="15">
        <s v="Bookcases"/>
        <s v="Chairs"/>
        <s v="Labels"/>
        <s v="Tables"/>
        <s v="Storage"/>
        <s v="Furnishings"/>
        <s v="Art"/>
        <s v="Phones"/>
        <s v="Binders"/>
        <s v="Appliances"/>
        <s v="Paper"/>
        <s v="Accessories"/>
        <s v="Envelopes"/>
        <s v="Fasteners"/>
        <s v="Supplies"/>
      </sharedItems>
    </cacheField>
    <cacheField name="Product Name" numFmtId="0">
      <sharedItems/>
    </cacheField>
    <cacheField name="Sales" numFmtId="0">
      <sharedItems containsSemiMixedTypes="0" containsString="0" containsNumber="1" minValue="1.248" maxValue="3083.43"/>
    </cacheField>
    <cacheField name="Quantity" numFmtId="0">
      <sharedItems containsSemiMixedTypes="0" containsString="0" containsNumber="1" containsInteger="1" minValue="1" maxValue="14"/>
    </cacheField>
    <cacheField name="Profit" numFmtId="0">
      <sharedItems containsSemiMixedTypes="0" containsString="0" containsNumber="1" minValue="-1665.0522000000001" maxValue="298.68549999999999"/>
    </cacheField>
    <cacheField name="Month" numFmtId="0">
      <sharedItems count="12">
        <s v="Aug"/>
        <s v="Dec"/>
        <s v="Nov"/>
        <s v="Sep"/>
        <s v="Apr"/>
        <s v="May"/>
        <s v="Jul"/>
        <s v="Jan"/>
        <s v="Oct"/>
        <s v="Jun"/>
        <s v="Mar"/>
        <s v="Feb"/>
      </sharedItems>
    </cacheField>
  </cacheFields>
  <extLst>
    <ext xmlns:x14="http://schemas.microsoft.com/office/spreadsheetml/2009/9/main" uri="{725AE2AE-9491-48be-B2B4-4EB974FC3084}">
      <x14:pivotCacheDefinition pivotCacheId="9394508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
  <r>
    <x v="0"/>
    <s v="Claire Gute"/>
    <s v="Henderson"/>
    <x v="0"/>
    <x v="0"/>
    <s v="Bush Somerset Collection Bookcase"/>
    <n v="261.95999999999998"/>
    <n v="2"/>
    <n v="41.913600000000002"/>
    <x v="0"/>
  </r>
  <r>
    <x v="0"/>
    <s v="Claire Gute"/>
    <s v="Henderson"/>
    <x v="0"/>
    <x v="1"/>
    <s v="Hon Deluxe Fabric Upholstered Stacking Chairs, Rounded Back"/>
    <n v="731.94"/>
    <n v="3"/>
    <n v="219.58199999999999"/>
    <x v="0"/>
  </r>
  <r>
    <x v="1"/>
    <s v="Darrin Van Huff"/>
    <s v="Los Angeles"/>
    <x v="1"/>
    <x v="2"/>
    <s v="Self-Adhesive Address Labels for Typewriters by Universal"/>
    <n v="14.62"/>
    <n v="2"/>
    <n v="6.8714000000000004"/>
    <x v="1"/>
  </r>
  <r>
    <x v="2"/>
    <s v="Sean O'Donnell"/>
    <s v="Fort Lauderdale"/>
    <x v="2"/>
    <x v="3"/>
    <s v="Bretford CR4500 Series Slim Rectangular Table"/>
    <n v="957.57749999999999"/>
    <n v="5"/>
    <n v="-383.03100000000001"/>
    <x v="2"/>
  </r>
  <r>
    <x v="2"/>
    <s v="Sean O'Donnell"/>
    <s v="Fort Lauderdale"/>
    <x v="2"/>
    <x v="4"/>
    <s v="Eldon Fold 'N Roll Cart System"/>
    <n v="22.367999999999999"/>
    <n v="2"/>
    <n v="2.5164"/>
    <x v="2"/>
  </r>
  <r>
    <x v="3"/>
    <s v="Brosina Hoffman"/>
    <s v="Los Angeles"/>
    <x v="1"/>
    <x v="5"/>
    <s v="Eldon Expressions Wood and Plastic Desk Accessories, Cherry Wood"/>
    <n v="48.86"/>
    <n v="7"/>
    <n v="14.1694"/>
    <x v="3"/>
  </r>
  <r>
    <x v="3"/>
    <s v="Brosina Hoffman"/>
    <s v="Los Angeles"/>
    <x v="1"/>
    <x v="6"/>
    <s v="Newell 322"/>
    <n v="7.28"/>
    <n v="4"/>
    <n v="1.9656"/>
    <x v="3"/>
  </r>
  <r>
    <x v="3"/>
    <s v="Brosina Hoffman"/>
    <s v="Los Angeles"/>
    <x v="1"/>
    <x v="7"/>
    <s v="Mitel 5320 IP Phone VoIP phone"/>
    <n v="907.15200000000004"/>
    <n v="6"/>
    <n v="90.715199999999996"/>
    <x v="3"/>
  </r>
  <r>
    <x v="3"/>
    <s v="Brosina Hoffman"/>
    <s v="Los Angeles"/>
    <x v="1"/>
    <x v="8"/>
    <s v="DXL Angle-View Binders with Locking Rings by Samsill"/>
    <n v="18.504000000000001"/>
    <n v="3"/>
    <n v="5.7824999999999998"/>
    <x v="3"/>
  </r>
  <r>
    <x v="3"/>
    <s v="Brosina Hoffman"/>
    <s v="Los Angeles"/>
    <x v="1"/>
    <x v="9"/>
    <s v="Belkin F5C206VTEL 6 Outlet Surge"/>
    <n v="114.9"/>
    <n v="5"/>
    <n v="34.47"/>
    <x v="3"/>
  </r>
  <r>
    <x v="3"/>
    <s v="Brosina Hoffman"/>
    <s v="Los Angeles"/>
    <x v="1"/>
    <x v="3"/>
    <s v="Chromcraft Rectangular Conference Tables"/>
    <n v="1706.184"/>
    <n v="9"/>
    <n v="85.309200000000004"/>
    <x v="3"/>
  </r>
  <r>
    <x v="3"/>
    <s v="Brosina Hoffman"/>
    <s v="Los Angeles"/>
    <x v="1"/>
    <x v="7"/>
    <s v="Konftel 250 Conference phone - Charcoal black"/>
    <n v="911.42399999999998"/>
    <n v="4"/>
    <n v="68.356800000000007"/>
    <x v="3"/>
  </r>
  <r>
    <x v="4"/>
    <s v="Andrew Allen"/>
    <s v="Concord"/>
    <x v="3"/>
    <x v="10"/>
    <s v="Xerox 1967"/>
    <n v="15.552"/>
    <n v="3"/>
    <n v="5.4432"/>
    <x v="4"/>
  </r>
  <r>
    <x v="5"/>
    <s v="Irene Maddox"/>
    <s v="Seattle"/>
    <x v="4"/>
    <x v="8"/>
    <s v="Fellowes PB200 Plastic Comb Binding Machine"/>
    <n v="407.976"/>
    <n v="3"/>
    <n v="132.59219999999999"/>
    <x v="5"/>
  </r>
  <r>
    <x v="6"/>
    <s v="Harold Pawlan"/>
    <s v="Fort Worth"/>
    <x v="5"/>
    <x v="9"/>
    <s v="Holmes Replacement Filter for HEPA Air Cleaner, Very Large Room, HEPA Filter"/>
    <n v="68.81"/>
    <n v="5"/>
    <n v="-123.858"/>
    <x v="2"/>
  </r>
  <r>
    <x v="6"/>
    <s v="Harold Pawlan"/>
    <s v="Fort Worth"/>
    <x v="5"/>
    <x v="8"/>
    <s v="Storex DuraTech Recycled Plastic Frosted Binders"/>
    <n v="2.544"/>
    <n v="3"/>
    <n v="-3.8159999999999998"/>
    <x v="2"/>
  </r>
  <r>
    <x v="7"/>
    <s v="Pete Kriz"/>
    <s v="Madison"/>
    <x v="6"/>
    <x v="4"/>
    <s v="Stur-D-Stor Shelving, Vertical 5-Shelf: 72&quot;H x 36&quot;W x 18 1/2&quot;D"/>
    <n v="665.88"/>
    <n v="6"/>
    <n v="13.317600000000001"/>
    <x v="2"/>
  </r>
  <r>
    <x v="8"/>
    <s v="Alejandro Grove"/>
    <s v="West Jordan"/>
    <x v="7"/>
    <x v="4"/>
    <s v="Fellowes Super Stor/Drawer"/>
    <n v="55.5"/>
    <n v="2"/>
    <n v="9.99"/>
    <x v="5"/>
  </r>
  <r>
    <x v="9"/>
    <s v="Zuschuss Donatelli"/>
    <s v="San Francisco"/>
    <x v="1"/>
    <x v="6"/>
    <s v="Newell 341"/>
    <n v="8.56"/>
    <n v="2"/>
    <n v="2.4824000000000002"/>
    <x v="0"/>
  </r>
  <r>
    <x v="9"/>
    <s v="Zuschuss Donatelli"/>
    <s v="San Francisco"/>
    <x v="1"/>
    <x v="7"/>
    <s v="Cisco SPA 501G IP Phone"/>
    <n v="213.48"/>
    <n v="3"/>
    <n v="16.010999999999999"/>
    <x v="0"/>
  </r>
  <r>
    <x v="9"/>
    <s v="Zuschuss Donatelli"/>
    <s v="San Francisco"/>
    <x v="1"/>
    <x v="8"/>
    <s v="Wilson Jones Hanging View Binder, White, 1&quot;"/>
    <n v="22.72"/>
    <n v="4"/>
    <n v="7.3840000000000003"/>
    <x v="0"/>
  </r>
  <r>
    <x v="10"/>
    <s v="Ken Black"/>
    <s v="Fremont"/>
    <x v="8"/>
    <x v="6"/>
    <s v="Newell 318"/>
    <n v="19.46"/>
    <n v="7"/>
    <n v="5.0595999999999997"/>
    <x v="3"/>
  </r>
  <r>
    <x v="9"/>
    <s v="Ken Black"/>
    <s v="Fremont"/>
    <x v="8"/>
    <x v="9"/>
    <s v="Acco Six-Outlet Power Strip, 4' Cord Length"/>
    <n v="60.34"/>
    <n v="7"/>
    <n v="15.6884"/>
    <x v="0"/>
  </r>
  <r>
    <x v="11"/>
    <s v="Sandra Flanagan"/>
    <s v="Philadelphia"/>
    <x v="9"/>
    <x v="1"/>
    <s v="Global Deluxe Stacking Chair, Gray"/>
    <n v="71.372"/>
    <n v="2"/>
    <n v="-1.0196000000000001"/>
    <x v="6"/>
  </r>
  <r>
    <x v="12"/>
    <s v="Emily Burns"/>
    <s v="Orem"/>
    <x v="7"/>
    <x v="3"/>
    <s v="Bretford CR4500 Series Slim Rectangular Table"/>
    <n v="1044.6300000000001"/>
    <n v="3"/>
    <n v="240.26490000000001"/>
    <x v="3"/>
  </r>
  <r>
    <x v="13"/>
    <s v="Eric Hoffmann"/>
    <s v="Los Angeles"/>
    <x v="1"/>
    <x v="8"/>
    <s v="Wilson Jones Active Use Binders"/>
    <n v="11.648"/>
    <n v="2"/>
    <n v="4.2224000000000004"/>
    <x v="7"/>
  </r>
  <r>
    <x v="13"/>
    <s v="Eric Hoffmann"/>
    <s v="Los Angeles"/>
    <x v="1"/>
    <x v="11"/>
    <s v="Imation 8GB Mini TravelDrive USB 2.0 Flash Drive"/>
    <n v="90.57"/>
    <n v="3"/>
    <n v="11.774100000000001"/>
    <x v="7"/>
  </r>
  <r>
    <x v="14"/>
    <s v="Tracy Blumstein"/>
    <s v="Philadelphia"/>
    <x v="9"/>
    <x v="0"/>
    <s v="Riverside Palais Royal Lawyers Bookcase, Royale Cherry Finish"/>
    <n v="3083.43"/>
    <n v="7"/>
    <n v="-1665.0522000000001"/>
    <x v="3"/>
  </r>
  <r>
    <x v="14"/>
    <s v="Tracy Blumstein"/>
    <s v="Philadelphia"/>
    <x v="9"/>
    <x v="8"/>
    <s v="Avery Recycled Flexi-View Covers for Binding Systems"/>
    <n v="9.6180000000000003"/>
    <n v="2"/>
    <n v="-7.0532000000000004"/>
    <x v="3"/>
  </r>
  <r>
    <x v="14"/>
    <s v="Tracy Blumstein"/>
    <s v="Philadelphia"/>
    <x v="9"/>
    <x v="5"/>
    <s v="Howard Miller 13-3/4&quot; Diameter Brushed Chrome Round Wall Clock"/>
    <n v="124.2"/>
    <n v="3"/>
    <n v="15.525"/>
    <x v="3"/>
  </r>
  <r>
    <x v="14"/>
    <s v="Tracy Blumstein"/>
    <s v="Philadelphia"/>
    <x v="9"/>
    <x v="12"/>
    <s v="Poly String Tie Envelopes"/>
    <n v="3.2639999999999998"/>
    <n v="2"/>
    <n v="1.1015999999999999"/>
    <x v="3"/>
  </r>
  <r>
    <x v="14"/>
    <s v="Tracy Blumstein"/>
    <s v="Philadelphia"/>
    <x v="9"/>
    <x v="6"/>
    <s v="BOSTON Model 1800 Electric Pencil Sharpeners, Putty/Woodgrain"/>
    <n v="86.304000000000002"/>
    <n v="6"/>
    <n v="9.7091999999999992"/>
    <x v="3"/>
  </r>
  <r>
    <x v="14"/>
    <s v="Tracy Blumstein"/>
    <s v="Philadelphia"/>
    <x v="9"/>
    <x v="8"/>
    <s v="Acco Pressboard Covers with Storage Hooks, 14 7/8&quot; x 11&quot;, Executive Red"/>
    <n v="6.8579999999999997"/>
    <n v="6"/>
    <n v="-5.7149999999999999"/>
    <x v="3"/>
  </r>
  <r>
    <x v="14"/>
    <s v="Tracy Blumstein"/>
    <s v="Philadelphia"/>
    <x v="9"/>
    <x v="6"/>
    <s v="Lumber Crayons"/>
    <n v="15.76"/>
    <n v="2"/>
    <n v="3.5459999999999998"/>
    <x v="3"/>
  </r>
  <r>
    <x v="15"/>
    <s v="Matt Abelman"/>
    <s v="Houston"/>
    <x v="5"/>
    <x v="10"/>
    <s v="Easy-staple paper"/>
    <n v="29.472000000000001"/>
    <n v="3"/>
    <n v="9.9467999999999996"/>
    <x v="8"/>
  </r>
  <r>
    <x v="16"/>
    <s v="Gene Hale"/>
    <s v="Richardson"/>
    <x v="5"/>
    <x v="7"/>
    <s v="GE 30524EE4"/>
    <n v="1097.5440000000001"/>
    <n v="7"/>
    <n v="123.47369999999999"/>
    <x v="0"/>
  </r>
  <r>
    <x v="16"/>
    <s v="Gene Hale"/>
    <s v="Richardson"/>
    <x v="5"/>
    <x v="5"/>
    <s v="Electrix Architect's Clamp-On Swing Arm Lamp, Black"/>
    <n v="190.92"/>
    <n v="5"/>
    <n v="-147.96299999999999"/>
    <x v="0"/>
  </r>
  <r>
    <x v="17"/>
    <s v="Steve Nguyen"/>
    <s v="Houston"/>
    <x v="5"/>
    <x v="12"/>
    <s v="#10-4 1/8&quot; x 9 1/2&quot; Premium Diagonal Seam Envelopes"/>
    <n v="113.328"/>
    <n v="9"/>
    <n v="35.414999999999999"/>
    <x v="1"/>
  </r>
  <r>
    <x v="17"/>
    <s v="Steve Nguyen"/>
    <s v="Houston"/>
    <x v="5"/>
    <x v="0"/>
    <s v="Atlantic Metals Mobile 3-Shelf Bookcases, Custom Colors"/>
    <n v="532.39919999999995"/>
    <n v="3"/>
    <n v="-46.976399999999998"/>
    <x v="1"/>
  </r>
  <r>
    <x v="17"/>
    <s v="Steve Nguyen"/>
    <s v="Houston"/>
    <x v="5"/>
    <x v="1"/>
    <s v="Global Fabric Manager's Chair, Dark Gray"/>
    <n v="212.05799999999999"/>
    <n v="3"/>
    <n v="-15.147"/>
    <x v="1"/>
  </r>
  <r>
    <x v="17"/>
    <s v="Steve Nguyen"/>
    <s v="Houston"/>
    <x v="5"/>
    <x v="7"/>
    <s v="Plantronics HL10 Handset Lifter"/>
    <n v="371.16800000000001"/>
    <n v="4"/>
    <n v="41.756399999999999"/>
    <x v="1"/>
  </r>
  <r>
    <x v="18"/>
    <s v="Linda Cazamias"/>
    <s v="Naperville"/>
    <x v="10"/>
    <x v="7"/>
    <s v="Panasonic Kx-TS550"/>
    <n v="147.16800000000001"/>
    <n v="4"/>
    <n v="16.5564"/>
    <x v="8"/>
  </r>
  <r>
    <x v="19"/>
    <s v="Ruben Ausman"/>
    <s v="Los Angeles"/>
    <x v="1"/>
    <x v="4"/>
    <s v="Eldon Base for stackable storage shelf, platinum"/>
    <n v="77.88"/>
    <n v="2"/>
    <n v="3.8940000000000001"/>
    <x v="6"/>
  </r>
  <r>
    <x v="20"/>
    <s v="Erin Smith"/>
    <s v="Melbourne"/>
    <x v="2"/>
    <x v="4"/>
    <s v="Advantus 10-Drawer Portable Organizer, Chrome Metal Frame, Smoke Drawers"/>
    <n v="95.616"/>
    <n v="2"/>
    <n v="9.5616000000000003"/>
    <x v="3"/>
  </r>
  <r>
    <x v="21"/>
    <s v="Odella Nelson"/>
    <s v="Eagan"/>
    <x v="11"/>
    <x v="11"/>
    <s v="Verbatim 25 GB 6x Blu-ray Single Layer Recordable Disc, 25/Pack"/>
    <n v="45.98"/>
    <n v="2"/>
    <n v="19.7714"/>
    <x v="2"/>
  </r>
  <r>
    <x v="21"/>
    <s v="Odella Nelson"/>
    <s v="Eagan"/>
    <x v="11"/>
    <x v="8"/>
    <s v="Wilson Jones Leather-Like Binders with DublLock Round Rings"/>
    <n v="17.46"/>
    <n v="2"/>
    <n v="8.2062000000000008"/>
    <x v="2"/>
  </r>
  <r>
    <x v="22"/>
    <s v="Patrick O'Donnell"/>
    <s v="Westland"/>
    <x v="12"/>
    <x v="4"/>
    <s v="Gould Plastics 9-Pocket Panel Bin, 18-3/8w x 5-1/4d x 20-1/2h, Black"/>
    <n v="211.96"/>
    <n v="4"/>
    <n v="8.4784000000000006"/>
    <x v="8"/>
  </r>
  <r>
    <x v="23"/>
    <s v="Lena Hernandez"/>
    <s v="Dover"/>
    <x v="13"/>
    <x v="11"/>
    <s v="Imation 8gb Micro Traveldrive Usb 2.0 Flash Drive"/>
    <n v="45"/>
    <n v="3"/>
    <n v="4.95"/>
    <x v="9"/>
  </r>
  <r>
    <x v="23"/>
    <s v="Lena Hernandez"/>
    <s v="Dover"/>
    <x v="13"/>
    <x v="7"/>
    <s v="LF Elite 3D Dazzle Designer Hard Case Cover, Lf Stylus Pen and Wiper For Apple Iphone 5c Mini Lite"/>
    <n v="21.8"/>
    <n v="2"/>
    <n v="6.1040000000000001"/>
    <x v="9"/>
  </r>
  <r>
    <x v="24"/>
    <s v="Darren Powers"/>
    <s v="New Albany"/>
    <x v="14"/>
    <x v="8"/>
    <s v="C-Line Peel &amp; Stick Add-On Filing Pockets, 8-3/4 x 5-1/8, 10/Pack"/>
    <n v="38.22"/>
    <n v="6"/>
    <n v="17.9634"/>
    <x v="9"/>
  </r>
  <r>
    <x v="24"/>
    <s v="Darren Powers"/>
    <s v="New Albany"/>
    <x v="14"/>
    <x v="2"/>
    <s v="Avery 485"/>
    <n v="75.180000000000007"/>
    <n v="6"/>
    <n v="35.334600000000002"/>
    <x v="9"/>
  </r>
  <r>
    <x v="24"/>
    <s v="Darren Powers"/>
    <s v="New Albany"/>
    <x v="14"/>
    <x v="5"/>
    <s v="Longer-Life Soft White Bulbs"/>
    <n v="6.16"/>
    <n v="2"/>
    <n v="2.9567999999999999"/>
    <x v="9"/>
  </r>
  <r>
    <x v="24"/>
    <s v="Darren Powers"/>
    <s v="New Albany"/>
    <x v="14"/>
    <x v="1"/>
    <s v="Global Leather Task Chair, Black"/>
    <n v="89.99"/>
    <n v="1"/>
    <n v="17.098099999999999"/>
    <x v="9"/>
  </r>
  <r>
    <x v="25"/>
    <s v="Janet Molinari"/>
    <s v="New York City"/>
    <x v="15"/>
    <x v="13"/>
    <s v="Advantus Push Pins"/>
    <n v="15.26"/>
    <n v="7"/>
    <n v="6.2565999999999997"/>
    <x v="2"/>
  </r>
  <r>
    <x v="25"/>
    <s v="Janet Molinari"/>
    <s v="New York City"/>
    <x v="15"/>
    <x v="7"/>
    <s v="AT&amp;T CL83451 4-Handset Telephone"/>
    <n v="1029.95"/>
    <n v="5"/>
    <n v="298.68549999999999"/>
    <x v="2"/>
  </r>
  <r>
    <x v="26"/>
    <s v="Ted Butterfield"/>
    <s v="Troy"/>
    <x v="15"/>
    <x v="4"/>
    <s v="Home/Office Personal File Carts"/>
    <n v="208.56"/>
    <n v="6"/>
    <n v="52.14"/>
    <x v="9"/>
  </r>
  <r>
    <x v="26"/>
    <s v="Ted Butterfield"/>
    <s v="Troy"/>
    <x v="15"/>
    <x v="10"/>
    <s v="Xerox 232"/>
    <n v="32.4"/>
    <n v="5"/>
    <n v="15.552"/>
    <x v="9"/>
  </r>
  <r>
    <x v="26"/>
    <s v="Ted Butterfield"/>
    <s v="Troy"/>
    <x v="15"/>
    <x v="1"/>
    <s v="Novimex Turbo Task Chair"/>
    <n v="319.41000000000003"/>
    <n v="5"/>
    <n v="7.0979999999999999"/>
    <x v="9"/>
  </r>
  <r>
    <x v="26"/>
    <s v="Ted Butterfield"/>
    <s v="Troy"/>
    <x v="15"/>
    <x v="10"/>
    <s v="Array Parchment Paper, Assorted Colors"/>
    <n v="14.56"/>
    <n v="2"/>
    <n v="6.9888000000000003"/>
    <x v="9"/>
  </r>
  <r>
    <x v="26"/>
    <s v="Ted Butterfield"/>
    <s v="Troy"/>
    <x v="15"/>
    <x v="11"/>
    <s v="Imation 8gb Micro Traveldrive Usb 2.0 Flash Drive"/>
    <n v="30"/>
    <n v="2"/>
    <n v="3.3"/>
    <x v="9"/>
  </r>
  <r>
    <x v="26"/>
    <s v="Ted Butterfield"/>
    <s v="Troy"/>
    <x v="15"/>
    <x v="8"/>
    <s v="Plastic Binding Combs"/>
    <n v="48.48"/>
    <n v="4"/>
    <n v="16.361999999999998"/>
    <x v="9"/>
  </r>
  <r>
    <x v="26"/>
    <s v="Ted Butterfield"/>
    <s v="Troy"/>
    <x v="15"/>
    <x v="6"/>
    <s v="Prang Dustless Chalk Sticks"/>
    <n v="1.68"/>
    <n v="1"/>
    <n v="0.84"/>
    <x v="9"/>
  </r>
  <r>
    <x v="27"/>
    <s v="Kunst Miller"/>
    <s v="Los Angeles"/>
    <x v="1"/>
    <x v="11"/>
    <s v="Verbatim 25 GB 6x Blu-ray Single Layer Recordable Disc, 3/Pack"/>
    <n v="13.98"/>
    <n v="2"/>
    <n v="6.1512000000000002"/>
    <x v="2"/>
  </r>
  <r>
    <x v="27"/>
    <s v="Kunst Miller"/>
    <s v="Los Angeles"/>
    <x v="1"/>
    <x v="8"/>
    <s v="Acco PRESSTEX Data Binder with Storage Hooks, Dark Blue, 14 7/8&quot; X 11&quot;"/>
    <n v="25.824000000000002"/>
    <n v="6"/>
    <n v="9.3612000000000002"/>
    <x v="2"/>
  </r>
  <r>
    <x v="27"/>
    <s v="Kunst Miller"/>
    <s v="Los Angeles"/>
    <x v="1"/>
    <x v="10"/>
    <s v="Xerox 1943"/>
    <n v="146.72999999999999"/>
    <n v="3"/>
    <n v="68.963099999999997"/>
    <x v="2"/>
  </r>
  <r>
    <x v="27"/>
    <s v="Kunst Miller"/>
    <s v="Los Angeles"/>
    <x v="1"/>
    <x v="5"/>
    <s v="Luxo Economy Swing Arm Lamp"/>
    <n v="79.760000000000005"/>
    <n v="4"/>
    <n v="22.332799999999999"/>
    <x v="2"/>
  </r>
  <r>
    <x v="28"/>
    <s v="Paul Stevenson"/>
    <s v="Chicago"/>
    <x v="10"/>
    <x v="1"/>
    <s v="Global Value Mid-Back Manager's Chair, Gray"/>
    <n v="213.11500000000001"/>
    <n v="5"/>
    <n v="-15.2225"/>
    <x v="4"/>
  </r>
  <r>
    <x v="29"/>
    <s v="Brendan Sweed"/>
    <s v="Gilbert"/>
    <x v="16"/>
    <x v="6"/>
    <s v="Hunt BOSTON Model 1606 High-Volume Electric Pencil Sharpener, Beige"/>
    <n v="1113.0239999999999"/>
    <n v="8"/>
    <n v="111.30240000000001"/>
    <x v="5"/>
  </r>
  <r>
    <x v="29"/>
    <s v="Brendan Sweed"/>
    <s v="Gilbert"/>
    <x v="16"/>
    <x v="7"/>
    <s v="netTALK DUO VoIP Telephone Service"/>
    <n v="167.96799999999999"/>
    <n v="4"/>
    <n v="62.988"/>
    <x v="5"/>
  </r>
  <r>
    <x v="30"/>
    <s v="Karen Daniels"/>
    <s v="Springfield"/>
    <x v="17"/>
    <x v="10"/>
    <s v="Snap-A-Way Black Print Carbonless Ruled Speed Letter, Triplicate"/>
    <n v="75.88"/>
    <n v="2"/>
    <n v="35.663600000000002"/>
    <x v="4"/>
  </r>
  <r>
    <x v="31"/>
    <s v="Henry MacAllister"/>
    <s v="New York City"/>
    <x v="15"/>
    <x v="8"/>
    <s v="Avery Binding System Hidden Tab Executive Style Index Sets"/>
    <n v="4.6159999999999997"/>
    <n v="1"/>
    <n v="1.7310000000000001"/>
    <x v="0"/>
  </r>
  <r>
    <x v="32"/>
    <s v="Tracy Blumstein"/>
    <s v="Jackson"/>
    <x v="12"/>
    <x v="10"/>
    <s v="Telephone Message Books with Fax/Mobile Section, 5 1/2&quot; x 3 3/16&quot;"/>
    <n v="19.05"/>
    <n v="3"/>
    <n v="8.7629999999999999"/>
    <x v="3"/>
  </r>
  <r>
    <x v="33"/>
    <s v="Joel Eaton"/>
    <s v="Memphis"/>
    <x v="18"/>
    <x v="1"/>
    <s v="High-Back Leather Manager's Chair"/>
    <n v="831.93600000000004"/>
    <n v="8"/>
    <n v="-114.3912"/>
    <x v="4"/>
  </r>
  <r>
    <x v="33"/>
    <s v="Joel Eaton"/>
    <s v="Memphis"/>
    <x v="18"/>
    <x v="5"/>
    <s v="Tenex Traditional Chairmats for Medium Pile Carpet, Standard Lip, 36&quot; x 48&quot;"/>
    <n v="97.04"/>
    <n v="2"/>
    <n v="1.2130000000000001"/>
    <x v="4"/>
  </r>
  <r>
    <x v="33"/>
    <s v="Joel Eaton"/>
    <s v="Memphis"/>
    <x v="18"/>
    <x v="4"/>
    <s v="Safco Industrial Wire Shelving System"/>
    <n v="72.784000000000006"/>
    <n v="1"/>
    <n v="-18.196000000000002"/>
    <x v="4"/>
  </r>
  <r>
    <x v="34"/>
    <s v="Ken Brennan"/>
    <s v="Houston"/>
    <x v="5"/>
    <x v="8"/>
    <s v="Economy Binders"/>
    <n v="1.248"/>
    <n v="3"/>
    <n v="-1.9343999999999999"/>
    <x v="3"/>
  </r>
  <r>
    <x v="34"/>
    <s v="Ken Brennan"/>
    <s v="Houston"/>
    <x v="5"/>
    <x v="5"/>
    <s v="6&quot; Cubicle Wall Clock, Black"/>
    <n v="9.7080000000000002"/>
    <n v="3"/>
    <n v="-5.8247999999999998"/>
    <x v="3"/>
  </r>
  <r>
    <x v="34"/>
    <s v="Ken Brennan"/>
    <s v="Houston"/>
    <x v="5"/>
    <x v="4"/>
    <s v="SimpliFile Personal File, Black Granite, 15w x 6-15/16d x 11-1/4h"/>
    <n v="27.24"/>
    <n v="3"/>
    <n v="2.7240000000000002"/>
    <x v="3"/>
  </r>
  <r>
    <x v="35"/>
    <s v="Joel Eaton"/>
    <s v="Houston"/>
    <x v="5"/>
    <x v="5"/>
    <s v="Eldon Expressions Desk Accessory, Wood Pencil Holder, Oak"/>
    <n v="19.3"/>
    <n v="5"/>
    <n v="-14.475"/>
    <x v="2"/>
  </r>
  <r>
    <x v="1"/>
    <s v="Stewart Carmichael"/>
    <s v="Decatur"/>
    <x v="19"/>
    <x v="9"/>
    <s v="1.7 Cubic Foot Compact &quot;Cube&quot; Office Refrigerators"/>
    <n v="208.16"/>
    <n v="1"/>
    <n v="56.203200000000002"/>
    <x v="1"/>
  </r>
  <r>
    <x v="1"/>
    <s v="Stewart Carmichael"/>
    <s v="Decatur"/>
    <x v="19"/>
    <x v="8"/>
    <s v="Avery Heavy-Duty EZD  Binder With Locking Rings"/>
    <n v="16.739999999999998"/>
    <n v="3"/>
    <n v="8.0351999999999997"/>
    <x v="1"/>
  </r>
  <r>
    <x v="36"/>
    <s v="Duane Noonan"/>
    <s v="San Francisco"/>
    <x v="1"/>
    <x v="6"/>
    <s v="Premium Writing Pencils, Soft, #2 by Central Association for the Blind"/>
    <n v="14.9"/>
    <n v="5"/>
    <n v="4.1719999999999997"/>
    <x v="1"/>
  </r>
  <r>
    <x v="36"/>
    <s v="Duane Noonan"/>
    <s v="San Francisco"/>
    <x v="1"/>
    <x v="4"/>
    <s v="Sortfiler Multipurpose Personal File Organizer, Black"/>
    <n v="21.39"/>
    <n v="1"/>
    <n v="6.2031000000000001"/>
    <x v="1"/>
  </r>
  <r>
    <x v="37"/>
    <s v="Julie Creighton"/>
    <s v="Durham"/>
    <x v="3"/>
    <x v="12"/>
    <s v="Jet-Pak Recycled Peel 'N' Seal Padded Mailers"/>
    <n v="200.98400000000001"/>
    <n v="7"/>
    <n v="62.807499999999997"/>
    <x v="10"/>
  </r>
  <r>
    <x v="38"/>
    <s v="Christopher Schild"/>
    <s v="Chicago"/>
    <x v="10"/>
    <x v="4"/>
    <s v="Safco Industrial Wire Shelving"/>
    <n v="230.376"/>
    <n v="3"/>
    <n v="-48.954900000000002"/>
    <x v="2"/>
  </r>
  <r>
    <x v="39"/>
    <s v="Patrick O'Donnell"/>
    <s v="Columbia"/>
    <x v="20"/>
    <x v="1"/>
    <s v="Novimex Swivel Fabric Task Chair"/>
    <n v="301.95999999999998"/>
    <n v="2"/>
    <n v="33.215600000000002"/>
    <x v="5"/>
  </r>
  <r>
    <x v="40"/>
    <s v="Paul Gonzalez"/>
    <s v="Rochester"/>
    <x v="11"/>
    <x v="11"/>
    <s v="Logitech LS21 Speaker System - PC Multimedia - 2.1-CH - Wired"/>
    <n v="19.989999999999998"/>
    <n v="1"/>
    <n v="6.7965999999999998"/>
    <x v="8"/>
  </r>
  <r>
    <x v="40"/>
    <s v="Paul Gonzalez"/>
    <s v="Rochester"/>
    <x v="11"/>
    <x v="2"/>
    <s v="Avery 511"/>
    <n v="6.16"/>
    <n v="2"/>
    <n v="2.9567999999999999"/>
    <x v="8"/>
  </r>
  <r>
    <x v="41"/>
    <s v="Gary Mitchum"/>
    <s v="Houston"/>
    <x v="5"/>
    <x v="4"/>
    <s v="Eldon Portable Mobile Manager"/>
    <n v="158.36799999999999"/>
    <n v="7"/>
    <n v="13.857200000000001"/>
    <x v="5"/>
  </r>
  <r>
    <x v="42"/>
    <s v="Jim Sink"/>
    <s v="Los Angeles"/>
    <x v="1"/>
    <x v="6"/>
    <s v="Turquoise Lead Holder with Pocket Clip"/>
    <n v="20.100000000000001"/>
    <n v="3"/>
    <n v="6.633"/>
    <x v="3"/>
  </r>
  <r>
    <x v="42"/>
    <s v="Jim Sink"/>
    <s v="Los Angeles"/>
    <x v="1"/>
    <x v="7"/>
    <s v="Panasonic Kx-TS550"/>
    <n v="73.584000000000003"/>
    <n v="2"/>
    <n v="8.2782"/>
    <x v="3"/>
  </r>
  <r>
    <x v="42"/>
    <s v="Jim Sink"/>
    <s v="Los Angeles"/>
    <x v="1"/>
    <x v="10"/>
    <s v="Xerox 1995"/>
    <n v="6.48"/>
    <n v="1"/>
    <n v="3.1103999999999998"/>
    <x v="3"/>
  </r>
  <r>
    <x v="43"/>
    <s v="Karl Braun"/>
    <s v="Minneapolis"/>
    <x v="11"/>
    <x v="10"/>
    <s v="Xerox 1999"/>
    <n v="12.96"/>
    <n v="2"/>
    <n v="6.2207999999999997"/>
    <x v="7"/>
  </r>
  <r>
    <x v="43"/>
    <s v="Karl Braun"/>
    <s v="Minneapolis"/>
    <x v="11"/>
    <x v="5"/>
    <s v="Seth Thomas 13 1/2&quot; Wall Clock"/>
    <n v="53.34"/>
    <n v="3"/>
    <n v="16.535399999999999"/>
    <x v="7"/>
  </r>
  <r>
    <x v="43"/>
    <s v="Karl Braun"/>
    <s v="Minneapolis"/>
    <x v="11"/>
    <x v="8"/>
    <s v="Ibico Standard Transparent Covers"/>
    <n v="32.96"/>
    <n v="2"/>
    <n v="16.150400000000001"/>
    <x v="7"/>
  </r>
  <r>
    <x v="44"/>
    <s v="Roger Barcio"/>
    <s v="Portland"/>
    <x v="21"/>
    <x v="8"/>
    <s v="Flexible Leather- Look Classic Collection Ring Binder"/>
    <n v="5.6820000000000004"/>
    <n v="1"/>
    <n v="-3.7879999999999998"/>
    <x v="9"/>
  </r>
  <r>
    <x v="45"/>
    <s v="Parhena Norris"/>
    <s v="New York City"/>
    <x v="15"/>
    <x v="5"/>
    <s v="9-3/4 Diameter Round Wall Clock"/>
    <n v="96.53"/>
    <n v="7"/>
    <n v="40.5426"/>
    <x v="3"/>
  </r>
  <r>
    <x v="46"/>
    <s v="Katherine Ducich"/>
    <s v="San Francisco"/>
    <x v="1"/>
    <x v="8"/>
    <s v="Trimflex Flexible Post Binders"/>
    <n v="51.311999999999998"/>
    <n v="3"/>
    <n v="17.959199999999999"/>
    <x v="9"/>
  </r>
  <r>
    <x v="47"/>
    <s v="Elpida Rittenbach"/>
    <s v="Saint Paul"/>
    <x v="11"/>
    <x v="9"/>
    <s v="Fellowes Basic Home/Office Series Surge Protectors"/>
    <n v="77.88"/>
    <n v="6"/>
    <n v="22.5852"/>
    <x v="9"/>
  </r>
  <r>
    <x v="48"/>
    <s v="Rick Bensley"/>
    <s v="Chicago"/>
    <x v="10"/>
    <x v="10"/>
    <s v="Avery Personal Creations Heavyweight Cards"/>
    <n v="64.623999999999995"/>
    <n v="7"/>
    <n v="22.618400000000001"/>
    <x v="0"/>
  </r>
  <r>
    <x v="48"/>
    <s v="Rick Bensley"/>
    <s v="Chicago"/>
    <x v="10"/>
    <x v="11"/>
    <s v="SanDisk Ultra 64 GB MicroSDHC Class 10 Memory Card"/>
    <n v="95.975999999999999"/>
    <n v="3"/>
    <n v="-10.7973"/>
    <x v="0"/>
  </r>
  <r>
    <x v="48"/>
    <s v="Rick Bensley"/>
    <s v="Chicago"/>
    <x v="10"/>
    <x v="8"/>
    <s v="Avery Hidden Tab Dividers for Binding Systems"/>
    <n v="1.788"/>
    <n v="3"/>
    <n v="-3.0396000000000001"/>
    <x v="0"/>
  </r>
  <r>
    <x v="49"/>
    <s v="Gary Zandusky"/>
    <s v="Rochester"/>
    <x v="11"/>
    <x v="10"/>
    <s v="Universal Premium White Copier/Laser Paper (20Lb. and 87 Bright)"/>
    <n v="23.92"/>
    <n v="4"/>
    <n v="11.720800000000001"/>
    <x v="7"/>
  </r>
  <r>
    <x v="50"/>
    <s v="Lena Cacioppo"/>
    <s v="Aurora"/>
    <x v="22"/>
    <x v="11"/>
    <s v="Logitech K350 2.4Ghz Wireless Keyboard"/>
    <n v="238.89599999999999"/>
    <n v="6"/>
    <n v="-26.875800000000002"/>
    <x v="2"/>
  </r>
  <r>
    <x v="50"/>
    <s v="Lena Cacioppo"/>
    <s v="Aurora"/>
    <x v="22"/>
    <x v="5"/>
    <s v="Deflect-o DuraMat Lighweight, Studded, Beveled Mat for Low Pile Carpeting"/>
    <n v="102.36"/>
    <n v="3"/>
    <n v="-3.8384999999999998"/>
    <x v="2"/>
  </r>
  <r>
    <x v="51"/>
    <s v="Lena Cacioppo"/>
    <s v="Aurora"/>
    <x v="22"/>
    <x v="8"/>
    <s v="Avery Trapezoid Ring Binder, 3&quot; Capacity, Black, 1040 sheets"/>
    <n v="36.881999999999998"/>
    <n v="3"/>
    <n v="-25.817399999999999"/>
    <x v="2"/>
  </r>
  <r>
    <x v="38"/>
    <s v="Janet Martin"/>
    <s v="Charlotte"/>
    <x v="3"/>
    <x v="11"/>
    <s v="Memorex Mini Travel Drive 8 GB USB 2.0 Flash Drive"/>
    <n v="74.111999999999995"/>
    <n v="8"/>
    <n v="17.601600000000001"/>
    <x v="2"/>
  </r>
  <r>
    <x v="52"/>
    <s v="Janet Martin"/>
    <s v="Charlotte"/>
    <x v="3"/>
    <x v="7"/>
    <s v="Speck Products Candyshell Flip Case"/>
    <n v="27.992000000000001"/>
    <n v="1"/>
    <n v="2.0994000000000002"/>
    <x v="2"/>
  </r>
  <r>
    <x v="53"/>
    <s v="Janet Martin"/>
    <s v="Charlotte"/>
    <x v="3"/>
    <x v="6"/>
    <s v="Newell Chalk Holder"/>
    <n v="3.3039999999999998"/>
    <n v="1"/>
    <n v="1.0738000000000001"/>
    <x v="2"/>
  </r>
  <r>
    <x v="54"/>
    <s v="Pete Armstrong"/>
    <s v="Orland Park"/>
    <x v="10"/>
    <x v="11"/>
    <s v="Logitech Gaming G510s - Keyboard"/>
    <n v="339.96"/>
    <n v="5"/>
    <n v="67.992000000000004"/>
    <x v="8"/>
  </r>
  <r>
    <x v="55"/>
    <s v="Cynthia Voltz"/>
    <s v="New York City"/>
    <x v="15"/>
    <x v="5"/>
    <s v="Magnifier Swing Arm Lamp"/>
    <n v="41.96"/>
    <n v="2"/>
    <n v="10.909599999999999"/>
    <x v="1"/>
  </r>
  <r>
    <x v="56"/>
    <s v="Clay Ludtke"/>
    <s v="Urbandale"/>
    <x v="23"/>
    <x v="6"/>
    <s v="Hunt PowerHouse Electric Pencil Sharpener, Blue"/>
    <n v="75.959999999999994"/>
    <n v="2"/>
    <n v="22.788"/>
    <x v="10"/>
  </r>
  <r>
    <x v="56"/>
    <s v="Clay Ludtke"/>
    <s v="Urbandale"/>
    <x v="23"/>
    <x v="8"/>
    <s v="Avery Durable Plastic 1&quot; Binders"/>
    <n v="27.24"/>
    <n v="6"/>
    <n v="13.3476"/>
    <x v="10"/>
  </r>
  <r>
    <x v="57"/>
    <s v="Ryan Crowe"/>
    <s v="Columbus"/>
    <x v="24"/>
    <x v="13"/>
    <s v="OIC Colored Binder Clips, Assorted Sizes"/>
    <n v="40.095999999999997"/>
    <n v="14"/>
    <n v="14.534800000000001"/>
    <x v="0"/>
  </r>
  <r>
    <x v="57"/>
    <s v="Ryan Crowe"/>
    <s v="Columbus"/>
    <x v="24"/>
    <x v="12"/>
    <s v="Redi-Strip #10 Envelopes, 4 1/8 x 9 1/2"/>
    <n v="4.72"/>
    <n v="2"/>
    <n v="1.6519999999999999"/>
    <x v="0"/>
  </r>
  <r>
    <x v="57"/>
    <s v="Ryan Crowe"/>
    <s v="Columbus"/>
    <x v="24"/>
    <x v="10"/>
    <s v="Xerox 1921"/>
    <n v="23.975999999999999"/>
    <n v="3"/>
    <n v="7.4924999999999997"/>
    <x v="0"/>
  </r>
  <r>
    <x v="57"/>
    <s v="Ryan Crowe"/>
    <s v="Columbus"/>
    <x v="24"/>
    <x v="12"/>
    <s v="Tyvek  Top-Opening Peel &amp; Seel Envelopes, Plain White"/>
    <n v="130.464"/>
    <n v="6"/>
    <n v="44.031599999999997"/>
    <x v="0"/>
  </r>
  <r>
    <x v="58"/>
    <s v="Dave Kipp"/>
    <s v="Seattle"/>
    <x v="4"/>
    <x v="3"/>
    <s v="Hon Racetrack Conference Tables"/>
    <n v="787.53"/>
    <n v="3"/>
    <n v="165.38130000000001"/>
    <x v="11"/>
  </r>
  <r>
    <x v="59"/>
    <s v="Greg Guthrie"/>
    <s v="Bristol"/>
    <x v="18"/>
    <x v="8"/>
    <s v="GBC DocuBind 300 Electric Binding Machine"/>
    <n v="157.79400000000001"/>
    <n v="1"/>
    <n v="-115.71559999999999"/>
    <x v="5"/>
  </r>
  <r>
    <x v="1"/>
    <s v="Steven Cartwright"/>
    <s v="Wilmington"/>
    <x v="13"/>
    <x v="5"/>
    <s v="Artistic Insta-Plaque"/>
    <n v="47.04"/>
    <n v="3"/>
    <n v="18.345600000000001"/>
    <x v="1"/>
  </r>
  <r>
    <x v="1"/>
    <s v="Steven Cartwright"/>
    <s v="Wilmington"/>
    <x v="13"/>
    <x v="8"/>
    <s v="DXL Angle-View Binders with Locking Rings by Samsill"/>
    <n v="30.84"/>
    <n v="4"/>
    <n v="13.878"/>
    <x v="1"/>
  </r>
  <r>
    <x v="1"/>
    <s v="Steven Cartwright"/>
    <s v="Wilmington"/>
    <x v="13"/>
    <x v="4"/>
    <s v="Companion Letter/Legal File, Black"/>
    <n v="226.56"/>
    <n v="6"/>
    <n v="63.436799999999998"/>
    <x v="1"/>
  </r>
  <r>
    <x v="1"/>
    <s v="Steven Cartwright"/>
    <s v="Wilmington"/>
    <x v="13"/>
    <x v="12"/>
    <s v="Globe Weis Peel &amp; Seel First Class Envelopes"/>
    <n v="115.02"/>
    <n v="9"/>
    <n v="51.759"/>
    <x v="1"/>
  </r>
  <r>
    <x v="1"/>
    <s v="Steven Cartwright"/>
    <s v="Wilmington"/>
    <x v="13"/>
    <x v="7"/>
    <s v="KLD Oscar II Style Snap-on Ultra Thin Side Flip Synthetic Leather Cover Case for HTC One HTC M7"/>
    <n v="68.040000000000006"/>
    <n v="7"/>
    <n v="19.7316"/>
    <x v="1"/>
  </r>
  <r>
    <x v="60"/>
    <s v="Alan Dominguez"/>
    <s v="Houston"/>
    <x v="5"/>
    <x v="1"/>
    <s v="Global Deluxe High-Back Manager's Chair"/>
    <n v="600.55799999999999"/>
    <n v="3"/>
    <n v="-8.5793999999999997"/>
    <x v="1"/>
  </r>
  <r>
    <x v="61"/>
    <s v="Philip Fox"/>
    <s v="Bloomington"/>
    <x v="10"/>
    <x v="3"/>
    <s v="Bevis 44 x 96 Conference Tables"/>
    <n v="617.70000000000005"/>
    <n v="6"/>
    <n v="-407.68200000000002"/>
    <x v="3"/>
  </r>
  <r>
    <x v="62"/>
    <s v="Troy Staebel"/>
    <s v="Phoenix"/>
    <x v="16"/>
    <x v="8"/>
    <s v="Avery Durable Slant Ring Binders, No Labels"/>
    <n v="2.3879999999999999"/>
    <n v="2"/>
    <n v="-1.8308"/>
    <x v="5"/>
  </r>
  <r>
    <x v="62"/>
    <s v="Troy Staebel"/>
    <s v="Phoenix"/>
    <x v="16"/>
    <x v="4"/>
    <s v="Trav-L-File Heavy-Duty Shuttle II, Black"/>
    <n v="243.99199999999999"/>
    <n v="7"/>
    <n v="30.498999999999999"/>
    <x v="5"/>
  </r>
  <r>
    <x v="63"/>
    <s v="Lindsay Shagiari"/>
    <s v="Los Angeles"/>
    <x v="1"/>
    <x v="1"/>
    <s v="Global Task Chair, Black"/>
    <n v="81.424000000000007"/>
    <n v="2"/>
    <n v="-9.1601999999999997"/>
    <x v="9"/>
  </r>
  <r>
    <x v="63"/>
    <s v="Lindsay Shagiari"/>
    <s v="Los Angeles"/>
    <x v="1"/>
    <x v="5"/>
    <s v="Eldon Cleatmat Plus Chair Mats for High Pile Carpets"/>
    <n v="238.56"/>
    <n v="3"/>
    <n v="26.241599999999998"/>
    <x v="9"/>
  </r>
  <r>
    <x v="64"/>
    <s v="Dorothy Wardle"/>
    <s v="Columbus"/>
    <x v="24"/>
    <x v="7"/>
    <s v="Anker 36W 4-Port USB Wall Charger Travel Power Adapter for iPhone 5s 5c 5"/>
    <n v="59.97"/>
    <n v="5"/>
    <n v="-11.994"/>
    <x v="11"/>
  </r>
  <r>
    <x v="64"/>
    <s v="Dorothy Wardle"/>
    <s v="Columbus"/>
    <x v="24"/>
    <x v="10"/>
    <s v="Xerox 1916"/>
    <n v="78.304000000000002"/>
    <n v="2"/>
    <n v="29.364000000000001"/>
    <x v="11"/>
  </r>
  <r>
    <x v="64"/>
    <s v="Dorothy Wardle"/>
    <s v="Columbus"/>
    <x v="24"/>
    <x v="13"/>
    <s v="Staples"/>
    <n v="21.456"/>
    <n v="9"/>
    <n v="6.9732000000000003"/>
    <x v="11"/>
  </r>
  <r>
    <x v="65"/>
    <s v="Lena Creighton"/>
    <s v="Roseville"/>
    <x v="1"/>
    <x v="10"/>
    <s v="Xerox 195"/>
    <n v="20.04"/>
    <n v="3"/>
    <n v="9.6191999999999993"/>
    <x v="8"/>
  </r>
  <r>
    <x v="65"/>
    <s v="Lena Creighton"/>
    <s v="Roseville"/>
    <x v="1"/>
    <x v="10"/>
    <s v="Xerox 1880"/>
    <n v="35.44"/>
    <n v="1"/>
    <n v="16.6568"/>
    <x v="8"/>
  </r>
  <r>
    <x v="65"/>
    <s v="Lena Creighton"/>
    <s v="Roseville"/>
    <x v="1"/>
    <x v="6"/>
    <s v="Sanford Colorific Colored Pencils, 12/Box"/>
    <n v="11.52"/>
    <n v="4"/>
    <n v="3.456"/>
    <x v="8"/>
  </r>
  <r>
    <x v="65"/>
    <s v="Lena Creighton"/>
    <s v="Roseville"/>
    <x v="1"/>
    <x v="13"/>
    <s v="Ideal Clamps"/>
    <n v="4.0199999999999996"/>
    <n v="2"/>
    <n v="1.9698"/>
    <x v="8"/>
  </r>
  <r>
    <x v="65"/>
    <s v="Lena Creighton"/>
    <s v="Roseville"/>
    <x v="1"/>
    <x v="8"/>
    <s v="GBC Wire Binding Strips"/>
    <n v="76.176000000000002"/>
    <n v="3"/>
    <n v="26.6616"/>
    <x v="8"/>
  </r>
  <r>
    <x v="65"/>
    <s v="Lena Creighton"/>
    <s v="Roseville"/>
    <x v="1"/>
    <x v="14"/>
    <s v="Fiskars Softgrip Scissors"/>
    <n v="65.88"/>
    <n v="6"/>
    <n v="18.446400000000001"/>
    <x v="8"/>
  </r>
  <r>
    <x v="65"/>
    <s v="Lena Creighton"/>
    <s v="Roseville"/>
    <x v="1"/>
    <x v="5"/>
    <s v="Longer-Life Soft White Bulbs"/>
    <n v="43.12"/>
    <n v="14"/>
    <n v="20.697600000000001"/>
    <x v="8"/>
  </r>
  <r>
    <x v="66"/>
    <s v="Jonathan Doherty"/>
    <s v="Philadelphia"/>
    <x v="9"/>
    <x v="5"/>
    <s v="Howard Miller 13-3/4&quot; Diameter Brushed Chrome Round Wall Clock"/>
    <n v="82.8"/>
    <n v="2"/>
    <n v="10.35"/>
    <x v="3"/>
  </r>
  <r>
    <x v="66"/>
    <s v="Sally Hughsby"/>
    <s v="San Francisco"/>
    <x v="1"/>
    <x v="6"/>
    <s v="Newell 343"/>
    <n v="8.82"/>
    <n v="3"/>
    <n v="2.3814000000000002"/>
    <x v="3"/>
  </r>
  <r>
    <x v="66"/>
    <s v="Sally Hughsby"/>
    <s v="San Francisco"/>
    <x v="1"/>
    <x v="12"/>
    <s v="Convenience Packs of Business Envelopes"/>
    <n v="10.86"/>
    <n v="3"/>
    <n v="5.1041999999999996"/>
    <x v="3"/>
  </r>
  <r>
    <x v="66"/>
    <s v="Sally Hughsby"/>
    <s v="San Francisco"/>
    <x v="1"/>
    <x v="10"/>
    <s v="Xerox 1911"/>
    <n v="143.69999999999999"/>
    <n v="3"/>
    <n v="68.975999999999999"/>
    <x v="3"/>
  </r>
  <r>
    <x v="67"/>
    <s v="Sandra Glassco"/>
    <s v="Independence"/>
    <x v="25"/>
    <x v="9"/>
    <s v="Sanyo 2.5 Cubic Foot Mid-Size Office Refrigerators"/>
    <n v="839.43"/>
    <n v="3"/>
    <n v="218.2518"/>
    <x v="1"/>
  </r>
  <r>
    <x v="68"/>
    <s v="Helen Andreada"/>
    <s v="Pasadena"/>
    <x v="1"/>
    <x v="4"/>
    <s v="Safco Industrial Wire Shelving"/>
    <n v="671.93"/>
    <n v="7"/>
    <n v="20.157900000000001"/>
    <x v="6"/>
  </r>
  <r>
    <x v="69"/>
    <s v="Maureen Gastineau"/>
    <s v="Newark"/>
    <x v="24"/>
    <x v="5"/>
    <s v="Seth Thomas 14&quot; Putty-Colored Wall Clock"/>
    <n v="93.888000000000005"/>
    <n v="4"/>
    <n v="12.909599999999999"/>
    <x v="8"/>
  </r>
  <r>
    <x v="5"/>
    <s v="Justin Ellison"/>
    <s v="Franklin"/>
    <x v="6"/>
    <x v="7"/>
    <s v="Plantronics Cordless Phone Headset with In-line Volume - M214C"/>
    <n v="384.45"/>
    <n v="11"/>
    <n v="103.8015"/>
    <x v="5"/>
  </r>
  <r>
    <x v="5"/>
    <s v="Justin Ellison"/>
    <s v="Franklin"/>
    <x v="6"/>
    <x v="7"/>
    <s v="Anker Astro 15000mAh USB Portable Charger"/>
    <n v="149.97"/>
    <n v="3"/>
    <n v="5.9988000000000001"/>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3D7229-844F-4233-BFF8-00D16FE49854}" name="PivotTable2"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8" rowHeaderCaption="Sub-Category" colHeaderCaption="State">
  <location ref="A3:AB20" firstHeaderRow="1" firstDataRow="2" firstDataCol="1"/>
  <pivotFields count="10">
    <pivotField showAll="0">
      <items count="71">
        <item x="29"/>
        <item x="8"/>
        <item x="57"/>
        <item x="9"/>
        <item x="3"/>
        <item x="61"/>
        <item x="22"/>
        <item x="69"/>
        <item x="7"/>
        <item x="35"/>
        <item x="36"/>
        <item x="60"/>
        <item x="43"/>
        <item x="58"/>
        <item x="37"/>
        <item x="33"/>
        <item x="28"/>
        <item x="59"/>
        <item x="24"/>
        <item x="68"/>
        <item x="14"/>
        <item x="12"/>
        <item x="54"/>
        <item x="2"/>
        <item x="50"/>
        <item x="6"/>
        <item x="27"/>
        <item x="17"/>
        <item x="49"/>
        <item x="13"/>
        <item x="56"/>
        <item x="30"/>
        <item x="41"/>
        <item x="5"/>
        <item x="47"/>
        <item x="63"/>
        <item x="26"/>
        <item x="23"/>
        <item x="19"/>
        <item x="0"/>
        <item x="16"/>
        <item x="31"/>
        <item x="48"/>
        <item x="10"/>
        <item x="42"/>
        <item x="65"/>
        <item x="21"/>
        <item x="25"/>
        <item x="51"/>
        <item x="1"/>
        <item x="64"/>
        <item x="4"/>
        <item x="62"/>
        <item x="39"/>
        <item x="44"/>
        <item x="46"/>
        <item x="11"/>
        <item x="45"/>
        <item x="34"/>
        <item x="32"/>
        <item x="66"/>
        <item x="20"/>
        <item x="18"/>
        <item x="15"/>
        <item x="40"/>
        <item x="38"/>
        <item x="67"/>
        <item x="55"/>
        <item x="52"/>
        <item x="53"/>
        <item t="default"/>
      </items>
    </pivotField>
    <pivotField showAll="0"/>
    <pivotField showAll="0"/>
    <pivotField axis="axisCol" showAll="0">
      <items count="27">
        <item x="19"/>
        <item x="16"/>
        <item x="1"/>
        <item x="22"/>
        <item x="13"/>
        <item x="2"/>
        <item x="10"/>
        <item x="14"/>
        <item x="23"/>
        <item x="0"/>
        <item x="12"/>
        <item x="11"/>
        <item x="25"/>
        <item x="8"/>
        <item x="15"/>
        <item x="3"/>
        <item x="24"/>
        <item x="21"/>
        <item x="9"/>
        <item x="20"/>
        <item x="18"/>
        <item x="5"/>
        <item x="7"/>
        <item x="17"/>
        <item x="4"/>
        <item x="6"/>
        <item t="default"/>
      </items>
    </pivotField>
    <pivotField axis="axisRow" showAll="0">
      <items count="16">
        <item x="11"/>
        <item x="9"/>
        <item x="6"/>
        <item x="8"/>
        <item x="0"/>
        <item x="1"/>
        <item x="12"/>
        <item x="13"/>
        <item x="5"/>
        <item x="2"/>
        <item x="10"/>
        <item x="7"/>
        <item x="4"/>
        <item x="14"/>
        <item x="3"/>
        <item t="default"/>
      </items>
    </pivotField>
    <pivotField showAll="0"/>
    <pivotField dataField="1" showAll="0"/>
    <pivotField showAll="0"/>
    <pivotField showAll="0"/>
    <pivotField showAll="0">
      <items count="13">
        <item x="7"/>
        <item x="11"/>
        <item x="10"/>
        <item x="4"/>
        <item x="5"/>
        <item x="9"/>
        <item x="6"/>
        <item x="0"/>
        <item x="3"/>
        <item x="8"/>
        <item x="2"/>
        <item x="1"/>
        <item t="default"/>
      </items>
    </pivotField>
  </pivotFields>
  <rowFields count="1">
    <field x="4"/>
  </rowFields>
  <rowItems count="16">
    <i>
      <x/>
    </i>
    <i>
      <x v="1"/>
    </i>
    <i>
      <x v="2"/>
    </i>
    <i>
      <x v="3"/>
    </i>
    <i>
      <x v="4"/>
    </i>
    <i>
      <x v="5"/>
    </i>
    <i>
      <x v="6"/>
    </i>
    <i>
      <x v="7"/>
    </i>
    <i>
      <x v="8"/>
    </i>
    <i>
      <x v="9"/>
    </i>
    <i>
      <x v="10"/>
    </i>
    <i>
      <x v="11"/>
    </i>
    <i>
      <x v="12"/>
    </i>
    <i>
      <x v="13"/>
    </i>
    <i>
      <x v="14"/>
    </i>
    <i t="grand">
      <x/>
    </i>
  </rowItems>
  <colFields count="1">
    <field x="3"/>
  </colFields>
  <colItems count="27">
    <i>
      <x/>
    </i>
    <i>
      <x v="1"/>
    </i>
    <i>
      <x v="2"/>
    </i>
    <i>
      <x v="3"/>
    </i>
    <i>
      <x v="4"/>
    </i>
    <i>
      <x v="5"/>
    </i>
    <i>
      <x v="6"/>
    </i>
    <i>
      <x v="7"/>
    </i>
    <i>
      <x v="8"/>
    </i>
    <i>
      <x v="9"/>
    </i>
    <i>
      <x v="10"/>
    </i>
    <i>
      <x v="11"/>
    </i>
    <i>
      <x v="12"/>
    </i>
    <i>
      <x v="13"/>
    </i>
    <i>
      <x v="14"/>
    </i>
    <i>
      <x v="15"/>
    </i>
    <i>
      <x v="16"/>
    </i>
    <i>
      <x v="17"/>
    </i>
    <i>
      <x v="18"/>
    </i>
    <i>
      <x v="19"/>
    </i>
    <i>
      <x v="20"/>
    </i>
    <i>
      <x v="21"/>
    </i>
    <i>
      <x v="22"/>
    </i>
    <i>
      <x v="23"/>
    </i>
    <i>
      <x v="24"/>
    </i>
    <i>
      <x v="25"/>
    </i>
    <i t="grand">
      <x/>
    </i>
  </colItems>
  <dataFields count="1">
    <dataField name="Sum of Sales" fld="6" baseField="0" baseItem="0"/>
  </dataFields>
  <chartFormats count="135">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 chart="0" format="6" series="1">
      <pivotArea type="data" outline="0" fieldPosition="0">
        <references count="2">
          <reference field="4294967294" count="1" selected="0">
            <x v="0"/>
          </reference>
          <reference field="3" count="1" selected="0">
            <x v="6"/>
          </reference>
        </references>
      </pivotArea>
    </chartFormat>
    <chartFormat chart="0" format="7" series="1">
      <pivotArea type="data" outline="0" fieldPosition="0">
        <references count="2">
          <reference field="4294967294" count="1" selected="0">
            <x v="0"/>
          </reference>
          <reference field="3" count="1" selected="0">
            <x v="7"/>
          </reference>
        </references>
      </pivotArea>
    </chartFormat>
    <chartFormat chart="0" format="8" series="1">
      <pivotArea type="data" outline="0" fieldPosition="0">
        <references count="2">
          <reference field="4294967294" count="1" selected="0">
            <x v="0"/>
          </reference>
          <reference field="3" count="1" selected="0">
            <x v="8"/>
          </reference>
        </references>
      </pivotArea>
    </chartFormat>
    <chartFormat chart="0" format="9" series="1">
      <pivotArea type="data" outline="0" fieldPosition="0">
        <references count="2">
          <reference field="4294967294" count="1" selected="0">
            <x v="0"/>
          </reference>
          <reference field="3" count="1" selected="0">
            <x v="9"/>
          </reference>
        </references>
      </pivotArea>
    </chartFormat>
    <chartFormat chart="0" format="10" series="1">
      <pivotArea type="data" outline="0" fieldPosition="0">
        <references count="2">
          <reference field="4294967294" count="1" selected="0">
            <x v="0"/>
          </reference>
          <reference field="3" count="1" selected="0">
            <x v="10"/>
          </reference>
        </references>
      </pivotArea>
    </chartFormat>
    <chartFormat chart="0" format="11" series="1">
      <pivotArea type="data" outline="0" fieldPosition="0">
        <references count="2">
          <reference field="4294967294" count="1" selected="0">
            <x v="0"/>
          </reference>
          <reference field="3" count="1" selected="0">
            <x v="11"/>
          </reference>
        </references>
      </pivotArea>
    </chartFormat>
    <chartFormat chart="0" format="12" series="1">
      <pivotArea type="data" outline="0" fieldPosition="0">
        <references count="2">
          <reference field="4294967294" count="1" selected="0">
            <x v="0"/>
          </reference>
          <reference field="3" count="1" selected="0">
            <x v="12"/>
          </reference>
        </references>
      </pivotArea>
    </chartFormat>
    <chartFormat chart="0" format="13" series="1">
      <pivotArea type="data" outline="0" fieldPosition="0">
        <references count="2">
          <reference field="4294967294" count="1" selected="0">
            <x v="0"/>
          </reference>
          <reference field="3" count="1" selected="0">
            <x v="13"/>
          </reference>
        </references>
      </pivotArea>
    </chartFormat>
    <chartFormat chart="0" format="14" series="1">
      <pivotArea type="data" outline="0" fieldPosition="0">
        <references count="2">
          <reference field="4294967294" count="1" selected="0">
            <x v="0"/>
          </reference>
          <reference field="3" count="1" selected="0">
            <x v="14"/>
          </reference>
        </references>
      </pivotArea>
    </chartFormat>
    <chartFormat chart="0" format="15" series="1">
      <pivotArea type="data" outline="0" fieldPosition="0">
        <references count="2">
          <reference field="4294967294" count="1" selected="0">
            <x v="0"/>
          </reference>
          <reference field="3" count="1" selected="0">
            <x v="15"/>
          </reference>
        </references>
      </pivotArea>
    </chartFormat>
    <chartFormat chart="0" format="16" series="1">
      <pivotArea type="data" outline="0" fieldPosition="0">
        <references count="2">
          <reference field="4294967294" count="1" selected="0">
            <x v="0"/>
          </reference>
          <reference field="3" count="1" selected="0">
            <x v="16"/>
          </reference>
        </references>
      </pivotArea>
    </chartFormat>
    <chartFormat chart="0" format="17" series="1">
      <pivotArea type="data" outline="0" fieldPosition="0">
        <references count="2">
          <reference field="4294967294" count="1" selected="0">
            <x v="0"/>
          </reference>
          <reference field="3" count="1" selected="0">
            <x v="17"/>
          </reference>
        </references>
      </pivotArea>
    </chartFormat>
    <chartFormat chart="0" format="18" series="1">
      <pivotArea type="data" outline="0" fieldPosition="0">
        <references count="2">
          <reference field="4294967294" count="1" selected="0">
            <x v="0"/>
          </reference>
          <reference field="3" count="1" selected="0">
            <x v="18"/>
          </reference>
        </references>
      </pivotArea>
    </chartFormat>
    <chartFormat chart="0" format="19" series="1">
      <pivotArea type="data" outline="0" fieldPosition="0">
        <references count="2">
          <reference field="4294967294" count="1" selected="0">
            <x v="0"/>
          </reference>
          <reference field="3" count="1" selected="0">
            <x v="19"/>
          </reference>
        </references>
      </pivotArea>
    </chartFormat>
    <chartFormat chart="0" format="20" series="1">
      <pivotArea type="data" outline="0" fieldPosition="0">
        <references count="2">
          <reference field="4294967294" count="1" selected="0">
            <x v="0"/>
          </reference>
          <reference field="3" count="1" selected="0">
            <x v="20"/>
          </reference>
        </references>
      </pivotArea>
    </chartFormat>
    <chartFormat chart="0" format="21" series="1">
      <pivotArea type="data" outline="0" fieldPosition="0">
        <references count="2">
          <reference field="4294967294" count="1" selected="0">
            <x v="0"/>
          </reference>
          <reference field="3" count="1" selected="0">
            <x v="21"/>
          </reference>
        </references>
      </pivotArea>
    </chartFormat>
    <chartFormat chart="0" format="22" series="1">
      <pivotArea type="data" outline="0" fieldPosition="0">
        <references count="2">
          <reference field="4294967294" count="1" selected="0">
            <x v="0"/>
          </reference>
          <reference field="3" count="1" selected="0">
            <x v="22"/>
          </reference>
        </references>
      </pivotArea>
    </chartFormat>
    <chartFormat chart="0" format="23" series="1">
      <pivotArea type="data" outline="0" fieldPosition="0">
        <references count="2">
          <reference field="4294967294" count="1" selected="0">
            <x v="0"/>
          </reference>
          <reference field="3" count="1" selected="0">
            <x v="23"/>
          </reference>
        </references>
      </pivotArea>
    </chartFormat>
    <chartFormat chart="0" format="24" series="1">
      <pivotArea type="data" outline="0" fieldPosition="0">
        <references count="2">
          <reference field="4294967294" count="1" selected="0">
            <x v="0"/>
          </reference>
          <reference field="3" count="1" selected="0">
            <x v="24"/>
          </reference>
        </references>
      </pivotArea>
    </chartFormat>
    <chartFormat chart="0" format="25" series="1">
      <pivotArea type="data" outline="0" fieldPosition="0">
        <references count="2">
          <reference field="4294967294" count="1" selected="0">
            <x v="0"/>
          </reference>
          <reference field="3" count="1" selected="0">
            <x v="25"/>
          </reference>
        </references>
      </pivotArea>
    </chartFormat>
    <chartFormat chart="2" format="52" series="1">
      <pivotArea type="data" outline="0" fieldPosition="0">
        <references count="2">
          <reference field="4294967294" count="1" selected="0">
            <x v="0"/>
          </reference>
          <reference field="3" count="1" selected="0">
            <x v="0"/>
          </reference>
        </references>
      </pivotArea>
    </chartFormat>
    <chartFormat chart="2" format="53" series="1">
      <pivotArea type="data" outline="0" fieldPosition="0">
        <references count="2">
          <reference field="4294967294" count="1" selected="0">
            <x v="0"/>
          </reference>
          <reference field="3" count="1" selected="0">
            <x v="1"/>
          </reference>
        </references>
      </pivotArea>
    </chartFormat>
    <chartFormat chart="2" format="54" series="1">
      <pivotArea type="data" outline="0" fieldPosition="0">
        <references count="2">
          <reference field="4294967294" count="1" selected="0">
            <x v="0"/>
          </reference>
          <reference field="3" count="1" selected="0">
            <x v="2"/>
          </reference>
        </references>
      </pivotArea>
    </chartFormat>
    <chartFormat chart="2" format="55" series="1">
      <pivotArea type="data" outline="0" fieldPosition="0">
        <references count="2">
          <reference field="4294967294" count="1" selected="0">
            <x v="0"/>
          </reference>
          <reference field="3" count="1" selected="0">
            <x v="3"/>
          </reference>
        </references>
      </pivotArea>
    </chartFormat>
    <chartFormat chart="2" format="56" series="1">
      <pivotArea type="data" outline="0" fieldPosition="0">
        <references count="2">
          <reference field="4294967294" count="1" selected="0">
            <x v="0"/>
          </reference>
          <reference field="3" count="1" selected="0">
            <x v="4"/>
          </reference>
        </references>
      </pivotArea>
    </chartFormat>
    <chartFormat chart="2" format="57" series="1">
      <pivotArea type="data" outline="0" fieldPosition="0">
        <references count="2">
          <reference field="4294967294" count="1" selected="0">
            <x v="0"/>
          </reference>
          <reference field="3" count="1" selected="0">
            <x v="5"/>
          </reference>
        </references>
      </pivotArea>
    </chartFormat>
    <chartFormat chart="2" format="58" series="1">
      <pivotArea type="data" outline="0" fieldPosition="0">
        <references count="2">
          <reference field="4294967294" count="1" selected="0">
            <x v="0"/>
          </reference>
          <reference field="3" count="1" selected="0">
            <x v="6"/>
          </reference>
        </references>
      </pivotArea>
    </chartFormat>
    <chartFormat chart="2" format="59" series="1">
      <pivotArea type="data" outline="0" fieldPosition="0">
        <references count="2">
          <reference field="4294967294" count="1" selected="0">
            <x v="0"/>
          </reference>
          <reference field="3" count="1" selected="0">
            <x v="7"/>
          </reference>
        </references>
      </pivotArea>
    </chartFormat>
    <chartFormat chart="2" format="60" series="1">
      <pivotArea type="data" outline="0" fieldPosition="0">
        <references count="2">
          <reference field="4294967294" count="1" selected="0">
            <x v="0"/>
          </reference>
          <reference field="3" count="1" selected="0">
            <x v="8"/>
          </reference>
        </references>
      </pivotArea>
    </chartFormat>
    <chartFormat chart="2" format="61" series="1">
      <pivotArea type="data" outline="0" fieldPosition="0">
        <references count="2">
          <reference field="4294967294" count="1" selected="0">
            <x v="0"/>
          </reference>
          <reference field="3" count="1" selected="0">
            <x v="9"/>
          </reference>
        </references>
      </pivotArea>
    </chartFormat>
    <chartFormat chart="2" format="62" series="1">
      <pivotArea type="data" outline="0" fieldPosition="0">
        <references count="2">
          <reference field="4294967294" count="1" selected="0">
            <x v="0"/>
          </reference>
          <reference field="3" count="1" selected="0">
            <x v="10"/>
          </reference>
        </references>
      </pivotArea>
    </chartFormat>
    <chartFormat chart="2" format="63" series="1">
      <pivotArea type="data" outline="0" fieldPosition="0">
        <references count="2">
          <reference field="4294967294" count="1" selected="0">
            <x v="0"/>
          </reference>
          <reference field="3" count="1" selected="0">
            <x v="11"/>
          </reference>
        </references>
      </pivotArea>
    </chartFormat>
    <chartFormat chart="2" format="64" series="1">
      <pivotArea type="data" outline="0" fieldPosition="0">
        <references count="2">
          <reference field="4294967294" count="1" selected="0">
            <x v="0"/>
          </reference>
          <reference field="3" count="1" selected="0">
            <x v="12"/>
          </reference>
        </references>
      </pivotArea>
    </chartFormat>
    <chartFormat chart="2" format="65" series="1">
      <pivotArea type="data" outline="0" fieldPosition="0">
        <references count="2">
          <reference field="4294967294" count="1" selected="0">
            <x v="0"/>
          </reference>
          <reference field="3" count="1" selected="0">
            <x v="13"/>
          </reference>
        </references>
      </pivotArea>
    </chartFormat>
    <chartFormat chart="2" format="66" series="1">
      <pivotArea type="data" outline="0" fieldPosition="0">
        <references count="2">
          <reference field="4294967294" count="1" selected="0">
            <x v="0"/>
          </reference>
          <reference field="3" count="1" selected="0">
            <x v="14"/>
          </reference>
        </references>
      </pivotArea>
    </chartFormat>
    <chartFormat chart="2" format="67" series="1">
      <pivotArea type="data" outline="0" fieldPosition="0">
        <references count="2">
          <reference field="4294967294" count="1" selected="0">
            <x v="0"/>
          </reference>
          <reference field="3" count="1" selected="0">
            <x v="15"/>
          </reference>
        </references>
      </pivotArea>
    </chartFormat>
    <chartFormat chart="2" format="68" series="1">
      <pivotArea type="data" outline="0" fieldPosition="0">
        <references count="2">
          <reference field="4294967294" count="1" selected="0">
            <x v="0"/>
          </reference>
          <reference field="3" count="1" selected="0">
            <x v="16"/>
          </reference>
        </references>
      </pivotArea>
    </chartFormat>
    <chartFormat chart="2" format="69" series="1">
      <pivotArea type="data" outline="0" fieldPosition="0">
        <references count="2">
          <reference field="4294967294" count="1" selected="0">
            <x v="0"/>
          </reference>
          <reference field="3" count="1" selected="0">
            <x v="17"/>
          </reference>
        </references>
      </pivotArea>
    </chartFormat>
    <chartFormat chart="2" format="70" series="1">
      <pivotArea type="data" outline="0" fieldPosition="0">
        <references count="2">
          <reference field="4294967294" count="1" selected="0">
            <x v="0"/>
          </reference>
          <reference field="3" count="1" selected="0">
            <x v="18"/>
          </reference>
        </references>
      </pivotArea>
    </chartFormat>
    <chartFormat chart="2" format="71" series="1">
      <pivotArea type="data" outline="0" fieldPosition="0">
        <references count="2">
          <reference field="4294967294" count="1" selected="0">
            <x v="0"/>
          </reference>
          <reference field="3" count="1" selected="0">
            <x v="19"/>
          </reference>
        </references>
      </pivotArea>
    </chartFormat>
    <chartFormat chart="2" format="72" series="1">
      <pivotArea type="data" outline="0" fieldPosition="0">
        <references count="2">
          <reference field="4294967294" count="1" selected="0">
            <x v="0"/>
          </reference>
          <reference field="3" count="1" selected="0">
            <x v="20"/>
          </reference>
        </references>
      </pivotArea>
    </chartFormat>
    <chartFormat chart="2" format="73" series="1">
      <pivotArea type="data" outline="0" fieldPosition="0">
        <references count="2">
          <reference field="4294967294" count="1" selected="0">
            <x v="0"/>
          </reference>
          <reference field="3" count="1" selected="0">
            <x v="21"/>
          </reference>
        </references>
      </pivotArea>
    </chartFormat>
    <chartFormat chart="2" format="74" series="1">
      <pivotArea type="data" outline="0" fieldPosition="0">
        <references count="2">
          <reference field="4294967294" count="1" selected="0">
            <x v="0"/>
          </reference>
          <reference field="3" count="1" selected="0">
            <x v="22"/>
          </reference>
        </references>
      </pivotArea>
    </chartFormat>
    <chartFormat chart="2" format="75" series="1">
      <pivotArea type="data" outline="0" fieldPosition="0">
        <references count="2">
          <reference field="4294967294" count="1" selected="0">
            <x v="0"/>
          </reference>
          <reference field="3" count="1" selected="0">
            <x v="23"/>
          </reference>
        </references>
      </pivotArea>
    </chartFormat>
    <chartFormat chart="2" format="76" series="1">
      <pivotArea type="data" outline="0" fieldPosition="0">
        <references count="2">
          <reference field="4294967294" count="1" selected="0">
            <x v="0"/>
          </reference>
          <reference field="3" count="1" selected="0">
            <x v="24"/>
          </reference>
        </references>
      </pivotArea>
    </chartFormat>
    <chartFormat chart="2" format="77" series="1">
      <pivotArea type="data" outline="0" fieldPosition="0">
        <references count="2">
          <reference field="4294967294" count="1" selected="0">
            <x v="0"/>
          </reference>
          <reference field="3" count="1" selected="0">
            <x v="25"/>
          </reference>
        </references>
      </pivotArea>
    </chartFormat>
    <chartFormat chart="2" format="78" series="1">
      <pivotArea type="data" outline="0" fieldPosition="0">
        <references count="1">
          <reference field="4294967294" count="1" selected="0">
            <x v="0"/>
          </reference>
        </references>
      </pivotArea>
    </chartFormat>
    <chartFormat chart="0" format="26" series="1">
      <pivotArea type="data" outline="0" fieldPosition="0">
        <references count="1">
          <reference field="4294967294" count="1" selected="0">
            <x v="0"/>
          </reference>
        </references>
      </pivotArea>
    </chartFormat>
    <chartFormat chart="3" format="0" series="1">
      <pivotArea type="data" outline="0" fieldPosition="0">
        <references count="2">
          <reference field="4294967294" count="1" selected="0">
            <x v="0"/>
          </reference>
          <reference field="3" count="1" selected="0">
            <x v="0"/>
          </reference>
        </references>
      </pivotArea>
    </chartFormat>
    <chartFormat chart="3" format="1" series="1">
      <pivotArea type="data" outline="0" fieldPosition="0">
        <references count="2">
          <reference field="4294967294" count="1" selected="0">
            <x v="0"/>
          </reference>
          <reference field="3" count="1" selected="0">
            <x v="1"/>
          </reference>
        </references>
      </pivotArea>
    </chartFormat>
    <chartFormat chart="3" format="2" series="1">
      <pivotArea type="data" outline="0" fieldPosition="0">
        <references count="2">
          <reference field="4294967294" count="1" selected="0">
            <x v="0"/>
          </reference>
          <reference field="3" count="1" selected="0">
            <x v="2"/>
          </reference>
        </references>
      </pivotArea>
    </chartFormat>
    <chartFormat chart="3" format="3" series="1">
      <pivotArea type="data" outline="0" fieldPosition="0">
        <references count="2">
          <reference field="4294967294" count="1" selected="0">
            <x v="0"/>
          </reference>
          <reference field="3" count="1" selected="0">
            <x v="3"/>
          </reference>
        </references>
      </pivotArea>
    </chartFormat>
    <chartFormat chart="3" format="4" series="1">
      <pivotArea type="data" outline="0" fieldPosition="0">
        <references count="2">
          <reference field="4294967294" count="1" selected="0">
            <x v="0"/>
          </reference>
          <reference field="3" count="1" selected="0">
            <x v="4"/>
          </reference>
        </references>
      </pivotArea>
    </chartFormat>
    <chartFormat chart="3" format="5" series="1">
      <pivotArea type="data" outline="0" fieldPosition="0">
        <references count="2">
          <reference field="4294967294" count="1" selected="0">
            <x v="0"/>
          </reference>
          <reference field="3" count="1" selected="0">
            <x v="5"/>
          </reference>
        </references>
      </pivotArea>
    </chartFormat>
    <chartFormat chart="3" format="6" series="1">
      <pivotArea type="data" outline="0" fieldPosition="0">
        <references count="2">
          <reference field="4294967294" count="1" selected="0">
            <x v="0"/>
          </reference>
          <reference field="3" count="1" selected="0">
            <x v="6"/>
          </reference>
        </references>
      </pivotArea>
    </chartFormat>
    <chartFormat chart="3" format="7" series="1">
      <pivotArea type="data" outline="0" fieldPosition="0">
        <references count="2">
          <reference field="4294967294" count="1" selected="0">
            <x v="0"/>
          </reference>
          <reference field="3" count="1" selected="0">
            <x v="7"/>
          </reference>
        </references>
      </pivotArea>
    </chartFormat>
    <chartFormat chart="3" format="8" series="1">
      <pivotArea type="data" outline="0" fieldPosition="0">
        <references count="2">
          <reference field="4294967294" count="1" selected="0">
            <x v="0"/>
          </reference>
          <reference field="3" count="1" selected="0">
            <x v="8"/>
          </reference>
        </references>
      </pivotArea>
    </chartFormat>
    <chartFormat chart="3" format="9" series="1">
      <pivotArea type="data" outline="0" fieldPosition="0">
        <references count="2">
          <reference field="4294967294" count="1" selected="0">
            <x v="0"/>
          </reference>
          <reference field="3" count="1" selected="0">
            <x v="9"/>
          </reference>
        </references>
      </pivotArea>
    </chartFormat>
    <chartFormat chart="3" format="10" series="1">
      <pivotArea type="data" outline="0" fieldPosition="0">
        <references count="2">
          <reference field="4294967294" count="1" selected="0">
            <x v="0"/>
          </reference>
          <reference field="3" count="1" selected="0">
            <x v="10"/>
          </reference>
        </references>
      </pivotArea>
    </chartFormat>
    <chartFormat chart="3" format="11" series="1">
      <pivotArea type="data" outline="0" fieldPosition="0">
        <references count="2">
          <reference field="4294967294" count="1" selected="0">
            <x v="0"/>
          </reference>
          <reference field="3" count="1" selected="0">
            <x v="11"/>
          </reference>
        </references>
      </pivotArea>
    </chartFormat>
    <chartFormat chart="3" format="12" series="1">
      <pivotArea type="data" outline="0" fieldPosition="0">
        <references count="2">
          <reference field="4294967294" count="1" selected="0">
            <x v="0"/>
          </reference>
          <reference field="3" count="1" selected="0">
            <x v="12"/>
          </reference>
        </references>
      </pivotArea>
    </chartFormat>
    <chartFormat chart="3" format="13" series="1">
      <pivotArea type="data" outline="0" fieldPosition="0">
        <references count="2">
          <reference field="4294967294" count="1" selected="0">
            <x v="0"/>
          </reference>
          <reference field="3" count="1" selected="0">
            <x v="13"/>
          </reference>
        </references>
      </pivotArea>
    </chartFormat>
    <chartFormat chart="3" format="14" series="1">
      <pivotArea type="data" outline="0" fieldPosition="0">
        <references count="2">
          <reference field="4294967294" count="1" selected="0">
            <x v="0"/>
          </reference>
          <reference field="3" count="1" selected="0">
            <x v="14"/>
          </reference>
        </references>
      </pivotArea>
    </chartFormat>
    <chartFormat chart="3" format="15" series="1">
      <pivotArea type="data" outline="0" fieldPosition="0">
        <references count="2">
          <reference field="4294967294" count="1" selected="0">
            <x v="0"/>
          </reference>
          <reference field="3" count="1" selected="0">
            <x v="15"/>
          </reference>
        </references>
      </pivotArea>
    </chartFormat>
    <chartFormat chart="3" format="16" series="1">
      <pivotArea type="data" outline="0" fieldPosition="0">
        <references count="2">
          <reference field="4294967294" count="1" selected="0">
            <x v="0"/>
          </reference>
          <reference field="3" count="1" selected="0">
            <x v="16"/>
          </reference>
        </references>
      </pivotArea>
    </chartFormat>
    <chartFormat chart="3" format="17" series="1">
      <pivotArea type="data" outline="0" fieldPosition="0">
        <references count="2">
          <reference field="4294967294" count="1" selected="0">
            <x v="0"/>
          </reference>
          <reference field="3" count="1" selected="0">
            <x v="17"/>
          </reference>
        </references>
      </pivotArea>
    </chartFormat>
    <chartFormat chart="3" format="18" series="1">
      <pivotArea type="data" outline="0" fieldPosition="0">
        <references count="2">
          <reference field="4294967294" count="1" selected="0">
            <x v="0"/>
          </reference>
          <reference field="3" count="1" selected="0">
            <x v="18"/>
          </reference>
        </references>
      </pivotArea>
    </chartFormat>
    <chartFormat chart="3" format="19" series="1">
      <pivotArea type="data" outline="0" fieldPosition="0">
        <references count="2">
          <reference field="4294967294" count="1" selected="0">
            <x v="0"/>
          </reference>
          <reference field="3" count="1" selected="0">
            <x v="19"/>
          </reference>
        </references>
      </pivotArea>
    </chartFormat>
    <chartFormat chart="3" format="20" series="1">
      <pivotArea type="data" outline="0" fieldPosition="0">
        <references count="2">
          <reference field="4294967294" count="1" selected="0">
            <x v="0"/>
          </reference>
          <reference field="3" count="1" selected="0">
            <x v="20"/>
          </reference>
        </references>
      </pivotArea>
    </chartFormat>
    <chartFormat chart="3" format="21" series="1">
      <pivotArea type="data" outline="0" fieldPosition="0">
        <references count="2">
          <reference field="4294967294" count="1" selected="0">
            <x v="0"/>
          </reference>
          <reference field="3" count="1" selected="0">
            <x v="21"/>
          </reference>
        </references>
      </pivotArea>
    </chartFormat>
    <chartFormat chart="3" format="22" series="1">
      <pivotArea type="data" outline="0" fieldPosition="0">
        <references count="2">
          <reference field="4294967294" count="1" selected="0">
            <x v="0"/>
          </reference>
          <reference field="3" count="1" selected="0">
            <x v="22"/>
          </reference>
        </references>
      </pivotArea>
    </chartFormat>
    <chartFormat chart="3" format="23" series="1">
      <pivotArea type="data" outline="0" fieldPosition="0">
        <references count="2">
          <reference field="4294967294" count="1" selected="0">
            <x v="0"/>
          </reference>
          <reference field="3" count="1" selected="0">
            <x v="23"/>
          </reference>
        </references>
      </pivotArea>
    </chartFormat>
    <chartFormat chart="3" format="24" series="1">
      <pivotArea type="data" outline="0" fieldPosition="0">
        <references count="2">
          <reference field="4294967294" count="1" selected="0">
            <x v="0"/>
          </reference>
          <reference field="3" count="1" selected="0">
            <x v="24"/>
          </reference>
        </references>
      </pivotArea>
    </chartFormat>
    <chartFormat chart="3" format="25" series="1">
      <pivotArea type="data" outline="0" fieldPosition="0">
        <references count="2">
          <reference field="4294967294" count="1" selected="0">
            <x v="0"/>
          </reference>
          <reference field="3" count="1" selected="0">
            <x v="25"/>
          </reference>
        </references>
      </pivotArea>
    </chartFormat>
    <chartFormat chart="6" format="26" series="1">
      <pivotArea type="data" outline="0" fieldPosition="0">
        <references count="2">
          <reference field="4294967294" count="1" selected="0">
            <x v="0"/>
          </reference>
          <reference field="3" count="1" selected="0">
            <x v="0"/>
          </reference>
        </references>
      </pivotArea>
    </chartFormat>
    <chartFormat chart="6" format="27" series="1">
      <pivotArea type="data" outline="0" fieldPosition="0">
        <references count="2">
          <reference field="4294967294" count="1" selected="0">
            <x v="0"/>
          </reference>
          <reference field="3" count="1" selected="0">
            <x v="1"/>
          </reference>
        </references>
      </pivotArea>
    </chartFormat>
    <chartFormat chart="6" format="28" series="1">
      <pivotArea type="data" outline="0" fieldPosition="0">
        <references count="2">
          <reference field="4294967294" count="1" selected="0">
            <x v="0"/>
          </reference>
          <reference field="3" count="1" selected="0">
            <x v="2"/>
          </reference>
        </references>
      </pivotArea>
    </chartFormat>
    <chartFormat chart="6" format="29" series="1">
      <pivotArea type="data" outline="0" fieldPosition="0">
        <references count="2">
          <reference field="4294967294" count="1" selected="0">
            <x v="0"/>
          </reference>
          <reference field="3" count="1" selected="0">
            <x v="3"/>
          </reference>
        </references>
      </pivotArea>
    </chartFormat>
    <chartFormat chart="6" format="30" series="1">
      <pivotArea type="data" outline="0" fieldPosition="0">
        <references count="2">
          <reference field="4294967294" count="1" selected="0">
            <x v="0"/>
          </reference>
          <reference field="3" count="1" selected="0">
            <x v="4"/>
          </reference>
        </references>
      </pivotArea>
    </chartFormat>
    <chartFormat chart="6" format="31" series="1">
      <pivotArea type="data" outline="0" fieldPosition="0">
        <references count="2">
          <reference field="4294967294" count="1" selected="0">
            <x v="0"/>
          </reference>
          <reference field="3" count="1" selected="0">
            <x v="5"/>
          </reference>
        </references>
      </pivotArea>
    </chartFormat>
    <chartFormat chart="6" format="32" series="1">
      <pivotArea type="data" outline="0" fieldPosition="0">
        <references count="2">
          <reference field="4294967294" count="1" selected="0">
            <x v="0"/>
          </reference>
          <reference field="3" count="1" selected="0">
            <x v="6"/>
          </reference>
        </references>
      </pivotArea>
    </chartFormat>
    <chartFormat chart="6" format="33" series="1">
      <pivotArea type="data" outline="0" fieldPosition="0">
        <references count="2">
          <reference field="4294967294" count="1" selected="0">
            <x v="0"/>
          </reference>
          <reference field="3" count="1" selected="0">
            <x v="7"/>
          </reference>
        </references>
      </pivotArea>
    </chartFormat>
    <chartFormat chart="6" format="34" series="1">
      <pivotArea type="data" outline="0" fieldPosition="0">
        <references count="2">
          <reference field="4294967294" count="1" selected="0">
            <x v="0"/>
          </reference>
          <reference field="3" count="1" selected="0">
            <x v="8"/>
          </reference>
        </references>
      </pivotArea>
    </chartFormat>
    <chartFormat chart="6" format="35" series="1">
      <pivotArea type="data" outline="0" fieldPosition="0">
        <references count="2">
          <reference field="4294967294" count="1" selected="0">
            <x v="0"/>
          </reference>
          <reference field="3" count="1" selected="0">
            <x v="9"/>
          </reference>
        </references>
      </pivotArea>
    </chartFormat>
    <chartFormat chart="6" format="36" series="1">
      <pivotArea type="data" outline="0" fieldPosition="0">
        <references count="2">
          <reference field="4294967294" count="1" selected="0">
            <x v="0"/>
          </reference>
          <reference field="3" count="1" selected="0">
            <x v="10"/>
          </reference>
        </references>
      </pivotArea>
    </chartFormat>
    <chartFormat chart="6" format="37" series="1">
      <pivotArea type="data" outline="0" fieldPosition="0">
        <references count="2">
          <reference field="4294967294" count="1" selected="0">
            <x v="0"/>
          </reference>
          <reference field="3" count="1" selected="0">
            <x v="11"/>
          </reference>
        </references>
      </pivotArea>
    </chartFormat>
    <chartFormat chart="6" format="38" series="1">
      <pivotArea type="data" outline="0" fieldPosition="0">
        <references count="2">
          <reference field="4294967294" count="1" selected="0">
            <x v="0"/>
          </reference>
          <reference field="3" count="1" selected="0">
            <x v="12"/>
          </reference>
        </references>
      </pivotArea>
    </chartFormat>
    <chartFormat chart="6" format="39" series="1">
      <pivotArea type="data" outline="0" fieldPosition="0">
        <references count="2">
          <reference field="4294967294" count="1" selected="0">
            <x v="0"/>
          </reference>
          <reference field="3" count="1" selected="0">
            <x v="13"/>
          </reference>
        </references>
      </pivotArea>
    </chartFormat>
    <chartFormat chart="6" format="40" series="1">
      <pivotArea type="data" outline="0" fieldPosition="0">
        <references count="2">
          <reference field="4294967294" count="1" selected="0">
            <x v="0"/>
          </reference>
          <reference field="3" count="1" selected="0">
            <x v="14"/>
          </reference>
        </references>
      </pivotArea>
    </chartFormat>
    <chartFormat chart="6" format="41" series="1">
      <pivotArea type="data" outline="0" fieldPosition="0">
        <references count="2">
          <reference field="4294967294" count="1" selected="0">
            <x v="0"/>
          </reference>
          <reference field="3" count="1" selected="0">
            <x v="15"/>
          </reference>
        </references>
      </pivotArea>
    </chartFormat>
    <chartFormat chart="6" format="42" series="1">
      <pivotArea type="data" outline="0" fieldPosition="0">
        <references count="2">
          <reference field="4294967294" count="1" selected="0">
            <x v="0"/>
          </reference>
          <reference field="3" count="1" selected="0">
            <x v="16"/>
          </reference>
        </references>
      </pivotArea>
    </chartFormat>
    <chartFormat chart="6" format="43" series="1">
      <pivotArea type="data" outline="0" fieldPosition="0">
        <references count="2">
          <reference field="4294967294" count="1" selected="0">
            <x v="0"/>
          </reference>
          <reference field="3" count="1" selected="0">
            <x v="17"/>
          </reference>
        </references>
      </pivotArea>
    </chartFormat>
    <chartFormat chart="6" format="44" series="1">
      <pivotArea type="data" outline="0" fieldPosition="0">
        <references count="2">
          <reference field="4294967294" count="1" selected="0">
            <x v="0"/>
          </reference>
          <reference field="3" count="1" selected="0">
            <x v="18"/>
          </reference>
        </references>
      </pivotArea>
    </chartFormat>
    <chartFormat chart="6" format="45" series="1">
      <pivotArea type="data" outline="0" fieldPosition="0">
        <references count="2">
          <reference field="4294967294" count="1" selected="0">
            <x v="0"/>
          </reference>
          <reference field="3" count="1" selected="0">
            <x v="19"/>
          </reference>
        </references>
      </pivotArea>
    </chartFormat>
    <chartFormat chart="6" format="46" series="1">
      <pivotArea type="data" outline="0" fieldPosition="0">
        <references count="2">
          <reference field="4294967294" count="1" selected="0">
            <x v="0"/>
          </reference>
          <reference field="3" count="1" selected="0">
            <x v="20"/>
          </reference>
        </references>
      </pivotArea>
    </chartFormat>
    <chartFormat chart="6" format="47" series="1">
      <pivotArea type="data" outline="0" fieldPosition="0">
        <references count="2">
          <reference field="4294967294" count="1" selected="0">
            <x v="0"/>
          </reference>
          <reference field="3" count="1" selected="0">
            <x v="21"/>
          </reference>
        </references>
      </pivotArea>
    </chartFormat>
    <chartFormat chart="6" format="48" series="1">
      <pivotArea type="data" outline="0" fieldPosition="0">
        <references count="2">
          <reference field="4294967294" count="1" selected="0">
            <x v="0"/>
          </reference>
          <reference field="3" count="1" selected="0">
            <x v="22"/>
          </reference>
        </references>
      </pivotArea>
    </chartFormat>
    <chartFormat chart="6" format="49" series="1">
      <pivotArea type="data" outline="0" fieldPosition="0">
        <references count="2">
          <reference field="4294967294" count="1" selected="0">
            <x v="0"/>
          </reference>
          <reference field="3" count="1" selected="0">
            <x v="23"/>
          </reference>
        </references>
      </pivotArea>
    </chartFormat>
    <chartFormat chart="6" format="50" series="1">
      <pivotArea type="data" outline="0" fieldPosition="0">
        <references count="2">
          <reference field="4294967294" count="1" selected="0">
            <x v="0"/>
          </reference>
          <reference field="3" count="1" selected="0">
            <x v="24"/>
          </reference>
        </references>
      </pivotArea>
    </chartFormat>
    <chartFormat chart="6" format="51" series="1">
      <pivotArea type="data" outline="0" fieldPosition="0">
        <references count="2">
          <reference field="4294967294" count="1" selected="0">
            <x v="0"/>
          </reference>
          <reference field="3" count="1" selected="0">
            <x v="25"/>
          </reference>
        </references>
      </pivotArea>
    </chartFormat>
    <chartFormat chart="7" format="52" series="1">
      <pivotArea type="data" outline="0" fieldPosition="0">
        <references count="2">
          <reference field="4294967294" count="1" selected="0">
            <x v="0"/>
          </reference>
          <reference field="3" count="1" selected="0">
            <x v="0"/>
          </reference>
        </references>
      </pivotArea>
    </chartFormat>
    <chartFormat chart="7" format="53" series="1">
      <pivotArea type="data" outline="0" fieldPosition="0">
        <references count="2">
          <reference field="4294967294" count="1" selected="0">
            <x v="0"/>
          </reference>
          <reference field="3" count="1" selected="0">
            <x v="1"/>
          </reference>
        </references>
      </pivotArea>
    </chartFormat>
    <chartFormat chart="7" format="54" series="1">
      <pivotArea type="data" outline="0" fieldPosition="0">
        <references count="2">
          <reference field="4294967294" count="1" selected="0">
            <x v="0"/>
          </reference>
          <reference field="3" count="1" selected="0">
            <x v="2"/>
          </reference>
        </references>
      </pivotArea>
    </chartFormat>
    <chartFormat chart="7" format="55" series="1">
      <pivotArea type="data" outline="0" fieldPosition="0">
        <references count="2">
          <reference field="4294967294" count="1" selected="0">
            <x v="0"/>
          </reference>
          <reference field="3" count="1" selected="0">
            <x v="3"/>
          </reference>
        </references>
      </pivotArea>
    </chartFormat>
    <chartFormat chart="7" format="56" series="1">
      <pivotArea type="data" outline="0" fieldPosition="0">
        <references count="2">
          <reference field="4294967294" count="1" selected="0">
            <x v="0"/>
          </reference>
          <reference field="3" count="1" selected="0">
            <x v="4"/>
          </reference>
        </references>
      </pivotArea>
    </chartFormat>
    <chartFormat chart="7" format="57" series="1">
      <pivotArea type="data" outline="0" fieldPosition="0">
        <references count="2">
          <reference field="4294967294" count="1" selected="0">
            <x v="0"/>
          </reference>
          <reference field="3" count="1" selected="0">
            <x v="5"/>
          </reference>
        </references>
      </pivotArea>
    </chartFormat>
    <chartFormat chart="7" format="58" series="1">
      <pivotArea type="data" outline="0" fieldPosition="0">
        <references count="2">
          <reference field="4294967294" count="1" selected="0">
            <x v="0"/>
          </reference>
          <reference field="3" count="1" selected="0">
            <x v="6"/>
          </reference>
        </references>
      </pivotArea>
    </chartFormat>
    <chartFormat chart="7" format="59" series="1">
      <pivotArea type="data" outline="0" fieldPosition="0">
        <references count="2">
          <reference field="4294967294" count="1" selected="0">
            <x v="0"/>
          </reference>
          <reference field="3" count="1" selected="0">
            <x v="7"/>
          </reference>
        </references>
      </pivotArea>
    </chartFormat>
    <chartFormat chart="7" format="60" series="1">
      <pivotArea type="data" outline="0" fieldPosition="0">
        <references count="2">
          <reference field="4294967294" count="1" selected="0">
            <x v="0"/>
          </reference>
          <reference field="3" count="1" selected="0">
            <x v="8"/>
          </reference>
        </references>
      </pivotArea>
    </chartFormat>
    <chartFormat chart="7" format="61" series="1">
      <pivotArea type="data" outline="0" fieldPosition="0">
        <references count="2">
          <reference field="4294967294" count="1" selected="0">
            <x v="0"/>
          </reference>
          <reference field="3" count="1" selected="0">
            <x v="9"/>
          </reference>
        </references>
      </pivotArea>
    </chartFormat>
    <chartFormat chart="7" format="62" series="1">
      <pivotArea type="data" outline="0" fieldPosition="0">
        <references count="2">
          <reference field="4294967294" count="1" selected="0">
            <x v="0"/>
          </reference>
          <reference field="3" count="1" selected="0">
            <x v="10"/>
          </reference>
        </references>
      </pivotArea>
    </chartFormat>
    <chartFormat chart="7" format="63" series="1">
      <pivotArea type="data" outline="0" fieldPosition="0">
        <references count="2">
          <reference field="4294967294" count="1" selected="0">
            <x v="0"/>
          </reference>
          <reference field="3" count="1" selected="0">
            <x v="11"/>
          </reference>
        </references>
      </pivotArea>
    </chartFormat>
    <chartFormat chart="7" format="64" series="1">
      <pivotArea type="data" outline="0" fieldPosition="0">
        <references count="2">
          <reference field="4294967294" count="1" selected="0">
            <x v="0"/>
          </reference>
          <reference field="3" count="1" selected="0">
            <x v="12"/>
          </reference>
        </references>
      </pivotArea>
    </chartFormat>
    <chartFormat chart="7" format="65" series="1">
      <pivotArea type="data" outline="0" fieldPosition="0">
        <references count="2">
          <reference field="4294967294" count="1" selected="0">
            <x v="0"/>
          </reference>
          <reference field="3" count="1" selected="0">
            <x v="13"/>
          </reference>
        </references>
      </pivotArea>
    </chartFormat>
    <chartFormat chart="7" format="66" series="1">
      <pivotArea type="data" outline="0" fieldPosition="0">
        <references count="2">
          <reference field="4294967294" count="1" selected="0">
            <x v="0"/>
          </reference>
          <reference field="3" count="1" selected="0">
            <x v="14"/>
          </reference>
        </references>
      </pivotArea>
    </chartFormat>
    <chartFormat chart="7" format="67" series="1">
      <pivotArea type="data" outline="0" fieldPosition="0">
        <references count="2">
          <reference field="4294967294" count="1" selected="0">
            <x v="0"/>
          </reference>
          <reference field="3" count="1" selected="0">
            <x v="15"/>
          </reference>
        </references>
      </pivotArea>
    </chartFormat>
    <chartFormat chart="7" format="68" series="1">
      <pivotArea type="data" outline="0" fieldPosition="0">
        <references count="2">
          <reference field="4294967294" count="1" selected="0">
            <x v="0"/>
          </reference>
          <reference field="3" count="1" selected="0">
            <x v="16"/>
          </reference>
        </references>
      </pivotArea>
    </chartFormat>
    <chartFormat chart="7" format="69" series="1">
      <pivotArea type="data" outline="0" fieldPosition="0">
        <references count="2">
          <reference field="4294967294" count="1" selected="0">
            <x v="0"/>
          </reference>
          <reference field="3" count="1" selected="0">
            <x v="17"/>
          </reference>
        </references>
      </pivotArea>
    </chartFormat>
    <chartFormat chart="7" format="70" series="1">
      <pivotArea type="data" outline="0" fieldPosition="0">
        <references count="2">
          <reference field="4294967294" count="1" selected="0">
            <x v="0"/>
          </reference>
          <reference field="3" count="1" selected="0">
            <x v="18"/>
          </reference>
        </references>
      </pivotArea>
    </chartFormat>
    <chartFormat chart="7" format="71" series="1">
      <pivotArea type="data" outline="0" fieldPosition="0">
        <references count="2">
          <reference field="4294967294" count="1" selected="0">
            <x v="0"/>
          </reference>
          <reference field="3" count="1" selected="0">
            <x v="19"/>
          </reference>
        </references>
      </pivotArea>
    </chartFormat>
    <chartFormat chart="7" format="72" series="1">
      <pivotArea type="data" outline="0" fieldPosition="0">
        <references count="2">
          <reference field="4294967294" count="1" selected="0">
            <x v="0"/>
          </reference>
          <reference field="3" count="1" selected="0">
            <x v="20"/>
          </reference>
        </references>
      </pivotArea>
    </chartFormat>
    <chartFormat chart="7" format="73" series="1">
      <pivotArea type="data" outline="0" fieldPosition="0">
        <references count="2">
          <reference field="4294967294" count="1" selected="0">
            <x v="0"/>
          </reference>
          <reference field="3" count="1" selected="0">
            <x v="21"/>
          </reference>
        </references>
      </pivotArea>
    </chartFormat>
    <chartFormat chart="7" format="74" series="1">
      <pivotArea type="data" outline="0" fieldPosition="0">
        <references count="2">
          <reference field="4294967294" count="1" selected="0">
            <x v="0"/>
          </reference>
          <reference field="3" count="1" selected="0">
            <x v="22"/>
          </reference>
        </references>
      </pivotArea>
    </chartFormat>
    <chartFormat chart="7" format="75" series="1">
      <pivotArea type="data" outline="0" fieldPosition="0">
        <references count="2">
          <reference field="4294967294" count="1" selected="0">
            <x v="0"/>
          </reference>
          <reference field="3" count="1" selected="0">
            <x v="23"/>
          </reference>
        </references>
      </pivotArea>
    </chartFormat>
    <chartFormat chart="7" format="76" series="1">
      <pivotArea type="data" outline="0" fieldPosition="0">
        <references count="2">
          <reference field="4294967294" count="1" selected="0">
            <x v="0"/>
          </reference>
          <reference field="3" count="1" selected="0">
            <x v="24"/>
          </reference>
        </references>
      </pivotArea>
    </chartFormat>
    <chartFormat chart="7" format="77" series="1">
      <pivotArea type="data" outline="0" fieldPosition="0">
        <references count="2">
          <reference field="4294967294" count="1" selected="0">
            <x v="0"/>
          </reference>
          <reference field="3" count="1" selected="0">
            <x v="25"/>
          </reference>
        </references>
      </pivotArea>
    </chartFormat>
    <chartFormat chart="7" format="78" series="1">
      <pivotArea type="data" outline="0" fieldPosition="0">
        <references count="1">
          <reference field="4294967294" count="1" selected="0">
            <x v="0"/>
          </reference>
        </references>
      </pivotArea>
    </chartFormat>
    <chartFormat chart="6" format="52" series="1">
      <pivotArea type="data" outline="0" fieldPosition="0">
        <references count="1">
          <reference field="4294967294" count="1" selected="0">
            <x v="0"/>
          </reference>
        </references>
      </pivotArea>
    </chartFormat>
    <chartFormat chart="3" format="2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2BD1D3-E39C-445A-91A3-650830FB0E55}" name="PivotTable3"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 rowHeaderCaption="Sub-Category">
  <location ref="A3:B19" firstHeaderRow="1" firstDataRow="1" firstDataCol="1"/>
  <pivotFields count="10">
    <pivotField showAll="0">
      <items count="71">
        <item x="29"/>
        <item x="8"/>
        <item x="57"/>
        <item x="9"/>
        <item x="3"/>
        <item x="61"/>
        <item x="22"/>
        <item x="69"/>
        <item x="7"/>
        <item x="35"/>
        <item x="36"/>
        <item x="60"/>
        <item x="43"/>
        <item x="58"/>
        <item x="37"/>
        <item x="33"/>
        <item x="28"/>
        <item x="59"/>
        <item x="24"/>
        <item x="68"/>
        <item x="14"/>
        <item x="12"/>
        <item x="54"/>
        <item x="2"/>
        <item x="50"/>
        <item x="6"/>
        <item x="27"/>
        <item x="17"/>
        <item x="49"/>
        <item x="13"/>
        <item x="56"/>
        <item x="30"/>
        <item x="41"/>
        <item x="5"/>
        <item x="47"/>
        <item x="63"/>
        <item x="26"/>
        <item x="23"/>
        <item x="19"/>
        <item x="0"/>
        <item x="16"/>
        <item x="31"/>
        <item x="48"/>
        <item x="10"/>
        <item x="42"/>
        <item x="65"/>
        <item x="21"/>
        <item x="25"/>
        <item x="51"/>
        <item x="1"/>
        <item x="64"/>
        <item x="4"/>
        <item x="62"/>
        <item x="39"/>
        <item x="44"/>
        <item x="46"/>
        <item x="11"/>
        <item x="45"/>
        <item x="34"/>
        <item x="32"/>
        <item x="66"/>
        <item x="20"/>
        <item x="18"/>
        <item x="15"/>
        <item x="40"/>
        <item x="38"/>
        <item x="67"/>
        <item x="55"/>
        <item x="52"/>
        <item x="53"/>
        <item t="default"/>
      </items>
    </pivotField>
    <pivotField showAll="0"/>
    <pivotField showAll="0"/>
    <pivotField showAll="0">
      <items count="27">
        <item x="19"/>
        <item x="16"/>
        <item x="1"/>
        <item x="22"/>
        <item x="13"/>
        <item x="2"/>
        <item x="10"/>
        <item x="14"/>
        <item x="23"/>
        <item x="0"/>
        <item x="12"/>
        <item x="11"/>
        <item x="25"/>
        <item x="8"/>
        <item x="15"/>
        <item x="3"/>
        <item x="24"/>
        <item x="21"/>
        <item x="9"/>
        <item x="20"/>
        <item x="18"/>
        <item x="5"/>
        <item x="7"/>
        <item x="17"/>
        <item x="4"/>
        <item x="6"/>
        <item t="default"/>
      </items>
    </pivotField>
    <pivotField axis="axisRow" showAll="0">
      <items count="16">
        <item x="11"/>
        <item x="9"/>
        <item x="6"/>
        <item x="8"/>
        <item x="0"/>
        <item x="1"/>
        <item x="12"/>
        <item x="13"/>
        <item x="5"/>
        <item x="2"/>
        <item x="10"/>
        <item x="7"/>
        <item x="4"/>
        <item x="14"/>
        <item x="3"/>
        <item t="default"/>
      </items>
    </pivotField>
    <pivotField showAll="0"/>
    <pivotField dataField="1" showAll="0"/>
    <pivotField showAll="0"/>
    <pivotField showAll="0"/>
    <pivotField showAll="0">
      <items count="13">
        <item x="7"/>
        <item x="11"/>
        <item x="10"/>
        <item x="4"/>
        <item x="5"/>
        <item x="9"/>
        <item x="6"/>
        <item x="0"/>
        <item x="3"/>
        <item x="8"/>
        <item x="2"/>
        <item x="1"/>
        <item t="default"/>
      </items>
    </pivotField>
  </pivotFields>
  <rowFields count="1">
    <field x="4"/>
  </rowFields>
  <rowItems count="16">
    <i>
      <x/>
    </i>
    <i>
      <x v="1"/>
    </i>
    <i>
      <x v="2"/>
    </i>
    <i>
      <x v="3"/>
    </i>
    <i>
      <x v="4"/>
    </i>
    <i>
      <x v="5"/>
    </i>
    <i>
      <x v="6"/>
    </i>
    <i>
      <x v="7"/>
    </i>
    <i>
      <x v="8"/>
    </i>
    <i>
      <x v="9"/>
    </i>
    <i>
      <x v="10"/>
    </i>
    <i>
      <x v="11"/>
    </i>
    <i>
      <x v="12"/>
    </i>
    <i>
      <x v="13"/>
    </i>
    <i>
      <x v="14"/>
    </i>
    <i t="grand">
      <x/>
    </i>
  </rowItems>
  <colItems count="1">
    <i/>
  </colItems>
  <dataFields count="1">
    <dataField name="Sum of Sales" fld="6" showDataAs="percentOfTotal" baseField="4" baseItem="8" numFmtId="10"/>
  </dataFields>
  <chartFormats count="32">
    <chartFormat chart="0" format="0" series="1">
      <pivotArea type="data" outline="0" fieldPosition="0">
        <references count="1">
          <reference field="4294967294" count="1" selected="0">
            <x v="0"/>
          </reference>
        </references>
      </pivotArea>
    </chartFormat>
    <chartFormat chart="2" format="17" series="1">
      <pivotArea type="data" outline="0" fieldPosition="0">
        <references count="1">
          <reference field="4294967294" count="1" selected="0">
            <x v="0"/>
          </reference>
        </references>
      </pivotArea>
    </chartFormat>
    <chartFormat chart="2" format="18">
      <pivotArea type="data" outline="0" fieldPosition="0">
        <references count="2">
          <reference field="4294967294" count="1" selected="0">
            <x v="0"/>
          </reference>
          <reference field="4" count="1" selected="0">
            <x v="0"/>
          </reference>
        </references>
      </pivotArea>
    </chartFormat>
    <chartFormat chart="2" format="19">
      <pivotArea type="data" outline="0" fieldPosition="0">
        <references count="2">
          <reference field="4294967294" count="1" selected="0">
            <x v="0"/>
          </reference>
          <reference field="4" count="1" selected="0">
            <x v="1"/>
          </reference>
        </references>
      </pivotArea>
    </chartFormat>
    <chartFormat chart="2" format="20">
      <pivotArea type="data" outline="0" fieldPosition="0">
        <references count="2">
          <reference field="4294967294" count="1" selected="0">
            <x v="0"/>
          </reference>
          <reference field="4" count="1" selected="0">
            <x v="2"/>
          </reference>
        </references>
      </pivotArea>
    </chartFormat>
    <chartFormat chart="2" format="21">
      <pivotArea type="data" outline="0" fieldPosition="0">
        <references count="2">
          <reference field="4294967294" count="1" selected="0">
            <x v="0"/>
          </reference>
          <reference field="4" count="1" selected="0">
            <x v="3"/>
          </reference>
        </references>
      </pivotArea>
    </chartFormat>
    <chartFormat chart="2" format="22">
      <pivotArea type="data" outline="0" fieldPosition="0">
        <references count="2">
          <reference field="4294967294" count="1" selected="0">
            <x v="0"/>
          </reference>
          <reference field="4" count="1" selected="0">
            <x v="4"/>
          </reference>
        </references>
      </pivotArea>
    </chartFormat>
    <chartFormat chart="2" format="23">
      <pivotArea type="data" outline="0" fieldPosition="0">
        <references count="2">
          <reference field="4294967294" count="1" selected="0">
            <x v="0"/>
          </reference>
          <reference field="4" count="1" selected="0">
            <x v="5"/>
          </reference>
        </references>
      </pivotArea>
    </chartFormat>
    <chartFormat chart="2" format="24">
      <pivotArea type="data" outline="0" fieldPosition="0">
        <references count="2">
          <reference field="4294967294" count="1" selected="0">
            <x v="0"/>
          </reference>
          <reference field="4" count="1" selected="0">
            <x v="6"/>
          </reference>
        </references>
      </pivotArea>
    </chartFormat>
    <chartFormat chart="2" format="25">
      <pivotArea type="data" outline="0" fieldPosition="0">
        <references count="2">
          <reference field="4294967294" count="1" selected="0">
            <x v="0"/>
          </reference>
          <reference field="4" count="1" selected="0">
            <x v="7"/>
          </reference>
        </references>
      </pivotArea>
    </chartFormat>
    <chartFormat chart="2" format="26">
      <pivotArea type="data" outline="0" fieldPosition="0">
        <references count="2">
          <reference field="4294967294" count="1" selected="0">
            <x v="0"/>
          </reference>
          <reference field="4" count="1" selected="0">
            <x v="8"/>
          </reference>
        </references>
      </pivotArea>
    </chartFormat>
    <chartFormat chart="2" format="27">
      <pivotArea type="data" outline="0" fieldPosition="0">
        <references count="2">
          <reference field="4294967294" count="1" selected="0">
            <x v="0"/>
          </reference>
          <reference field="4" count="1" selected="0">
            <x v="9"/>
          </reference>
        </references>
      </pivotArea>
    </chartFormat>
    <chartFormat chart="2" format="28">
      <pivotArea type="data" outline="0" fieldPosition="0">
        <references count="2">
          <reference field="4294967294" count="1" selected="0">
            <x v="0"/>
          </reference>
          <reference field="4" count="1" selected="0">
            <x v="10"/>
          </reference>
        </references>
      </pivotArea>
    </chartFormat>
    <chartFormat chart="2" format="29">
      <pivotArea type="data" outline="0" fieldPosition="0">
        <references count="2">
          <reference field="4294967294" count="1" selected="0">
            <x v="0"/>
          </reference>
          <reference field="4" count="1" selected="0">
            <x v="11"/>
          </reference>
        </references>
      </pivotArea>
    </chartFormat>
    <chartFormat chart="2" format="30">
      <pivotArea type="data" outline="0" fieldPosition="0">
        <references count="2">
          <reference field="4294967294" count="1" selected="0">
            <x v="0"/>
          </reference>
          <reference field="4" count="1" selected="0">
            <x v="12"/>
          </reference>
        </references>
      </pivotArea>
    </chartFormat>
    <chartFormat chart="2" format="31">
      <pivotArea type="data" outline="0" fieldPosition="0">
        <references count="2">
          <reference field="4294967294" count="1" selected="0">
            <x v="0"/>
          </reference>
          <reference field="4" count="1" selected="0">
            <x v="13"/>
          </reference>
        </references>
      </pivotArea>
    </chartFormat>
    <chartFormat chart="2" format="32">
      <pivotArea type="data" outline="0" fieldPosition="0">
        <references count="2">
          <reference field="4294967294" count="1" selected="0">
            <x v="0"/>
          </reference>
          <reference field="4" count="1" selected="0">
            <x v="14"/>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 chart="0" format="5">
      <pivotArea type="data" outline="0" fieldPosition="0">
        <references count="2">
          <reference field="4294967294" count="1" selected="0">
            <x v="0"/>
          </reference>
          <reference field="4" count="1" selected="0">
            <x v="4"/>
          </reference>
        </references>
      </pivotArea>
    </chartFormat>
    <chartFormat chart="0" format="6">
      <pivotArea type="data" outline="0" fieldPosition="0">
        <references count="2">
          <reference field="4294967294" count="1" selected="0">
            <x v="0"/>
          </reference>
          <reference field="4" count="1" selected="0">
            <x v="5"/>
          </reference>
        </references>
      </pivotArea>
    </chartFormat>
    <chartFormat chart="0" format="7">
      <pivotArea type="data" outline="0" fieldPosition="0">
        <references count="2">
          <reference field="4294967294" count="1" selected="0">
            <x v="0"/>
          </reference>
          <reference field="4" count="1" selected="0">
            <x v="6"/>
          </reference>
        </references>
      </pivotArea>
    </chartFormat>
    <chartFormat chart="0" format="8">
      <pivotArea type="data" outline="0" fieldPosition="0">
        <references count="2">
          <reference field="4294967294" count="1" selected="0">
            <x v="0"/>
          </reference>
          <reference field="4" count="1" selected="0">
            <x v="7"/>
          </reference>
        </references>
      </pivotArea>
    </chartFormat>
    <chartFormat chart="0" format="9">
      <pivotArea type="data" outline="0" fieldPosition="0">
        <references count="2">
          <reference field="4294967294" count="1" selected="0">
            <x v="0"/>
          </reference>
          <reference field="4" count="1" selected="0">
            <x v="8"/>
          </reference>
        </references>
      </pivotArea>
    </chartFormat>
    <chartFormat chart="0" format="10">
      <pivotArea type="data" outline="0" fieldPosition="0">
        <references count="2">
          <reference field="4294967294" count="1" selected="0">
            <x v="0"/>
          </reference>
          <reference field="4" count="1" selected="0">
            <x v="9"/>
          </reference>
        </references>
      </pivotArea>
    </chartFormat>
    <chartFormat chart="0" format="11">
      <pivotArea type="data" outline="0" fieldPosition="0">
        <references count="2">
          <reference field="4294967294" count="1" selected="0">
            <x v="0"/>
          </reference>
          <reference field="4" count="1" selected="0">
            <x v="10"/>
          </reference>
        </references>
      </pivotArea>
    </chartFormat>
    <chartFormat chart="0" format="12">
      <pivotArea type="data" outline="0" fieldPosition="0">
        <references count="2">
          <reference field="4294967294" count="1" selected="0">
            <x v="0"/>
          </reference>
          <reference field="4" count="1" selected="0">
            <x v="11"/>
          </reference>
        </references>
      </pivotArea>
    </chartFormat>
    <chartFormat chart="0" format="13">
      <pivotArea type="data" outline="0" fieldPosition="0">
        <references count="2">
          <reference field="4294967294" count="1" selected="0">
            <x v="0"/>
          </reference>
          <reference field="4" count="1" selected="0">
            <x v="12"/>
          </reference>
        </references>
      </pivotArea>
    </chartFormat>
    <chartFormat chart="0" format="14">
      <pivotArea type="data" outline="0" fieldPosition="0">
        <references count="2">
          <reference field="4294967294" count="1" selected="0">
            <x v="0"/>
          </reference>
          <reference field="4" count="1" selected="0">
            <x v="13"/>
          </reference>
        </references>
      </pivotArea>
    </chartFormat>
    <chartFormat chart="0" format="15">
      <pivotArea type="data" outline="0" fieldPosition="0">
        <references count="2">
          <reference field="4294967294" count="1" selected="0">
            <x v="0"/>
          </reference>
          <reference field="4" count="1" selected="0">
            <x v="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097555-E5EA-4A0C-9CF2-44A75FFF394A}" name="PivotTable4"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 rowHeaderCaption="Sub-category">
  <location ref="A3:B19" firstHeaderRow="1" firstDataRow="1" firstDataCol="1"/>
  <pivotFields count="10">
    <pivotField showAll="0">
      <items count="71">
        <item x="29"/>
        <item x="8"/>
        <item x="57"/>
        <item x="9"/>
        <item x="3"/>
        <item x="61"/>
        <item x="22"/>
        <item x="69"/>
        <item x="7"/>
        <item x="35"/>
        <item x="36"/>
        <item x="60"/>
        <item x="43"/>
        <item x="58"/>
        <item x="37"/>
        <item x="33"/>
        <item x="28"/>
        <item x="59"/>
        <item x="24"/>
        <item x="68"/>
        <item x="14"/>
        <item x="12"/>
        <item x="54"/>
        <item x="2"/>
        <item x="50"/>
        <item x="6"/>
        <item x="27"/>
        <item x="17"/>
        <item x="49"/>
        <item x="13"/>
        <item x="56"/>
        <item x="30"/>
        <item x="41"/>
        <item x="5"/>
        <item x="47"/>
        <item x="63"/>
        <item x="26"/>
        <item x="23"/>
        <item x="19"/>
        <item x="0"/>
        <item x="16"/>
        <item x="31"/>
        <item x="48"/>
        <item x="10"/>
        <item x="42"/>
        <item x="65"/>
        <item x="21"/>
        <item x="25"/>
        <item x="51"/>
        <item x="1"/>
        <item x="64"/>
        <item x="4"/>
        <item x="62"/>
        <item x="39"/>
        <item x="44"/>
        <item x="46"/>
        <item x="11"/>
        <item x="45"/>
        <item x="34"/>
        <item x="32"/>
        <item x="66"/>
        <item x="20"/>
        <item x="18"/>
        <item x="15"/>
        <item x="40"/>
        <item x="38"/>
        <item x="67"/>
        <item x="55"/>
        <item x="52"/>
        <item x="53"/>
        <item t="default"/>
      </items>
    </pivotField>
    <pivotField showAll="0"/>
    <pivotField showAll="0"/>
    <pivotField showAll="0">
      <items count="27">
        <item x="19"/>
        <item x="16"/>
        <item x="1"/>
        <item x="22"/>
        <item x="13"/>
        <item x="2"/>
        <item x="10"/>
        <item x="14"/>
        <item x="23"/>
        <item x="0"/>
        <item x="12"/>
        <item x="11"/>
        <item x="25"/>
        <item x="8"/>
        <item x="15"/>
        <item x="3"/>
        <item x="24"/>
        <item x="21"/>
        <item x="9"/>
        <item x="20"/>
        <item x="18"/>
        <item x="5"/>
        <item x="7"/>
        <item x="17"/>
        <item x="4"/>
        <item x="6"/>
        <item t="default"/>
      </items>
    </pivotField>
    <pivotField axis="axisRow" showAll="0">
      <items count="16">
        <item x="11"/>
        <item x="9"/>
        <item x="6"/>
        <item x="8"/>
        <item x="0"/>
        <item x="1"/>
        <item x="12"/>
        <item x="13"/>
        <item x="5"/>
        <item x="2"/>
        <item x="10"/>
        <item x="7"/>
        <item x="4"/>
        <item x="14"/>
        <item x="3"/>
        <item t="default"/>
      </items>
    </pivotField>
    <pivotField showAll="0"/>
    <pivotField showAll="0"/>
    <pivotField showAll="0"/>
    <pivotField dataField="1" showAll="0"/>
    <pivotField showAll="0">
      <items count="13">
        <item x="7"/>
        <item x="11"/>
        <item x="10"/>
        <item x="4"/>
        <item x="5"/>
        <item x="9"/>
        <item x="6"/>
        <item x="0"/>
        <item x="3"/>
        <item x="8"/>
        <item x="2"/>
        <item x="1"/>
        <item t="default"/>
      </items>
    </pivotField>
  </pivotFields>
  <rowFields count="1">
    <field x="4"/>
  </rowFields>
  <rowItems count="16">
    <i>
      <x/>
    </i>
    <i>
      <x v="1"/>
    </i>
    <i>
      <x v="2"/>
    </i>
    <i>
      <x v="3"/>
    </i>
    <i>
      <x v="4"/>
    </i>
    <i>
      <x v="5"/>
    </i>
    <i>
      <x v="6"/>
    </i>
    <i>
      <x v="7"/>
    </i>
    <i>
      <x v="8"/>
    </i>
    <i>
      <x v="9"/>
    </i>
    <i>
      <x v="10"/>
    </i>
    <i>
      <x v="11"/>
    </i>
    <i>
      <x v="12"/>
    </i>
    <i>
      <x v="13"/>
    </i>
    <i>
      <x v="14"/>
    </i>
    <i t="grand">
      <x/>
    </i>
  </rowItems>
  <colItems count="1">
    <i/>
  </colItems>
  <dataFields count="1">
    <dataField name="Sum of Profit"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AFE4C4-AD1E-4566-86E9-5BF9365DB124}" name="PivotTable5"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6" rowHeaderCaption="Month">
  <location ref="A3:C16" firstHeaderRow="0" firstDataRow="1" firstDataCol="1"/>
  <pivotFields count="10">
    <pivotField showAll="0">
      <items count="71">
        <item x="29"/>
        <item x="8"/>
        <item x="57"/>
        <item x="9"/>
        <item x="3"/>
        <item x="61"/>
        <item x="22"/>
        <item x="69"/>
        <item x="7"/>
        <item x="35"/>
        <item x="36"/>
        <item x="60"/>
        <item x="43"/>
        <item x="58"/>
        <item x="37"/>
        <item x="33"/>
        <item x="28"/>
        <item x="59"/>
        <item x="24"/>
        <item x="68"/>
        <item x="14"/>
        <item x="12"/>
        <item x="54"/>
        <item x="2"/>
        <item x="50"/>
        <item x="6"/>
        <item x="27"/>
        <item x="17"/>
        <item x="49"/>
        <item x="13"/>
        <item x="56"/>
        <item x="30"/>
        <item x="41"/>
        <item x="5"/>
        <item x="47"/>
        <item x="63"/>
        <item x="26"/>
        <item x="23"/>
        <item x="19"/>
        <item x="0"/>
        <item x="16"/>
        <item x="31"/>
        <item x="48"/>
        <item x="10"/>
        <item x="42"/>
        <item x="65"/>
        <item x="21"/>
        <item x="25"/>
        <item x="51"/>
        <item x="1"/>
        <item x="64"/>
        <item x="4"/>
        <item x="62"/>
        <item x="39"/>
        <item x="44"/>
        <item x="46"/>
        <item x="11"/>
        <item x="45"/>
        <item x="34"/>
        <item x="32"/>
        <item x="66"/>
        <item x="20"/>
        <item x="18"/>
        <item x="15"/>
        <item x="40"/>
        <item x="38"/>
        <item x="67"/>
        <item x="55"/>
        <item x="52"/>
        <item x="53"/>
        <item t="default"/>
      </items>
    </pivotField>
    <pivotField showAll="0"/>
    <pivotField showAll="0"/>
    <pivotField showAll="0">
      <items count="27">
        <item x="19"/>
        <item x="16"/>
        <item x="1"/>
        <item x="22"/>
        <item x="13"/>
        <item x="2"/>
        <item x="10"/>
        <item x="14"/>
        <item x="23"/>
        <item x="0"/>
        <item x="12"/>
        <item x="11"/>
        <item x="25"/>
        <item x="8"/>
        <item x="15"/>
        <item x="3"/>
        <item x="24"/>
        <item x="21"/>
        <item x="9"/>
        <item x="20"/>
        <item x="18"/>
        <item x="5"/>
        <item x="7"/>
        <item x="17"/>
        <item x="4"/>
        <item x="6"/>
        <item t="default"/>
      </items>
    </pivotField>
    <pivotField showAll="0">
      <items count="16">
        <item x="11"/>
        <item x="9"/>
        <item x="6"/>
        <item x="8"/>
        <item x="0"/>
        <item x="1"/>
        <item x="12"/>
        <item x="13"/>
        <item x="5"/>
        <item x="2"/>
        <item x="10"/>
        <item x="7"/>
        <item x="4"/>
        <item x="14"/>
        <item x="3"/>
        <item t="default"/>
      </items>
    </pivotField>
    <pivotField showAll="0"/>
    <pivotField dataField="1" showAll="0"/>
    <pivotField showAll="0"/>
    <pivotField dataField="1" showAll="0"/>
    <pivotField axis="axisRow" showAll="0">
      <items count="13">
        <item x="7"/>
        <item x="11"/>
        <item x="10"/>
        <item x="4"/>
        <item x="5"/>
        <item x="9"/>
        <item x="6"/>
        <item x="0"/>
        <item x="3"/>
        <item x="8"/>
        <item x="2"/>
        <item x="1"/>
        <item t="default"/>
      </items>
    </pivotField>
  </pivotFields>
  <rowFields count="1">
    <field x="9"/>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fld="6" baseField="0" baseItem="0"/>
    <dataField name="Sum of Profit" fld="8"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DEEEECDB-DCE2-4DBD-AECC-CCFF8403796B}" sourceName="State">
  <pivotTables>
    <pivotTable tabId="7" name="PivotTable2"/>
    <pivotTable tabId="10" name="PivotTable5"/>
    <pivotTable tabId="9" name="PivotTable4"/>
    <pivotTable tabId="8" name="PivotTable3"/>
  </pivotTables>
  <data>
    <tabular pivotCacheId="939450813">
      <items count="26">
        <i x="19" s="1"/>
        <i x="16" s="1"/>
        <i x="1" s="1"/>
        <i x="22" s="1"/>
        <i x="13" s="1"/>
        <i x="2" s="1"/>
        <i x="10" s="1"/>
        <i x="14" s="1"/>
        <i x="23" s="1"/>
        <i x="0" s="1"/>
        <i x="12" s="1"/>
        <i x="11" s="1"/>
        <i x="25" s="1"/>
        <i x="8" s="1"/>
        <i x="15" s="1"/>
        <i x="3" s="1"/>
        <i x="24" s="1"/>
        <i x="21" s="1"/>
        <i x="9" s="1"/>
        <i x="20" s="1"/>
        <i x="18" s="1"/>
        <i x="5" s="1"/>
        <i x="7" s="1"/>
        <i x="17" s="1"/>
        <i x="4"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4DCE824B-5840-4BAD-921C-BB5646D9ED75}" sourceName="Sub-Category">
  <pivotTables>
    <pivotTable tabId="9" name="PivotTable4"/>
    <pivotTable tabId="10" name="PivotTable5"/>
    <pivotTable tabId="7" name="PivotTable2"/>
    <pivotTable tabId="8" name="PivotTable3"/>
  </pivotTables>
  <data>
    <tabular pivotCacheId="939450813">
      <items count="15">
        <i x="11" s="1"/>
        <i x="9" s="1"/>
        <i x="6" s="1"/>
        <i x="8" s="1"/>
        <i x="0" s="1"/>
        <i x="1" s="1"/>
        <i x="12" s="1"/>
        <i x="13" s="1"/>
        <i x="5" s="1"/>
        <i x="2" s="1"/>
        <i x="10" s="1"/>
        <i x="7" s="1"/>
        <i x="4" s="1"/>
        <i x="1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E3BCB80-C10C-4E31-94CA-5DB4309E7E07}" sourceName="Month">
  <pivotTables>
    <pivotTable tabId="10" name="PivotTable5"/>
    <pivotTable tabId="9" name="PivotTable4"/>
    <pivotTable tabId="7" name="PivotTable2"/>
    <pivotTable tabId="8" name="PivotTable3"/>
  </pivotTables>
  <data>
    <tabular pivotCacheId="939450813">
      <items count="12">
        <i x="7" s="1"/>
        <i x="11" s="1"/>
        <i x="10" s="1"/>
        <i x="4" s="1"/>
        <i x="5" s="1"/>
        <i x="9" s="1"/>
        <i x="6" s="1"/>
        <i x="0" s="1"/>
        <i x="3" s="1"/>
        <i x="8"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2D0184F9-FE1A-4D48-9C09-1D6FC0F3E018}" cache="Slicer_State" caption="State" style="SlicerStyleDark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Category" xr10:uid="{9C736DDD-862E-4138-839B-50438F981337}" cache="Slicer_Sub_Category" caption="Sub-Category" style="SlicerStyleDark4"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E4358F37-EA52-41E6-AD46-F3A1BF605613}" cache="Slicer_Month" caption="Month" style="SlicerStyleDark4"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69450DC5-0FE9-4CBD-AC76-780CF92FB9A5}" cache="Slicer_State" caption="State" style="SlicerStyleDark4" rowHeight="241300"/>
  <slicer name="Sub-Category 1" xr10:uid="{72EAA9B3-2167-45B0-9C2A-46668F83AF1B}" cache="Slicer_Sub_Category" caption="Sub-Category" style="SlicerStyleDark4" rowHeight="241300"/>
  <slicer name="Month 1" xr10:uid="{E296CE50-7EA2-44EC-AAB6-29D92BA57930}" cache="Slicer_Month" caption="Month" style="SlicerStyleDark4"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9B3FD147-C6FC-4447-A29C-466B4E73B19A}" sourceName="Order Date">
  <pivotTables>
    <pivotTable tabId="10" name="PivotTable5"/>
    <pivotTable tabId="9" name="PivotTable4"/>
    <pivotTable tabId="7" name="PivotTable2"/>
    <pivotTable tabId="8" name="PivotTable3"/>
  </pivotTables>
  <state minimalRefreshVersion="6" lastRefreshVersion="6" pivotCacheId="939450813" filterType="unknown">
    <bounds startDate="2014-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E4FA1EDF-6F94-4125-9A08-B7D426E4FF04}" cache="NativeTimeline_Order_Date" caption="Order Date" level="0" selectionLevel="0" scrollPosition="2014-01-01T00:00:00" style="TimeSlicerStyleDark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92D37E3A-0110-4066-BDC3-38470606F347}" cache="NativeTimeline_Order_Date" caption="Order Date" level="0" selectionLevel="0" scrollPosition="2014-01-01T00:00:00" style="TimeSlicerStyleDark2"/>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 Id="rId4" Type="http://schemas.microsoft.com/office/2011/relationships/timeline" Target="../timelines/timeline1.xml"/></Relationships>
</file>

<file path=xl/worksheets/_rels/sheet5.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4.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7E564-C6EF-48CD-8EC8-7C5F23DC91A1}">
  <dimension ref="A3:AB20"/>
  <sheetViews>
    <sheetView topLeftCell="A19" zoomScale="94" workbookViewId="0">
      <selection activeCell="F16" sqref="F16"/>
    </sheetView>
  </sheetViews>
  <sheetFormatPr defaultRowHeight="14.5" x14ac:dyDescent="0.35"/>
  <cols>
    <col min="1" max="1" width="14.36328125" bestFit="1" customWidth="1"/>
    <col min="2" max="2" width="8.1796875" bestFit="1" customWidth="1"/>
    <col min="3" max="4" width="9.36328125" bestFit="1" customWidth="1"/>
    <col min="5" max="5" width="8.453125" bestFit="1" customWidth="1"/>
    <col min="6" max="6" width="8.90625" bestFit="1" customWidth="1"/>
    <col min="7" max="7" width="10.453125" bestFit="1" customWidth="1"/>
    <col min="8" max="8" width="9.36328125" bestFit="1" customWidth="1"/>
    <col min="9" max="9" width="7.26953125" bestFit="1" customWidth="1"/>
    <col min="10" max="10" width="6.1796875" bestFit="1" customWidth="1"/>
    <col min="11" max="11" width="8.6328125" bestFit="1" customWidth="1"/>
    <col min="12" max="12" width="8.54296875" bestFit="1" customWidth="1"/>
    <col min="13" max="13" width="9.81640625" bestFit="1" customWidth="1"/>
    <col min="14" max="14" width="8" bestFit="1" customWidth="1"/>
    <col min="15" max="15" width="8.7265625" bestFit="1" customWidth="1"/>
    <col min="16" max="16" width="9.36328125" bestFit="1" customWidth="1"/>
    <col min="17" max="17" width="13.1796875" bestFit="1" customWidth="1"/>
    <col min="18" max="18" width="8.26953125" bestFit="1" customWidth="1"/>
    <col min="19" max="19" width="7.08984375" bestFit="1" customWidth="1"/>
    <col min="20" max="20" width="11.81640625" bestFit="1" customWidth="1"/>
    <col min="21" max="21" width="13.1796875" bestFit="1" customWidth="1"/>
    <col min="22" max="22" width="9.7265625" bestFit="1" customWidth="1"/>
    <col min="23" max="23" width="10.453125" bestFit="1" customWidth="1"/>
    <col min="24" max="24" width="8.26953125" bestFit="1" customWidth="1"/>
    <col min="25" max="25" width="7.1796875" bestFit="1" customWidth="1"/>
    <col min="26" max="26" width="10.90625" bestFit="1" customWidth="1"/>
    <col min="27" max="27" width="9.26953125" bestFit="1" customWidth="1"/>
    <col min="28" max="28" width="11.54296875" bestFit="1" customWidth="1"/>
  </cols>
  <sheetData>
    <row r="3" spans="1:28" x14ac:dyDescent="0.35">
      <c r="A3" s="4" t="s">
        <v>3859</v>
      </c>
      <c r="B3" s="4" t="s">
        <v>3</v>
      </c>
    </row>
    <row r="4" spans="1:28" x14ac:dyDescent="0.35">
      <c r="A4" s="4" t="s">
        <v>4</v>
      </c>
      <c r="B4" t="s">
        <v>182</v>
      </c>
      <c r="C4" t="s">
        <v>158</v>
      </c>
      <c r="D4" t="s">
        <v>18</v>
      </c>
      <c r="E4" t="s">
        <v>229</v>
      </c>
      <c r="F4" t="s">
        <v>124</v>
      </c>
      <c r="G4" t="s">
        <v>23</v>
      </c>
      <c r="H4" t="s">
        <v>106</v>
      </c>
      <c r="I4" t="s">
        <v>129</v>
      </c>
      <c r="J4" t="s">
        <v>245</v>
      </c>
      <c r="K4" t="s">
        <v>11</v>
      </c>
      <c r="L4" t="s">
        <v>120</v>
      </c>
      <c r="M4" t="s">
        <v>115</v>
      </c>
      <c r="N4" t="s">
        <v>298</v>
      </c>
      <c r="O4" t="s">
        <v>70</v>
      </c>
      <c r="P4" t="s">
        <v>136</v>
      </c>
      <c r="Q4" t="s">
        <v>43</v>
      </c>
      <c r="R4" t="s">
        <v>250</v>
      </c>
      <c r="S4" t="s">
        <v>212</v>
      </c>
      <c r="T4" t="s">
        <v>75</v>
      </c>
      <c r="U4" t="s">
        <v>194</v>
      </c>
      <c r="V4" t="s">
        <v>171</v>
      </c>
      <c r="W4" t="s">
        <v>52</v>
      </c>
      <c r="X4" t="s">
        <v>61</v>
      </c>
      <c r="Y4" t="s">
        <v>163</v>
      </c>
      <c r="Z4" t="s">
        <v>48</v>
      </c>
      <c r="AA4" t="s">
        <v>57</v>
      </c>
      <c r="AB4" t="s">
        <v>3857</v>
      </c>
    </row>
    <row r="5" spans="1:28" x14ac:dyDescent="0.35">
      <c r="A5" s="2" t="s">
        <v>81</v>
      </c>
      <c r="B5" s="5"/>
      <c r="C5" s="5"/>
      <c r="D5" s="5">
        <v>104.55</v>
      </c>
      <c r="E5" s="5">
        <v>238.89599999999999</v>
      </c>
      <c r="F5" s="5">
        <v>45</v>
      </c>
      <c r="G5" s="5"/>
      <c r="H5" s="5">
        <v>435.93599999999998</v>
      </c>
      <c r="I5" s="5"/>
      <c r="J5" s="5"/>
      <c r="K5" s="5"/>
      <c r="L5" s="5"/>
      <c r="M5" s="5">
        <v>65.97</v>
      </c>
      <c r="N5" s="5"/>
      <c r="O5" s="5"/>
      <c r="P5" s="5">
        <v>30</v>
      </c>
      <c r="Q5" s="5">
        <v>74.111999999999995</v>
      </c>
      <c r="R5" s="5"/>
      <c r="S5" s="5"/>
      <c r="T5" s="5"/>
      <c r="U5" s="5"/>
      <c r="V5" s="5"/>
      <c r="W5" s="5"/>
      <c r="X5" s="5"/>
      <c r="Y5" s="5"/>
      <c r="Z5" s="5"/>
      <c r="AA5" s="5"/>
      <c r="AB5" s="5">
        <v>994.46399999999994</v>
      </c>
    </row>
    <row r="6" spans="1:28" x14ac:dyDescent="0.35">
      <c r="A6" s="2" t="s">
        <v>37</v>
      </c>
      <c r="B6" s="5">
        <v>208.16</v>
      </c>
      <c r="C6" s="5"/>
      <c r="D6" s="5">
        <v>114.9</v>
      </c>
      <c r="E6" s="5"/>
      <c r="F6" s="5"/>
      <c r="G6" s="5"/>
      <c r="H6" s="5"/>
      <c r="I6" s="5"/>
      <c r="J6" s="5"/>
      <c r="K6" s="5"/>
      <c r="L6" s="5"/>
      <c r="M6" s="5">
        <v>77.88</v>
      </c>
      <c r="N6" s="5">
        <v>839.43</v>
      </c>
      <c r="O6" s="5">
        <v>60.34</v>
      </c>
      <c r="P6" s="5"/>
      <c r="Q6" s="5"/>
      <c r="R6" s="5"/>
      <c r="S6" s="5"/>
      <c r="T6" s="5"/>
      <c r="U6" s="5"/>
      <c r="V6" s="5"/>
      <c r="W6" s="5">
        <v>68.81</v>
      </c>
      <c r="X6" s="5"/>
      <c r="Y6" s="5"/>
      <c r="Z6" s="5"/>
      <c r="AA6" s="5"/>
      <c r="AB6" s="5">
        <v>1369.5199999999998</v>
      </c>
    </row>
    <row r="7" spans="1:28" x14ac:dyDescent="0.35">
      <c r="A7" s="2" t="s">
        <v>31</v>
      </c>
      <c r="B7" s="5"/>
      <c r="C7" s="5">
        <v>1113.0239999999999</v>
      </c>
      <c r="D7" s="5">
        <v>71.180000000000007</v>
      </c>
      <c r="E7" s="5"/>
      <c r="F7" s="5"/>
      <c r="G7" s="5"/>
      <c r="H7" s="5"/>
      <c r="I7" s="5"/>
      <c r="J7" s="5">
        <v>75.959999999999994</v>
      </c>
      <c r="K7" s="5"/>
      <c r="L7" s="5"/>
      <c r="M7" s="5"/>
      <c r="N7" s="5"/>
      <c r="O7" s="5">
        <v>19.46</v>
      </c>
      <c r="P7" s="5">
        <v>1.68</v>
      </c>
      <c r="Q7" s="5">
        <v>3.3039999999999998</v>
      </c>
      <c r="R7" s="5"/>
      <c r="S7" s="5"/>
      <c r="T7" s="5">
        <v>102.06400000000001</v>
      </c>
      <c r="U7" s="5"/>
      <c r="V7" s="5"/>
      <c r="W7" s="5"/>
      <c r="X7" s="5"/>
      <c r="Y7" s="5"/>
      <c r="Z7" s="5"/>
      <c r="AA7" s="5"/>
      <c r="AB7" s="5">
        <v>1386.6720000000003</v>
      </c>
    </row>
    <row r="8" spans="1:28" x14ac:dyDescent="0.35">
      <c r="A8" s="2" t="s">
        <v>35</v>
      </c>
      <c r="B8" s="5">
        <v>16.739999999999998</v>
      </c>
      <c r="C8" s="5">
        <v>2.3879999999999999</v>
      </c>
      <c r="D8" s="5">
        <v>206.18399999999997</v>
      </c>
      <c r="E8" s="5">
        <v>36.881999999999998</v>
      </c>
      <c r="F8" s="5">
        <v>30.84</v>
      </c>
      <c r="G8" s="5"/>
      <c r="H8" s="5">
        <v>1.788</v>
      </c>
      <c r="I8" s="5">
        <v>38.22</v>
      </c>
      <c r="J8" s="5">
        <v>27.24</v>
      </c>
      <c r="K8" s="5"/>
      <c r="L8" s="5"/>
      <c r="M8" s="5">
        <v>50.42</v>
      </c>
      <c r="N8" s="5"/>
      <c r="O8" s="5"/>
      <c r="P8" s="5">
        <v>53.095999999999997</v>
      </c>
      <c r="Q8" s="5"/>
      <c r="R8" s="5"/>
      <c r="S8" s="5">
        <v>5.6820000000000004</v>
      </c>
      <c r="T8" s="5">
        <v>16.475999999999999</v>
      </c>
      <c r="U8" s="5"/>
      <c r="V8" s="5">
        <v>157.79400000000001</v>
      </c>
      <c r="W8" s="5">
        <v>3.7919999999999998</v>
      </c>
      <c r="X8" s="5"/>
      <c r="Y8" s="5"/>
      <c r="Z8" s="5">
        <v>407.976</v>
      </c>
      <c r="AA8" s="5"/>
      <c r="AB8" s="5">
        <v>1055.518</v>
      </c>
    </row>
    <row r="9" spans="1:28" x14ac:dyDescent="0.35">
      <c r="A9" s="2" t="s">
        <v>12</v>
      </c>
      <c r="B9" s="5"/>
      <c r="C9" s="5"/>
      <c r="D9" s="5"/>
      <c r="E9" s="5"/>
      <c r="F9" s="5"/>
      <c r="G9" s="5"/>
      <c r="H9" s="5"/>
      <c r="I9" s="5"/>
      <c r="J9" s="5"/>
      <c r="K9" s="5">
        <v>261.95999999999998</v>
      </c>
      <c r="L9" s="5"/>
      <c r="M9" s="5"/>
      <c r="N9" s="5"/>
      <c r="O9" s="5"/>
      <c r="P9" s="5"/>
      <c r="Q9" s="5"/>
      <c r="R9" s="5"/>
      <c r="S9" s="5"/>
      <c r="T9" s="5">
        <v>3083.43</v>
      </c>
      <c r="U9" s="5"/>
      <c r="V9" s="5"/>
      <c r="W9" s="5">
        <v>532.39919999999995</v>
      </c>
      <c r="X9" s="5"/>
      <c r="Y9" s="5"/>
      <c r="Z9" s="5"/>
      <c r="AA9" s="5"/>
      <c r="AB9" s="5">
        <v>3877.7891999999997</v>
      </c>
    </row>
    <row r="10" spans="1:28" x14ac:dyDescent="0.35">
      <c r="A10" s="2" t="s">
        <v>14</v>
      </c>
      <c r="B10" s="5"/>
      <c r="C10" s="5"/>
      <c r="D10" s="5">
        <v>81.424000000000007</v>
      </c>
      <c r="E10" s="5"/>
      <c r="F10" s="5"/>
      <c r="G10" s="5"/>
      <c r="H10" s="5">
        <v>213.11500000000001</v>
      </c>
      <c r="I10" s="5">
        <v>89.99</v>
      </c>
      <c r="J10" s="5"/>
      <c r="K10" s="5">
        <v>731.94</v>
      </c>
      <c r="L10" s="5"/>
      <c r="M10" s="5"/>
      <c r="N10" s="5"/>
      <c r="O10" s="5"/>
      <c r="P10" s="5">
        <v>319.41000000000003</v>
      </c>
      <c r="Q10" s="5"/>
      <c r="R10" s="5"/>
      <c r="S10" s="5"/>
      <c r="T10" s="5">
        <v>71.372</v>
      </c>
      <c r="U10" s="5">
        <v>301.95999999999998</v>
      </c>
      <c r="V10" s="5">
        <v>831.93600000000004</v>
      </c>
      <c r="W10" s="5">
        <v>812.61599999999999</v>
      </c>
      <c r="X10" s="5"/>
      <c r="Y10" s="5"/>
      <c r="Z10" s="5"/>
      <c r="AA10" s="5"/>
      <c r="AB10" s="5">
        <v>3453.7630000000004</v>
      </c>
    </row>
    <row r="11" spans="1:28" x14ac:dyDescent="0.35">
      <c r="A11" s="2" t="s">
        <v>87</v>
      </c>
      <c r="B11" s="5"/>
      <c r="C11" s="5"/>
      <c r="D11" s="5">
        <v>10.86</v>
      </c>
      <c r="E11" s="5"/>
      <c r="F11" s="5">
        <v>115.02</v>
      </c>
      <c r="G11" s="5"/>
      <c r="H11" s="5"/>
      <c r="I11" s="5"/>
      <c r="J11" s="5"/>
      <c r="K11" s="5"/>
      <c r="L11" s="5"/>
      <c r="M11" s="5"/>
      <c r="N11" s="5"/>
      <c r="O11" s="5"/>
      <c r="P11" s="5"/>
      <c r="Q11" s="5">
        <v>200.98400000000001</v>
      </c>
      <c r="R11" s="5">
        <v>135.184</v>
      </c>
      <c r="S11" s="5"/>
      <c r="T11" s="5">
        <v>3.2639999999999998</v>
      </c>
      <c r="U11" s="5"/>
      <c r="V11" s="5"/>
      <c r="W11" s="5">
        <v>113.328</v>
      </c>
      <c r="X11" s="5"/>
      <c r="Y11" s="5"/>
      <c r="Z11" s="5"/>
      <c r="AA11" s="5"/>
      <c r="AB11" s="5">
        <v>578.64</v>
      </c>
    </row>
    <row r="12" spans="1:28" x14ac:dyDescent="0.35">
      <c r="A12" s="2" t="s">
        <v>137</v>
      </c>
      <c r="B12" s="5"/>
      <c r="C12" s="5"/>
      <c r="D12" s="5">
        <v>4.0199999999999996</v>
      </c>
      <c r="E12" s="5"/>
      <c r="F12" s="5"/>
      <c r="G12" s="5"/>
      <c r="H12" s="5"/>
      <c r="I12" s="5"/>
      <c r="J12" s="5"/>
      <c r="K12" s="5"/>
      <c r="L12" s="5"/>
      <c r="M12" s="5"/>
      <c r="N12" s="5"/>
      <c r="O12" s="5"/>
      <c r="P12" s="5">
        <v>15.26</v>
      </c>
      <c r="Q12" s="5"/>
      <c r="R12" s="5">
        <v>61.551999999999992</v>
      </c>
      <c r="S12" s="5"/>
      <c r="T12" s="5"/>
      <c r="U12" s="5"/>
      <c r="V12" s="5"/>
      <c r="W12" s="5"/>
      <c r="X12" s="5"/>
      <c r="Y12" s="5"/>
      <c r="Z12" s="5"/>
      <c r="AA12" s="5"/>
      <c r="AB12" s="5">
        <v>80.831999999999994</v>
      </c>
    </row>
    <row r="13" spans="1:28" x14ac:dyDescent="0.35">
      <c r="A13" s="2" t="s">
        <v>29</v>
      </c>
      <c r="B13" s="5"/>
      <c r="C13" s="5"/>
      <c r="D13" s="5">
        <v>410.3</v>
      </c>
      <c r="E13" s="5">
        <v>102.36</v>
      </c>
      <c r="F13" s="5">
        <v>47.04</v>
      </c>
      <c r="G13" s="5"/>
      <c r="H13" s="5"/>
      <c r="I13" s="5">
        <v>6.16</v>
      </c>
      <c r="J13" s="5"/>
      <c r="K13" s="5"/>
      <c r="L13" s="5"/>
      <c r="M13" s="5">
        <v>53.34</v>
      </c>
      <c r="N13" s="5"/>
      <c r="O13" s="5"/>
      <c r="P13" s="5">
        <v>138.49</v>
      </c>
      <c r="Q13" s="5"/>
      <c r="R13" s="5">
        <v>93.888000000000005</v>
      </c>
      <c r="S13" s="5"/>
      <c r="T13" s="5">
        <v>207</v>
      </c>
      <c r="U13" s="5"/>
      <c r="V13" s="5">
        <v>97.04</v>
      </c>
      <c r="W13" s="5">
        <v>219.928</v>
      </c>
      <c r="X13" s="5"/>
      <c r="Y13" s="5"/>
      <c r="Z13" s="5"/>
      <c r="AA13" s="5"/>
      <c r="AB13" s="5">
        <v>1375.5459999999998</v>
      </c>
    </row>
    <row r="14" spans="1:28" x14ac:dyDescent="0.35">
      <c r="A14" s="2" t="s">
        <v>19</v>
      </c>
      <c r="B14" s="5"/>
      <c r="C14" s="5"/>
      <c r="D14" s="5">
        <v>14.62</v>
      </c>
      <c r="E14" s="5"/>
      <c r="F14" s="5"/>
      <c r="G14" s="5"/>
      <c r="H14" s="5"/>
      <c r="I14" s="5">
        <v>75.180000000000007</v>
      </c>
      <c r="J14" s="5"/>
      <c r="K14" s="5"/>
      <c r="L14" s="5"/>
      <c r="M14" s="5">
        <v>6.16</v>
      </c>
      <c r="N14" s="5"/>
      <c r="O14" s="5"/>
      <c r="P14" s="5"/>
      <c r="Q14" s="5"/>
      <c r="R14" s="5"/>
      <c r="S14" s="5"/>
      <c r="T14" s="5"/>
      <c r="U14" s="5"/>
      <c r="V14" s="5"/>
      <c r="W14" s="5"/>
      <c r="X14" s="5"/>
      <c r="Y14" s="5"/>
      <c r="Z14" s="5"/>
      <c r="AA14" s="5"/>
      <c r="AB14" s="5">
        <v>95.960000000000008</v>
      </c>
    </row>
    <row r="15" spans="1:28" x14ac:dyDescent="0.35">
      <c r="A15" s="2" t="s">
        <v>44</v>
      </c>
      <c r="B15" s="5"/>
      <c r="C15" s="5"/>
      <c r="D15" s="5">
        <v>352.39</v>
      </c>
      <c r="E15" s="5"/>
      <c r="F15" s="5"/>
      <c r="G15" s="5"/>
      <c r="H15" s="5">
        <v>64.623999999999995</v>
      </c>
      <c r="I15" s="5"/>
      <c r="J15" s="5"/>
      <c r="K15" s="5"/>
      <c r="L15" s="5">
        <v>19.05</v>
      </c>
      <c r="M15" s="5">
        <v>36.880000000000003</v>
      </c>
      <c r="N15" s="5"/>
      <c r="O15" s="5"/>
      <c r="P15" s="5">
        <v>46.96</v>
      </c>
      <c r="Q15" s="5">
        <v>15.552</v>
      </c>
      <c r="R15" s="5">
        <v>102.28</v>
      </c>
      <c r="S15" s="5"/>
      <c r="T15" s="5"/>
      <c r="U15" s="5"/>
      <c r="V15" s="5"/>
      <c r="W15" s="5">
        <v>29.472000000000001</v>
      </c>
      <c r="X15" s="5"/>
      <c r="Y15" s="5">
        <v>75.88</v>
      </c>
      <c r="Z15" s="5"/>
      <c r="AA15" s="5"/>
      <c r="AB15" s="5">
        <v>743.08799999999997</v>
      </c>
    </row>
    <row r="16" spans="1:28" x14ac:dyDescent="0.35">
      <c r="A16" s="2" t="s">
        <v>33</v>
      </c>
      <c r="B16" s="5"/>
      <c r="C16" s="5">
        <v>167.96799999999999</v>
      </c>
      <c r="D16" s="5">
        <v>2105.64</v>
      </c>
      <c r="E16" s="5"/>
      <c r="F16" s="5">
        <v>89.84</v>
      </c>
      <c r="G16" s="5"/>
      <c r="H16" s="5">
        <v>147.16800000000001</v>
      </c>
      <c r="I16" s="5"/>
      <c r="J16" s="5"/>
      <c r="K16" s="5"/>
      <c r="L16" s="5"/>
      <c r="M16" s="5"/>
      <c r="N16" s="5"/>
      <c r="O16" s="5"/>
      <c r="P16" s="5">
        <v>1029.95</v>
      </c>
      <c r="Q16" s="5">
        <v>27.992000000000001</v>
      </c>
      <c r="R16" s="5">
        <v>59.97</v>
      </c>
      <c r="S16" s="5"/>
      <c r="T16" s="5"/>
      <c r="U16" s="5"/>
      <c r="V16" s="5"/>
      <c r="W16" s="5">
        <v>1468.712</v>
      </c>
      <c r="X16" s="5"/>
      <c r="Y16" s="5"/>
      <c r="Z16" s="5"/>
      <c r="AA16" s="5">
        <v>534.41999999999996</v>
      </c>
      <c r="AB16" s="5">
        <v>5631.66</v>
      </c>
    </row>
    <row r="17" spans="1:28" x14ac:dyDescent="0.35">
      <c r="A17" s="2" t="s">
        <v>26</v>
      </c>
      <c r="B17" s="5"/>
      <c r="C17" s="5">
        <v>243.99199999999999</v>
      </c>
      <c r="D17" s="5">
        <v>771.19999999999993</v>
      </c>
      <c r="E17" s="5"/>
      <c r="F17" s="5">
        <v>226.56</v>
      </c>
      <c r="G17" s="5">
        <v>117.98399999999999</v>
      </c>
      <c r="H17" s="5">
        <v>230.376</v>
      </c>
      <c r="I17" s="5"/>
      <c r="J17" s="5"/>
      <c r="K17" s="5"/>
      <c r="L17" s="5">
        <v>211.96</v>
      </c>
      <c r="M17" s="5"/>
      <c r="N17" s="5"/>
      <c r="O17" s="5"/>
      <c r="P17" s="5">
        <v>208.56</v>
      </c>
      <c r="Q17" s="5"/>
      <c r="R17" s="5"/>
      <c r="S17" s="5"/>
      <c r="T17" s="5"/>
      <c r="U17" s="5"/>
      <c r="V17" s="5">
        <v>72.784000000000006</v>
      </c>
      <c r="W17" s="5">
        <v>185.608</v>
      </c>
      <c r="X17" s="5">
        <v>55.5</v>
      </c>
      <c r="Y17" s="5"/>
      <c r="Z17" s="5"/>
      <c r="AA17" s="5">
        <v>665.88</v>
      </c>
      <c r="AB17" s="5">
        <v>2990.404</v>
      </c>
    </row>
    <row r="18" spans="1:28" x14ac:dyDescent="0.35">
      <c r="A18" s="2" t="s">
        <v>289</v>
      </c>
      <c r="B18" s="5"/>
      <c r="C18" s="5"/>
      <c r="D18" s="5">
        <v>65.88</v>
      </c>
      <c r="E18" s="5"/>
      <c r="F18" s="5"/>
      <c r="G18" s="5"/>
      <c r="H18" s="5"/>
      <c r="I18" s="5"/>
      <c r="J18" s="5"/>
      <c r="K18" s="5"/>
      <c r="L18" s="5"/>
      <c r="M18" s="5"/>
      <c r="N18" s="5"/>
      <c r="O18" s="5"/>
      <c r="P18" s="5"/>
      <c r="Q18" s="5"/>
      <c r="R18" s="5"/>
      <c r="S18" s="5"/>
      <c r="T18" s="5"/>
      <c r="U18" s="5"/>
      <c r="V18" s="5"/>
      <c r="W18" s="5"/>
      <c r="X18" s="5"/>
      <c r="Y18" s="5"/>
      <c r="Z18" s="5"/>
      <c r="AA18" s="5"/>
      <c r="AB18" s="5">
        <v>65.88</v>
      </c>
    </row>
    <row r="19" spans="1:28" x14ac:dyDescent="0.35">
      <c r="A19" s="2" t="s">
        <v>24</v>
      </c>
      <c r="B19" s="5"/>
      <c r="C19" s="5"/>
      <c r="D19" s="5">
        <v>1706.184</v>
      </c>
      <c r="E19" s="5"/>
      <c r="F19" s="5"/>
      <c r="G19" s="5">
        <v>957.57749999999999</v>
      </c>
      <c r="H19" s="5">
        <v>617.70000000000005</v>
      </c>
      <c r="I19" s="5"/>
      <c r="J19" s="5"/>
      <c r="K19" s="5"/>
      <c r="L19" s="5"/>
      <c r="M19" s="5"/>
      <c r="N19" s="5"/>
      <c r="O19" s="5"/>
      <c r="P19" s="5"/>
      <c r="Q19" s="5"/>
      <c r="R19" s="5"/>
      <c r="S19" s="5"/>
      <c r="T19" s="5"/>
      <c r="U19" s="5"/>
      <c r="V19" s="5"/>
      <c r="W19" s="5"/>
      <c r="X19" s="5">
        <v>1044.6300000000001</v>
      </c>
      <c r="Y19" s="5"/>
      <c r="Z19" s="5">
        <v>787.53</v>
      </c>
      <c r="AA19" s="5"/>
      <c r="AB19" s="5">
        <v>5113.6215000000002</v>
      </c>
    </row>
    <row r="20" spans="1:28" x14ac:dyDescent="0.35">
      <c r="A20" s="2" t="s">
        <v>3857</v>
      </c>
      <c r="B20" s="5">
        <v>224.9</v>
      </c>
      <c r="C20" s="5">
        <v>1527.3719999999998</v>
      </c>
      <c r="D20" s="5">
        <v>6019.3320000000003</v>
      </c>
      <c r="E20" s="5">
        <v>378.13799999999998</v>
      </c>
      <c r="F20" s="5">
        <v>554.29999999999995</v>
      </c>
      <c r="G20" s="5">
        <v>1075.5615</v>
      </c>
      <c r="H20" s="5">
        <v>1710.7070000000001</v>
      </c>
      <c r="I20" s="5">
        <v>209.54999999999998</v>
      </c>
      <c r="J20" s="5">
        <v>103.19999999999999</v>
      </c>
      <c r="K20" s="5">
        <v>993.90000000000009</v>
      </c>
      <c r="L20" s="5">
        <v>231.01000000000002</v>
      </c>
      <c r="M20" s="5">
        <v>290.64999999999998</v>
      </c>
      <c r="N20" s="5">
        <v>839.43</v>
      </c>
      <c r="O20" s="5">
        <v>79.800000000000011</v>
      </c>
      <c r="P20" s="5">
        <v>1843.4059999999999</v>
      </c>
      <c r="Q20" s="5">
        <v>321.94400000000002</v>
      </c>
      <c r="R20" s="5">
        <v>452.87400000000002</v>
      </c>
      <c r="S20" s="5">
        <v>5.6820000000000004</v>
      </c>
      <c r="T20" s="5">
        <v>3483.6059999999998</v>
      </c>
      <c r="U20" s="5">
        <v>301.95999999999998</v>
      </c>
      <c r="V20" s="5">
        <v>1159.5540000000001</v>
      </c>
      <c r="W20" s="5">
        <v>3434.6652000000004</v>
      </c>
      <c r="X20" s="5">
        <v>1100.1300000000001</v>
      </c>
      <c r="Y20" s="5">
        <v>75.88</v>
      </c>
      <c r="Z20" s="5">
        <v>1195.5059999999999</v>
      </c>
      <c r="AA20" s="5">
        <v>1200.3</v>
      </c>
      <c r="AB20" s="5">
        <v>28813.3577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406D1-1748-4764-89D1-EF1D539F3823}">
  <dimension ref="A3:B19"/>
  <sheetViews>
    <sheetView workbookViewId="0">
      <selection activeCell="N17" sqref="N17"/>
    </sheetView>
  </sheetViews>
  <sheetFormatPr defaultRowHeight="14.5" x14ac:dyDescent="0.35"/>
  <cols>
    <col min="1" max="1" width="14.26953125" bestFit="1" customWidth="1"/>
    <col min="2" max="2" width="11.26953125" bestFit="1" customWidth="1"/>
  </cols>
  <sheetData>
    <row r="3" spans="1:2" x14ac:dyDescent="0.35">
      <c r="A3" s="4" t="s">
        <v>4</v>
      </c>
      <c r="B3" t="s">
        <v>3859</v>
      </c>
    </row>
    <row r="4" spans="1:2" x14ac:dyDescent="0.35">
      <c r="A4" s="2" t="s">
        <v>81</v>
      </c>
      <c r="B4" s="11">
        <v>3.4513992098879884E-2</v>
      </c>
    </row>
    <row r="5" spans="1:2" x14ac:dyDescent="0.35">
      <c r="A5" s="2" t="s">
        <v>37</v>
      </c>
      <c r="B5" s="11">
        <v>4.7530732594903369E-2</v>
      </c>
    </row>
    <row r="6" spans="1:2" x14ac:dyDescent="0.35">
      <c r="A6" s="2" t="s">
        <v>31</v>
      </c>
      <c r="B6" s="11">
        <v>4.8126012054471527E-2</v>
      </c>
    </row>
    <row r="7" spans="1:2" x14ac:dyDescent="0.35">
      <c r="A7" s="2" t="s">
        <v>35</v>
      </c>
      <c r="B7" s="11">
        <v>3.6632939867331051E-2</v>
      </c>
    </row>
    <row r="8" spans="1:2" x14ac:dyDescent="0.35">
      <c r="A8" s="2" t="s">
        <v>12</v>
      </c>
      <c r="B8" s="11">
        <v>0.13458303750555248</v>
      </c>
    </row>
    <row r="9" spans="1:2" x14ac:dyDescent="0.35">
      <c r="A9" s="2" t="s">
        <v>14</v>
      </c>
      <c r="B9" s="11">
        <v>0.11986673111686667</v>
      </c>
    </row>
    <row r="10" spans="1:2" x14ac:dyDescent="0.35">
      <c r="A10" s="2" t="s">
        <v>87</v>
      </c>
      <c r="B10" s="11">
        <v>2.0082352290375381E-2</v>
      </c>
    </row>
    <row r="11" spans="1:2" x14ac:dyDescent="0.35">
      <c r="A11" s="2" t="s">
        <v>137</v>
      </c>
      <c r="B11" s="11">
        <v>2.8053655128156062E-3</v>
      </c>
    </row>
    <row r="12" spans="1:2" x14ac:dyDescent="0.35">
      <c r="A12" s="2" t="s">
        <v>29</v>
      </c>
      <c r="B12" s="11">
        <v>4.7739871705406958E-2</v>
      </c>
    </row>
    <row r="13" spans="1:2" x14ac:dyDescent="0.35">
      <c r="A13" s="2" t="s">
        <v>19</v>
      </c>
      <c r="B13" s="11">
        <v>3.3303997749627077E-3</v>
      </c>
    </row>
    <row r="14" spans="1:2" x14ac:dyDescent="0.35">
      <c r="A14" s="2" t="s">
        <v>44</v>
      </c>
      <c r="B14" s="11">
        <v>2.5789705168585749E-2</v>
      </c>
    </row>
    <row r="15" spans="1:2" x14ac:dyDescent="0.35">
      <c r="A15" s="2" t="s">
        <v>33</v>
      </c>
      <c r="B15" s="11">
        <v>0.195453097089063</v>
      </c>
    </row>
    <row r="16" spans="1:2" x14ac:dyDescent="0.35">
      <c r="A16" s="2" t="s">
        <v>26</v>
      </c>
      <c r="B16" s="11">
        <v>0.10378533564659838</v>
      </c>
    </row>
    <row r="17" spans="1:2" x14ac:dyDescent="0.35">
      <c r="A17" s="2" t="s">
        <v>289</v>
      </c>
      <c r="B17" s="11">
        <v>2.2864395287051182E-3</v>
      </c>
    </row>
    <row r="18" spans="1:2" x14ac:dyDescent="0.35">
      <c r="A18" s="2" t="s">
        <v>24</v>
      </c>
      <c r="B18" s="11">
        <v>0.17747398804548212</v>
      </c>
    </row>
    <row r="19" spans="1:2" x14ac:dyDescent="0.35">
      <c r="A19" s="2" t="s">
        <v>3857</v>
      </c>
      <c r="B19" s="11">
        <v>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7A382-78E3-4203-A6E6-41E91ACD8051}">
  <dimension ref="A3:B19"/>
  <sheetViews>
    <sheetView workbookViewId="0">
      <selection activeCell="A4" sqref="A4"/>
    </sheetView>
  </sheetViews>
  <sheetFormatPr defaultRowHeight="14.5" x14ac:dyDescent="0.35"/>
  <cols>
    <col min="1" max="1" width="14" bestFit="1" customWidth="1"/>
    <col min="2" max="2" width="11.81640625" bestFit="1" customWidth="1"/>
  </cols>
  <sheetData>
    <row r="3" spans="1:2" x14ac:dyDescent="0.35">
      <c r="A3" s="4" t="s">
        <v>3873</v>
      </c>
      <c r="B3" t="s">
        <v>3858</v>
      </c>
    </row>
    <row r="4" spans="1:2" x14ac:dyDescent="0.35">
      <c r="A4" s="2" t="s">
        <v>81</v>
      </c>
      <c r="B4" s="5">
        <v>100.66380000000001</v>
      </c>
    </row>
    <row r="5" spans="1:2" x14ac:dyDescent="0.35">
      <c r="A5" s="2" t="s">
        <v>37</v>
      </c>
      <c r="B5" s="5">
        <v>223.34059999999999</v>
      </c>
    </row>
    <row r="6" spans="1:2" x14ac:dyDescent="0.35">
      <c r="A6" s="2" t="s">
        <v>31</v>
      </c>
      <c r="B6" s="5">
        <v>175.40940000000003</v>
      </c>
    </row>
    <row r="7" spans="1:2" x14ac:dyDescent="0.35">
      <c r="A7" s="2" t="s">
        <v>35</v>
      </c>
      <c r="B7" s="5">
        <v>130.92689999999996</v>
      </c>
    </row>
    <row r="8" spans="1:2" x14ac:dyDescent="0.35">
      <c r="A8" s="2" t="s">
        <v>12</v>
      </c>
      <c r="B8" s="5">
        <v>-1670.115</v>
      </c>
    </row>
    <row r="9" spans="1:2" x14ac:dyDescent="0.35">
      <c r="A9" s="2" t="s">
        <v>14</v>
      </c>
      <c r="B9" s="5">
        <v>113.47380000000001</v>
      </c>
    </row>
    <row r="10" spans="1:2" x14ac:dyDescent="0.35">
      <c r="A10" s="2" t="s">
        <v>87</v>
      </c>
      <c r="B10" s="5">
        <v>201.87090000000001</v>
      </c>
    </row>
    <row r="11" spans="1:2" x14ac:dyDescent="0.35">
      <c r="A11" s="2" t="s">
        <v>137</v>
      </c>
      <c r="B11" s="5">
        <v>29.734400000000001</v>
      </c>
    </row>
    <row r="12" spans="1:2" x14ac:dyDescent="0.35">
      <c r="A12" s="2" t="s">
        <v>29</v>
      </c>
      <c r="B12" s="5">
        <v>40.627700000000004</v>
      </c>
    </row>
    <row r="13" spans="1:2" x14ac:dyDescent="0.35">
      <c r="A13" s="2" t="s">
        <v>19</v>
      </c>
      <c r="B13" s="5">
        <v>45.162800000000004</v>
      </c>
    </row>
    <row r="14" spans="1:2" x14ac:dyDescent="0.35">
      <c r="A14" s="2" t="s">
        <v>44</v>
      </c>
      <c r="B14" s="5">
        <v>327.0994</v>
      </c>
    </row>
    <row r="15" spans="1:2" x14ac:dyDescent="0.35">
      <c r="A15" s="2" t="s">
        <v>33</v>
      </c>
      <c r="B15" s="5">
        <v>852.56249999999977</v>
      </c>
    </row>
    <row r="16" spans="1:2" x14ac:dyDescent="0.35">
      <c r="A16" s="2" t="s">
        <v>26</v>
      </c>
      <c r="B16" s="5">
        <v>169.6251</v>
      </c>
    </row>
    <row r="17" spans="1:2" x14ac:dyDescent="0.35">
      <c r="A17" s="2" t="s">
        <v>289</v>
      </c>
      <c r="B17" s="5">
        <v>18.446400000000001</v>
      </c>
    </row>
    <row r="18" spans="1:2" x14ac:dyDescent="0.35">
      <c r="A18" s="2" t="s">
        <v>24</v>
      </c>
      <c r="B18" s="5">
        <v>-299.75760000000002</v>
      </c>
    </row>
    <row r="19" spans="1:2" x14ac:dyDescent="0.35">
      <c r="A19" s="2" t="s">
        <v>3857</v>
      </c>
      <c r="B19" s="5">
        <v>459.07109999999977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4C51C-BD30-4D69-BEFA-204DD0F54CBC}">
  <dimension ref="A3:C16"/>
  <sheetViews>
    <sheetView workbookViewId="0">
      <selection activeCell="C19" sqref="C19"/>
    </sheetView>
  </sheetViews>
  <sheetFormatPr defaultRowHeight="14.5" x14ac:dyDescent="0.35"/>
  <cols>
    <col min="1" max="1" width="10.7265625" bestFit="1" customWidth="1"/>
    <col min="2" max="2" width="11.26953125" bestFit="1" customWidth="1"/>
    <col min="3" max="3" width="11.81640625" bestFit="1" customWidth="1"/>
  </cols>
  <sheetData>
    <row r="3" spans="1:3" x14ac:dyDescent="0.35">
      <c r="A3" s="4" t="s">
        <v>3860</v>
      </c>
      <c r="B3" t="s">
        <v>3859</v>
      </c>
      <c r="C3" t="s">
        <v>3858</v>
      </c>
    </row>
    <row r="4" spans="1:3" x14ac:dyDescent="0.35">
      <c r="A4" s="2" t="s">
        <v>3861</v>
      </c>
      <c r="B4" s="5">
        <v>225.39800000000002</v>
      </c>
      <c r="C4" s="5">
        <v>66.623900000000006</v>
      </c>
    </row>
    <row r="5" spans="1:3" x14ac:dyDescent="0.35">
      <c r="A5" s="2" t="s">
        <v>3862</v>
      </c>
      <c r="B5" s="5">
        <v>947.26</v>
      </c>
      <c r="C5" s="5">
        <v>189.72450000000001</v>
      </c>
    </row>
    <row r="6" spans="1:3" x14ac:dyDescent="0.35">
      <c r="A6" s="2" t="s">
        <v>3863</v>
      </c>
      <c r="B6" s="5">
        <v>304.18400000000003</v>
      </c>
      <c r="C6" s="5">
        <v>98.943100000000001</v>
      </c>
    </row>
    <row r="7" spans="1:3" x14ac:dyDescent="0.35">
      <c r="A7" s="2" t="s">
        <v>3864</v>
      </c>
      <c r="B7" s="5">
        <v>1306.3070000000002</v>
      </c>
      <c r="C7" s="5">
        <v>-105.48990000000001</v>
      </c>
    </row>
    <row r="8" spans="1:3" x14ac:dyDescent="0.35">
      <c r="A8" s="2" t="s">
        <v>3865</v>
      </c>
      <c r="B8" s="5">
        <v>3143.39</v>
      </c>
      <c r="C8" s="5">
        <v>386.69830000000007</v>
      </c>
    </row>
    <row r="9" spans="1:3" x14ac:dyDescent="0.35">
      <c r="A9" s="2" t="s">
        <v>3866</v>
      </c>
      <c r="B9" s="5">
        <v>1386.2979999999998</v>
      </c>
      <c r="C9" s="5">
        <v>240.52549999999999</v>
      </c>
    </row>
    <row r="10" spans="1:3" x14ac:dyDescent="0.35">
      <c r="A10" s="2" t="s">
        <v>3867</v>
      </c>
      <c r="B10" s="5">
        <v>821.18200000000002</v>
      </c>
      <c r="C10" s="5">
        <v>23.032300000000003</v>
      </c>
    </row>
    <row r="11" spans="1:3" x14ac:dyDescent="0.35">
      <c r="A11" s="2" t="s">
        <v>3868</v>
      </c>
      <c r="B11" s="5">
        <v>2953.7239999999997</v>
      </c>
      <c r="C11" s="5">
        <v>356.79549999999995</v>
      </c>
    </row>
    <row r="12" spans="1:3" x14ac:dyDescent="0.35">
      <c r="A12" s="2" t="s">
        <v>3869</v>
      </c>
      <c r="B12" s="5">
        <v>9321.2640000000029</v>
      </c>
      <c r="C12" s="5">
        <v>-1350.8622000000005</v>
      </c>
    </row>
    <row r="13" spans="1:3" x14ac:dyDescent="0.35">
      <c r="A13" s="2" t="s">
        <v>3870</v>
      </c>
      <c r="B13" s="5">
        <v>1104.7940000000001</v>
      </c>
      <c r="C13" s="5">
        <v>223.14400000000001</v>
      </c>
    </row>
    <row r="14" spans="1:3" x14ac:dyDescent="0.35">
      <c r="A14" s="2" t="s">
        <v>3871</v>
      </c>
      <c r="B14" s="5">
        <v>3825.3455000000017</v>
      </c>
      <c r="C14" s="5">
        <v>-154.32980000000003</v>
      </c>
    </row>
    <row r="15" spans="1:3" x14ac:dyDescent="0.35">
      <c r="A15" s="2" t="s">
        <v>3872</v>
      </c>
      <c r="B15" s="5">
        <v>3474.2111999999997</v>
      </c>
      <c r="C15" s="5">
        <v>484.26590000000004</v>
      </c>
    </row>
    <row r="16" spans="1:3" x14ac:dyDescent="0.35">
      <c r="A16" s="2" t="s">
        <v>3857</v>
      </c>
      <c r="B16" s="5">
        <v>28813.357700000008</v>
      </c>
      <c r="C16" s="5">
        <v>459.07109999999955</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A90E6-AFFC-4BFD-AD27-D5010C615820}">
  <dimension ref="A1:Y36"/>
  <sheetViews>
    <sheetView topLeftCell="A4" zoomScale="83" workbookViewId="0">
      <selection activeCell="Z18" sqref="Z18"/>
    </sheetView>
  </sheetViews>
  <sheetFormatPr defaultRowHeight="14.5" x14ac:dyDescent="0.35"/>
  <sheetData>
    <row r="1" spans="25:25" x14ac:dyDescent="0.35">
      <c r="Y1" s="7"/>
    </row>
    <row r="2" spans="25:25" x14ac:dyDescent="0.35">
      <c r="Y2" s="7"/>
    </row>
    <row r="3" spans="25:25" x14ac:dyDescent="0.35">
      <c r="Y3" s="7"/>
    </row>
    <row r="4" spans="25:25" x14ac:dyDescent="0.35">
      <c r="Y4" s="7"/>
    </row>
    <row r="5" spans="25:25" x14ac:dyDescent="0.35">
      <c r="Y5" s="7"/>
    </row>
    <row r="6" spans="25:25" x14ac:dyDescent="0.35">
      <c r="Y6" s="7"/>
    </row>
    <row r="7" spans="25:25" x14ac:dyDescent="0.35">
      <c r="Y7" s="7"/>
    </row>
    <row r="8" spans="25:25" x14ac:dyDescent="0.35">
      <c r="Y8" s="7"/>
    </row>
    <row r="9" spans="25:25" x14ac:dyDescent="0.35">
      <c r="Y9" s="7"/>
    </row>
    <row r="10" spans="25:25" x14ac:dyDescent="0.35">
      <c r="Y10" s="7"/>
    </row>
    <row r="11" spans="25:25" x14ac:dyDescent="0.35">
      <c r="Y11" s="7"/>
    </row>
    <row r="12" spans="25:25" x14ac:dyDescent="0.35">
      <c r="Y12" s="7"/>
    </row>
    <row r="13" spans="25:25" x14ac:dyDescent="0.35">
      <c r="Y13" s="7"/>
    </row>
    <row r="14" spans="25:25" x14ac:dyDescent="0.35">
      <c r="Y14" s="7"/>
    </row>
    <row r="15" spans="25:25" x14ac:dyDescent="0.35">
      <c r="Y15" s="7"/>
    </row>
    <row r="16" spans="25:25" x14ac:dyDescent="0.35">
      <c r="Y16" s="7"/>
    </row>
    <row r="17" spans="25:25" x14ac:dyDescent="0.35">
      <c r="Y17" s="7"/>
    </row>
    <row r="18" spans="25:25" x14ac:dyDescent="0.35">
      <c r="Y18" s="7"/>
    </row>
    <row r="19" spans="25:25" x14ac:dyDescent="0.35">
      <c r="Y19" s="7"/>
    </row>
    <row r="20" spans="25:25" x14ac:dyDescent="0.35">
      <c r="Y20" s="7"/>
    </row>
    <row r="21" spans="25:25" x14ac:dyDescent="0.35">
      <c r="Y21" s="7"/>
    </row>
    <row r="22" spans="25:25" x14ac:dyDescent="0.35">
      <c r="Y22" s="7"/>
    </row>
    <row r="23" spans="25:25" x14ac:dyDescent="0.35">
      <c r="Y23" s="7"/>
    </row>
    <row r="24" spans="25:25" x14ac:dyDescent="0.35">
      <c r="Y24" s="7"/>
    </row>
    <row r="25" spans="25:25" x14ac:dyDescent="0.35">
      <c r="Y25" s="7"/>
    </row>
    <row r="26" spans="25:25" x14ac:dyDescent="0.35">
      <c r="Y26" s="7"/>
    </row>
    <row r="27" spans="25:25" x14ac:dyDescent="0.35">
      <c r="Y27" s="7"/>
    </row>
    <row r="28" spans="25:25" x14ac:dyDescent="0.35">
      <c r="Y28" s="7"/>
    </row>
    <row r="29" spans="25:25" x14ac:dyDescent="0.35">
      <c r="Y29" s="7"/>
    </row>
    <row r="30" spans="25:25" x14ac:dyDescent="0.35">
      <c r="Y30" s="7"/>
    </row>
    <row r="31" spans="25:25" x14ac:dyDescent="0.35">
      <c r="Y31" s="7"/>
    </row>
    <row r="32" spans="25:25" x14ac:dyDescent="0.35">
      <c r="Y32" s="7"/>
    </row>
    <row r="33" spans="1:25" x14ac:dyDescent="0.35">
      <c r="Y33" s="7"/>
    </row>
    <row r="34" spans="1:25" x14ac:dyDescent="0.35">
      <c r="Y34" s="7"/>
    </row>
    <row r="35" spans="1:25" x14ac:dyDescent="0.35">
      <c r="Y35" s="7"/>
    </row>
    <row r="36" spans="1:25" x14ac:dyDescent="0.35">
      <c r="A36" s="7"/>
      <c r="B36" s="7"/>
      <c r="C36" s="7"/>
      <c r="D36" s="7"/>
      <c r="E36" s="7"/>
      <c r="F36" s="7"/>
      <c r="G36" s="7"/>
      <c r="H36" s="7"/>
      <c r="I36" s="7"/>
      <c r="J36" s="7"/>
      <c r="K36" s="7"/>
      <c r="L36" s="7"/>
      <c r="M36" s="7"/>
      <c r="N36" s="7"/>
      <c r="O36" s="7"/>
      <c r="P36" s="7"/>
      <c r="Q36" s="7"/>
      <c r="R36" s="7"/>
      <c r="S36" s="7"/>
      <c r="T36" s="7"/>
      <c r="U36" s="7"/>
      <c r="V36" s="7"/>
      <c r="W36" s="7"/>
      <c r="X36" s="7"/>
      <c r="Y36" s="7"/>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9995"/>
  <sheetViews>
    <sheetView tabSelected="1" zoomScale="85" zoomScaleNormal="85" workbookViewId="0">
      <selection activeCell="J2" sqref="J2"/>
    </sheetView>
  </sheetViews>
  <sheetFormatPr defaultRowHeight="14.5" x14ac:dyDescent="0.35"/>
  <cols>
    <col min="1" max="1" width="11" style="3" bestFit="1" customWidth="1"/>
    <col min="2" max="2" width="21.08984375" style="1" bestFit="1" customWidth="1"/>
    <col min="3" max="4" width="17.36328125" style="1" bestFit="1" customWidth="1"/>
    <col min="5" max="5" width="12.08984375" style="1" bestFit="1" customWidth="1"/>
    <col min="6" max="6" width="63.81640625" style="2" customWidth="1"/>
    <col min="7" max="9" width="8.7265625" style="1"/>
  </cols>
  <sheetData>
    <row r="1" spans="1:10" x14ac:dyDescent="0.35">
      <c r="A1" s="8" t="s">
        <v>0</v>
      </c>
      <c r="B1" s="9" t="s">
        <v>1</v>
      </c>
      <c r="C1" s="9" t="s">
        <v>2</v>
      </c>
      <c r="D1" s="9" t="s">
        <v>3</v>
      </c>
      <c r="E1" s="9" t="s">
        <v>4</v>
      </c>
      <c r="F1" s="10" t="s">
        <v>5</v>
      </c>
      <c r="G1" s="9" t="s">
        <v>6</v>
      </c>
      <c r="H1" s="9" t="s">
        <v>7</v>
      </c>
      <c r="I1" s="9" t="s">
        <v>8</v>
      </c>
      <c r="J1" s="9" t="s">
        <v>3860</v>
      </c>
    </row>
    <row r="2" spans="1:10" x14ac:dyDescent="0.35">
      <c r="A2" s="3">
        <v>42593</v>
      </c>
      <c r="B2" s="1" t="s">
        <v>9</v>
      </c>
      <c r="C2" s="1" t="s">
        <v>10</v>
      </c>
      <c r="D2" s="1" t="s">
        <v>11</v>
      </c>
      <c r="E2" s="1" t="s">
        <v>12</v>
      </c>
      <c r="F2" s="2" t="s">
        <v>13</v>
      </c>
      <c r="G2" s="1">
        <v>261.95999999999998</v>
      </c>
      <c r="H2" s="1">
        <v>2</v>
      </c>
      <c r="I2" s="1">
        <v>41.913600000000002</v>
      </c>
      <c r="J2" t="str">
        <f>TEXT(A2,"MMM")</f>
        <v>Aug</v>
      </c>
    </row>
    <row r="3" spans="1:10" x14ac:dyDescent="0.35">
      <c r="A3" s="3">
        <v>42593</v>
      </c>
      <c r="B3" s="1" t="s">
        <v>9</v>
      </c>
      <c r="C3" s="1" t="s">
        <v>10</v>
      </c>
      <c r="D3" s="1" t="s">
        <v>11</v>
      </c>
      <c r="E3" s="1" t="s">
        <v>14</v>
      </c>
      <c r="F3" s="2" t="s">
        <v>15</v>
      </c>
      <c r="G3" s="1">
        <v>731.94</v>
      </c>
      <c r="H3" s="1">
        <v>3</v>
      </c>
      <c r="I3" s="1">
        <v>219.58199999999999</v>
      </c>
      <c r="J3" t="str">
        <f t="shared" ref="J3:J66" si="0">TEXT(A3,"MMM")</f>
        <v>Aug</v>
      </c>
    </row>
    <row r="4" spans="1:10" x14ac:dyDescent="0.35">
      <c r="A4" s="3">
        <v>42710</v>
      </c>
      <c r="B4" s="1" t="s">
        <v>16</v>
      </c>
      <c r="C4" s="1" t="s">
        <v>17</v>
      </c>
      <c r="D4" s="1" t="s">
        <v>18</v>
      </c>
      <c r="E4" s="1" t="s">
        <v>19</v>
      </c>
      <c r="F4" s="2" t="s">
        <v>20</v>
      </c>
      <c r="G4" s="1">
        <v>14.62</v>
      </c>
      <c r="H4" s="1">
        <v>2</v>
      </c>
      <c r="I4" s="1">
        <v>6.8714000000000004</v>
      </c>
      <c r="J4" t="str">
        <f t="shared" si="0"/>
        <v>Dec</v>
      </c>
    </row>
    <row r="5" spans="1:10" x14ac:dyDescent="0.35">
      <c r="A5" s="3">
        <v>42318</v>
      </c>
      <c r="B5" s="1" t="s">
        <v>21</v>
      </c>
      <c r="C5" s="1" t="s">
        <v>22</v>
      </c>
      <c r="D5" s="1" t="s">
        <v>23</v>
      </c>
      <c r="E5" s="1" t="s">
        <v>24</v>
      </c>
      <c r="F5" s="2" t="s">
        <v>25</v>
      </c>
      <c r="G5" s="1">
        <v>957.57749999999999</v>
      </c>
      <c r="H5" s="1">
        <v>5</v>
      </c>
      <c r="I5" s="1">
        <v>-383.03100000000001</v>
      </c>
      <c r="J5" t="str">
        <f t="shared" si="0"/>
        <v>Nov</v>
      </c>
    </row>
    <row r="6" spans="1:10" x14ac:dyDescent="0.35">
      <c r="A6" s="3">
        <v>42318</v>
      </c>
      <c r="B6" s="1" t="s">
        <v>21</v>
      </c>
      <c r="C6" s="1" t="s">
        <v>22</v>
      </c>
      <c r="D6" s="1" t="s">
        <v>23</v>
      </c>
      <c r="E6" s="1" t="s">
        <v>26</v>
      </c>
      <c r="F6" s="2" t="s">
        <v>27</v>
      </c>
      <c r="G6" s="1">
        <v>22.367999999999999</v>
      </c>
      <c r="H6" s="1">
        <v>2</v>
      </c>
      <c r="I6" s="1">
        <v>2.5164</v>
      </c>
      <c r="J6" t="str">
        <f t="shared" si="0"/>
        <v>Nov</v>
      </c>
    </row>
    <row r="7" spans="1:10" x14ac:dyDescent="0.35">
      <c r="A7" s="3">
        <v>41888</v>
      </c>
      <c r="B7" s="1" t="s">
        <v>28</v>
      </c>
      <c r="C7" s="1" t="s">
        <v>17</v>
      </c>
      <c r="D7" s="1" t="s">
        <v>18</v>
      </c>
      <c r="E7" s="1" t="s">
        <v>29</v>
      </c>
      <c r="F7" s="2" t="s">
        <v>30</v>
      </c>
      <c r="G7" s="1">
        <v>48.86</v>
      </c>
      <c r="H7" s="1">
        <v>7</v>
      </c>
      <c r="I7" s="1">
        <v>14.1694</v>
      </c>
      <c r="J7" t="str">
        <f t="shared" si="0"/>
        <v>Sep</v>
      </c>
    </row>
    <row r="8" spans="1:10" x14ac:dyDescent="0.35">
      <c r="A8" s="3">
        <v>41888</v>
      </c>
      <c r="B8" s="1" t="s">
        <v>28</v>
      </c>
      <c r="C8" s="1" t="s">
        <v>17</v>
      </c>
      <c r="D8" s="1" t="s">
        <v>18</v>
      </c>
      <c r="E8" s="1" t="s">
        <v>31</v>
      </c>
      <c r="F8" s="2" t="s">
        <v>32</v>
      </c>
      <c r="G8" s="1">
        <v>7.28</v>
      </c>
      <c r="H8" s="1">
        <v>4</v>
      </c>
      <c r="I8" s="1">
        <v>1.9656</v>
      </c>
      <c r="J8" t="str">
        <f t="shared" si="0"/>
        <v>Sep</v>
      </c>
    </row>
    <row r="9" spans="1:10" x14ac:dyDescent="0.35">
      <c r="A9" s="3">
        <v>41888</v>
      </c>
      <c r="B9" s="1" t="s">
        <v>28</v>
      </c>
      <c r="C9" s="1" t="s">
        <v>17</v>
      </c>
      <c r="D9" s="1" t="s">
        <v>18</v>
      </c>
      <c r="E9" s="1" t="s">
        <v>33</v>
      </c>
      <c r="F9" s="2" t="s">
        <v>34</v>
      </c>
      <c r="G9" s="1">
        <v>907.15200000000004</v>
      </c>
      <c r="H9" s="1">
        <v>6</v>
      </c>
      <c r="I9" s="1">
        <v>90.715199999999996</v>
      </c>
      <c r="J9" t="str">
        <f t="shared" si="0"/>
        <v>Sep</v>
      </c>
    </row>
    <row r="10" spans="1:10" x14ac:dyDescent="0.35">
      <c r="A10" s="3">
        <v>41888</v>
      </c>
      <c r="B10" s="1" t="s">
        <v>28</v>
      </c>
      <c r="C10" s="1" t="s">
        <v>17</v>
      </c>
      <c r="D10" s="1" t="s">
        <v>18</v>
      </c>
      <c r="E10" s="1" t="s">
        <v>35</v>
      </c>
      <c r="F10" s="2" t="s">
        <v>36</v>
      </c>
      <c r="G10" s="1">
        <v>18.504000000000001</v>
      </c>
      <c r="H10" s="1">
        <v>3</v>
      </c>
      <c r="I10" s="1">
        <v>5.7824999999999998</v>
      </c>
      <c r="J10" t="str">
        <f t="shared" si="0"/>
        <v>Sep</v>
      </c>
    </row>
    <row r="11" spans="1:10" x14ac:dyDescent="0.35">
      <c r="A11" s="3">
        <v>41888</v>
      </c>
      <c r="B11" s="1" t="s">
        <v>28</v>
      </c>
      <c r="C11" s="1" t="s">
        <v>17</v>
      </c>
      <c r="D11" s="1" t="s">
        <v>18</v>
      </c>
      <c r="E11" s="1" t="s">
        <v>37</v>
      </c>
      <c r="F11" s="2" t="s">
        <v>38</v>
      </c>
      <c r="G11" s="1">
        <v>114.9</v>
      </c>
      <c r="H11" s="1">
        <v>5</v>
      </c>
      <c r="I11" s="1">
        <v>34.47</v>
      </c>
      <c r="J11" t="str">
        <f t="shared" si="0"/>
        <v>Sep</v>
      </c>
    </row>
    <row r="12" spans="1:10" x14ac:dyDescent="0.35">
      <c r="A12" s="3">
        <v>41888</v>
      </c>
      <c r="B12" s="1" t="s">
        <v>28</v>
      </c>
      <c r="C12" s="1" t="s">
        <v>17</v>
      </c>
      <c r="D12" s="1" t="s">
        <v>18</v>
      </c>
      <c r="E12" s="1" t="s">
        <v>24</v>
      </c>
      <c r="F12" s="2" t="s">
        <v>39</v>
      </c>
      <c r="G12" s="1">
        <v>1706.184</v>
      </c>
      <c r="H12" s="1">
        <v>9</v>
      </c>
      <c r="I12" s="1">
        <v>85.309200000000004</v>
      </c>
      <c r="J12" t="str">
        <f t="shared" si="0"/>
        <v>Sep</v>
      </c>
    </row>
    <row r="13" spans="1:10" x14ac:dyDescent="0.35">
      <c r="A13" s="3">
        <v>41888</v>
      </c>
      <c r="B13" s="1" t="s">
        <v>28</v>
      </c>
      <c r="C13" s="1" t="s">
        <v>17</v>
      </c>
      <c r="D13" s="1" t="s">
        <v>18</v>
      </c>
      <c r="E13" s="1" t="s">
        <v>33</v>
      </c>
      <c r="F13" s="2" t="s">
        <v>40</v>
      </c>
      <c r="G13" s="1">
        <v>911.42399999999998</v>
      </c>
      <c r="H13" s="1">
        <v>4</v>
      </c>
      <c r="I13" s="1">
        <v>68.356800000000007</v>
      </c>
      <c r="J13" t="str">
        <f t="shared" si="0"/>
        <v>Sep</v>
      </c>
    </row>
    <row r="14" spans="1:10" x14ac:dyDescent="0.35">
      <c r="A14" s="3">
        <f>DATE(2017,4,15)</f>
        <v>42840</v>
      </c>
      <c r="B14" s="1" t="s">
        <v>41</v>
      </c>
      <c r="C14" s="1" t="s">
        <v>42</v>
      </c>
      <c r="D14" s="1" t="s">
        <v>43</v>
      </c>
      <c r="E14" s="1" t="s">
        <v>44</v>
      </c>
      <c r="F14" s="2" t="s">
        <v>45</v>
      </c>
      <c r="G14" s="1">
        <v>15.552</v>
      </c>
      <c r="H14" s="1">
        <v>3</v>
      </c>
      <c r="I14" s="1">
        <v>5.4432</v>
      </c>
      <c r="J14" t="str">
        <f>TEXT(A14,"MMM")</f>
        <v>Apr</v>
      </c>
    </row>
    <row r="15" spans="1:10" x14ac:dyDescent="0.35">
      <c r="A15" s="3">
        <v>42502</v>
      </c>
      <c r="B15" s="1" t="s">
        <v>46</v>
      </c>
      <c r="C15" s="1" t="s">
        <v>47</v>
      </c>
      <c r="D15" s="1" t="s">
        <v>48</v>
      </c>
      <c r="E15" s="1" t="s">
        <v>35</v>
      </c>
      <c r="F15" s="2" t="s">
        <v>49</v>
      </c>
      <c r="G15" s="1">
        <v>407.976</v>
      </c>
      <c r="H15" s="1">
        <v>3</v>
      </c>
      <c r="I15" s="1">
        <v>132.59219999999999</v>
      </c>
      <c r="J15" t="str">
        <f t="shared" si="0"/>
        <v>May</v>
      </c>
    </row>
    <row r="16" spans="1:10" x14ac:dyDescent="0.35">
      <c r="A16" s="3">
        <f>DATE(2015,11,22)</f>
        <v>42330</v>
      </c>
      <c r="B16" s="1" t="s">
        <v>50</v>
      </c>
      <c r="C16" s="1" t="s">
        <v>51</v>
      </c>
      <c r="D16" s="1" t="s">
        <v>52</v>
      </c>
      <c r="E16" s="1" t="s">
        <v>37</v>
      </c>
      <c r="F16" s="2" t="s">
        <v>53</v>
      </c>
      <c r="G16" s="1">
        <v>68.81</v>
      </c>
      <c r="H16" s="1">
        <v>5</v>
      </c>
      <c r="I16" s="1">
        <v>-123.858</v>
      </c>
      <c r="J16" t="str">
        <f t="shared" si="0"/>
        <v>Nov</v>
      </c>
    </row>
    <row r="17" spans="1:10" x14ac:dyDescent="0.35">
      <c r="A17" s="3">
        <f>DATE(2015,11,22)</f>
        <v>42330</v>
      </c>
      <c r="B17" s="1" t="s">
        <v>50</v>
      </c>
      <c r="C17" s="1" t="s">
        <v>51</v>
      </c>
      <c r="D17" s="1" t="s">
        <v>52</v>
      </c>
      <c r="E17" s="1" t="s">
        <v>35</v>
      </c>
      <c r="F17" s="2" t="s">
        <v>54</v>
      </c>
      <c r="G17" s="1">
        <v>2.544</v>
      </c>
      <c r="H17" s="1">
        <v>3</v>
      </c>
      <c r="I17" s="1">
        <v>-3.8159999999999998</v>
      </c>
      <c r="J17" t="str">
        <f t="shared" si="0"/>
        <v>Nov</v>
      </c>
    </row>
    <row r="18" spans="1:10" x14ac:dyDescent="0.35">
      <c r="A18" s="3">
        <v>41954</v>
      </c>
      <c r="B18" s="1" t="s">
        <v>55</v>
      </c>
      <c r="C18" s="1" t="s">
        <v>56</v>
      </c>
      <c r="D18" s="1" t="s">
        <v>57</v>
      </c>
      <c r="E18" s="1" t="s">
        <v>26</v>
      </c>
      <c r="F18" s="2" t="s">
        <v>58</v>
      </c>
      <c r="G18" s="1">
        <v>665.88</v>
      </c>
      <c r="H18" s="1">
        <v>6</v>
      </c>
      <c r="I18" s="1">
        <v>13.317600000000001</v>
      </c>
      <c r="J18" t="str">
        <f t="shared" si="0"/>
        <v>Nov</v>
      </c>
    </row>
    <row r="19" spans="1:10" x14ac:dyDescent="0.35">
      <c r="A19" s="3">
        <f>DATE(2014,5,13)</f>
        <v>41772</v>
      </c>
      <c r="B19" s="1" t="s">
        <v>59</v>
      </c>
      <c r="C19" s="1" t="s">
        <v>60</v>
      </c>
      <c r="D19" s="1" t="s">
        <v>61</v>
      </c>
      <c r="E19" s="1" t="s">
        <v>26</v>
      </c>
      <c r="F19" s="2" t="s">
        <v>62</v>
      </c>
      <c r="G19" s="1">
        <v>55.5</v>
      </c>
      <c r="H19" s="1">
        <v>2</v>
      </c>
      <c r="I19" s="1">
        <v>9.99</v>
      </c>
      <c r="J19" t="str">
        <f t="shared" si="0"/>
        <v>May</v>
      </c>
    </row>
    <row r="20" spans="1:10" x14ac:dyDescent="0.35">
      <c r="A20" s="3">
        <f>DATE(2014,8,27)</f>
        <v>41878</v>
      </c>
      <c r="B20" s="1" t="s">
        <v>63</v>
      </c>
      <c r="C20" s="1" t="s">
        <v>64</v>
      </c>
      <c r="D20" s="1" t="s">
        <v>18</v>
      </c>
      <c r="E20" s="1" t="s">
        <v>31</v>
      </c>
      <c r="F20" s="2" t="s">
        <v>65</v>
      </c>
      <c r="G20" s="1">
        <v>8.56</v>
      </c>
      <c r="H20" s="1">
        <v>2</v>
      </c>
      <c r="I20" s="1">
        <v>2.4824000000000002</v>
      </c>
      <c r="J20" t="str">
        <f t="shared" si="0"/>
        <v>Aug</v>
      </c>
    </row>
    <row r="21" spans="1:10" x14ac:dyDescent="0.35">
      <c r="A21" s="3">
        <f t="shared" ref="A21:A22" si="1">DATE(2014,8,27)</f>
        <v>41878</v>
      </c>
      <c r="B21" s="1" t="s">
        <v>63</v>
      </c>
      <c r="C21" s="1" t="s">
        <v>64</v>
      </c>
      <c r="D21" s="1" t="s">
        <v>18</v>
      </c>
      <c r="E21" s="1" t="s">
        <v>33</v>
      </c>
      <c r="F21" s="2" t="s">
        <v>66</v>
      </c>
      <c r="G21" s="1">
        <v>213.48</v>
      </c>
      <c r="H21" s="1">
        <v>3</v>
      </c>
      <c r="I21" s="1">
        <v>16.010999999999999</v>
      </c>
      <c r="J21" t="str">
        <f t="shared" si="0"/>
        <v>Aug</v>
      </c>
    </row>
    <row r="22" spans="1:10" x14ac:dyDescent="0.35">
      <c r="A22" s="3">
        <f t="shared" si="1"/>
        <v>41878</v>
      </c>
      <c r="B22" s="1" t="s">
        <v>63</v>
      </c>
      <c r="C22" s="1" t="s">
        <v>64</v>
      </c>
      <c r="D22" s="1" t="s">
        <v>18</v>
      </c>
      <c r="E22" s="1" t="s">
        <v>35</v>
      </c>
      <c r="F22" s="2" t="s">
        <v>67</v>
      </c>
      <c r="G22" s="1">
        <v>22.72</v>
      </c>
      <c r="H22" s="1">
        <v>4</v>
      </c>
      <c r="I22" s="1">
        <v>7.3840000000000003</v>
      </c>
      <c r="J22" t="str">
        <f t="shared" si="0"/>
        <v>Aug</v>
      </c>
    </row>
    <row r="23" spans="1:10" x14ac:dyDescent="0.35">
      <c r="A23" s="3">
        <v>42625</v>
      </c>
      <c r="B23" s="1" t="s">
        <v>68</v>
      </c>
      <c r="C23" s="1" t="s">
        <v>69</v>
      </c>
      <c r="D23" s="1" t="s">
        <v>70</v>
      </c>
      <c r="E23" s="1" t="s">
        <v>31</v>
      </c>
      <c r="F23" s="2" t="s">
        <v>71</v>
      </c>
      <c r="G23" s="1">
        <v>19.46</v>
      </c>
      <c r="H23" s="1">
        <v>7</v>
      </c>
      <c r="I23" s="1">
        <v>5.0595999999999997</v>
      </c>
      <c r="J23" t="str">
        <f t="shared" si="0"/>
        <v>Sep</v>
      </c>
    </row>
    <row r="24" spans="1:10" x14ac:dyDescent="0.35">
      <c r="A24" s="3">
        <f>DATE(2014,8,27)</f>
        <v>41878</v>
      </c>
      <c r="B24" s="1" t="s">
        <v>68</v>
      </c>
      <c r="C24" s="1" t="s">
        <v>69</v>
      </c>
      <c r="D24" s="1" t="s">
        <v>70</v>
      </c>
      <c r="E24" s="1" t="s">
        <v>37</v>
      </c>
      <c r="F24" s="2" t="s">
        <v>72</v>
      </c>
      <c r="G24" s="1">
        <v>60.34</v>
      </c>
      <c r="H24" s="1">
        <v>7</v>
      </c>
      <c r="I24" s="1">
        <v>15.6884</v>
      </c>
      <c r="J24" t="str">
        <f t="shared" si="0"/>
        <v>Aug</v>
      </c>
    </row>
    <row r="25" spans="1:10" x14ac:dyDescent="0.35">
      <c r="A25" s="3">
        <f>DATE(2017,7,16)</f>
        <v>42932</v>
      </c>
      <c r="B25" s="1" t="s">
        <v>73</v>
      </c>
      <c r="C25" s="1" t="s">
        <v>74</v>
      </c>
      <c r="D25" s="1" t="s">
        <v>75</v>
      </c>
      <c r="E25" s="1" t="s">
        <v>14</v>
      </c>
      <c r="F25" s="2" t="s">
        <v>76</v>
      </c>
      <c r="G25" s="1">
        <v>71.372</v>
      </c>
      <c r="H25" s="1">
        <v>2</v>
      </c>
      <c r="I25" s="1">
        <v>-1.0196000000000001</v>
      </c>
      <c r="J25" t="str">
        <f t="shared" si="0"/>
        <v>Jul</v>
      </c>
    </row>
    <row r="26" spans="1:10" x14ac:dyDescent="0.35">
      <c r="A26" s="3">
        <f>DATE(2015,9,25)</f>
        <v>42272</v>
      </c>
      <c r="B26" s="1" t="s">
        <v>77</v>
      </c>
      <c r="C26" s="1" t="s">
        <v>78</v>
      </c>
      <c r="D26" s="1" t="s">
        <v>61</v>
      </c>
      <c r="E26" s="1" t="s">
        <v>24</v>
      </c>
      <c r="F26" s="2" t="s">
        <v>25</v>
      </c>
      <c r="G26" s="1">
        <v>1044.6300000000001</v>
      </c>
      <c r="H26" s="1">
        <v>3</v>
      </c>
      <c r="I26" s="1">
        <v>240.26490000000001</v>
      </c>
      <c r="J26" t="str">
        <f t="shared" si="0"/>
        <v>Sep</v>
      </c>
    </row>
    <row r="27" spans="1:10" x14ac:dyDescent="0.35">
      <c r="A27" s="6">
        <f>DATE(2016,1,16)</f>
        <v>42385</v>
      </c>
      <c r="B27" s="1" t="s">
        <v>79</v>
      </c>
      <c r="C27" s="1" t="s">
        <v>17</v>
      </c>
      <c r="D27" s="1" t="s">
        <v>18</v>
      </c>
      <c r="E27" s="1" t="s">
        <v>35</v>
      </c>
      <c r="F27" s="2" t="s">
        <v>80</v>
      </c>
      <c r="G27" s="1">
        <v>11.648</v>
      </c>
      <c r="H27" s="1">
        <v>2</v>
      </c>
      <c r="I27" s="1">
        <v>4.2224000000000004</v>
      </c>
      <c r="J27" t="str">
        <f t="shared" si="0"/>
        <v>Jan</v>
      </c>
    </row>
    <row r="28" spans="1:10" x14ac:dyDescent="0.35">
      <c r="A28" s="6">
        <f>DATE(2016,1,16)</f>
        <v>42385</v>
      </c>
      <c r="B28" s="1" t="s">
        <v>79</v>
      </c>
      <c r="C28" s="1" t="s">
        <v>17</v>
      </c>
      <c r="D28" s="1" t="s">
        <v>18</v>
      </c>
      <c r="E28" s="1" t="s">
        <v>81</v>
      </c>
      <c r="F28" s="2" t="s">
        <v>82</v>
      </c>
      <c r="G28" s="1">
        <v>90.57</v>
      </c>
      <c r="H28" s="1">
        <v>3</v>
      </c>
      <c r="I28" s="1">
        <v>11.774100000000001</v>
      </c>
      <c r="J28" t="str">
        <f t="shared" si="0"/>
        <v>Jan</v>
      </c>
    </row>
    <row r="29" spans="1:10" x14ac:dyDescent="0.35">
      <c r="A29" s="6">
        <f>DATE(2015,9,17)</f>
        <v>42264</v>
      </c>
      <c r="B29" s="1" t="s">
        <v>83</v>
      </c>
      <c r="C29" s="1" t="s">
        <v>74</v>
      </c>
      <c r="D29" s="1" t="s">
        <v>75</v>
      </c>
      <c r="E29" s="1" t="s">
        <v>12</v>
      </c>
      <c r="F29" s="2" t="s">
        <v>84</v>
      </c>
      <c r="G29" s="1">
        <v>3083.43</v>
      </c>
      <c r="H29" s="1">
        <v>7</v>
      </c>
      <c r="I29" s="1">
        <v>-1665.0522000000001</v>
      </c>
      <c r="J29" t="str">
        <f t="shared" si="0"/>
        <v>Sep</v>
      </c>
    </row>
    <row r="30" spans="1:10" x14ac:dyDescent="0.35">
      <c r="A30" s="6">
        <f t="shared" ref="A30:A35" si="2">DATE(2015,9,17)</f>
        <v>42264</v>
      </c>
      <c r="B30" s="1" t="s">
        <v>83</v>
      </c>
      <c r="C30" s="1" t="s">
        <v>74</v>
      </c>
      <c r="D30" s="1" t="s">
        <v>75</v>
      </c>
      <c r="E30" s="1" t="s">
        <v>35</v>
      </c>
      <c r="F30" s="2" t="s">
        <v>85</v>
      </c>
      <c r="G30" s="1">
        <v>9.6180000000000003</v>
      </c>
      <c r="H30" s="1">
        <v>2</v>
      </c>
      <c r="I30" s="1">
        <v>-7.0532000000000004</v>
      </c>
      <c r="J30" t="str">
        <f t="shared" si="0"/>
        <v>Sep</v>
      </c>
    </row>
    <row r="31" spans="1:10" x14ac:dyDescent="0.35">
      <c r="A31" s="6">
        <f t="shared" si="2"/>
        <v>42264</v>
      </c>
      <c r="B31" s="1" t="s">
        <v>83</v>
      </c>
      <c r="C31" s="1" t="s">
        <v>74</v>
      </c>
      <c r="D31" s="1" t="s">
        <v>75</v>
      </c>
      <c r="E31" s="1" t="s">
        <v>29</v>
      </c>
      <c r="F31" s="2" t="s">
        <v>86</v>
      </c>
      <c r="G31" s="1">
        <v>124.2</v>
      </c>
      <c r="H31" s="1">
        <v>3</v>
      </c>
      <c r="I31" s="1">
        <v>15.525</v>
      </c>
      <c r="J31" t="str">
        <f t="shared" si="0"/>
        <v>Sep</v>
      </c>
    </row>
    <row r="32" spans="1:10" x14ac:dyDescent="0.35">
      <c r="A32" s="6">
        <f t="shared" si="2"/>
        <v>42264</v>
      </c>
      <c r="B32" s="1" t="s">
        <v>83</v>
      </c>
      <c r="C32" s="1" t="s">
        <v>74</v>
      </c>
      <c r="D32" s="1" t="s">
        <v>75</v>
      </c>
      <c r="E32" s="1" t="s">
        <v>87</v>
      </c>
      <c r="F32" s="2" t="s">
        <v>88</v>
      </c>
      <c r="G32" s="1">
        <v>3.2639999999999998</v>
      </c>
      <c r="H32" s="1">
        <v>2</v>
      </c>
      <c r="I32" s="1">
        <v>1.1015999999999999</v>
      </c>
      <c r="J32" t="str">
        <f t="shared" si="0"/>
        <v>Sep</v>
      </c>
    </row>
    <row r="33" spans="1:10" x14ac:dyDescent="0.35">
      <c r="A33" s="6">
        <f t="shared" si="2"/>
        <v>42264</v>
      </c>
      <c r="B33" s="1" t="s">
        <v>83</v>
      </c>
      <c r="C33" s="1" t="s">
        <v>74</v>
      </c>
      <c r="D33" s="1" t="s">
        <v>75</v>
      </c>
      <c r="E33" s="1" t="s">
        <v>31</v>
      </c>
      <c r="F33" s="2" t="s">
        <v>89</v>
      </c>
      <c r="G33" s="1">
        <v>86.304000000000002</v>
      </c>
      <c r="H33" s="1">
        <v>6</v>
      </c>
      <c r="I33" s="1">
        <v>9.7091999999999992</v>
      </c>
      <c r="J33" t="str">
        <f t="shared" si="0"/>
        <v>Sep</v>
      </c>
    </row>
    <row r="34" spans="1:10" x14ac:dyDescent="0.35">
      <c r="A34" s="6">
        <f t="shared" si="2"/>
        <v>42264</v>
      </c>
      <c r="B34" s="1" t="s">
        <v>83</v>
      </c>
      <c r="C34" s="1" t="s">
        <v>74</v>
      </c>
      <c r="D34" s="1" t="s">
        <v>75</v>
      </c>
      <c r="E34" s="1" t="s">
        <v>35</v>
      </c>
      <c r="F34" s="2" t="s">
        <v>90</v>
      </c>
      <c r="G34" s="1">
        <v>6.8579999999999997</v>
      </c>
      <c r="H34" s="1">
        <v>6</v>
      </c>
      <c r="I34" s="1">
        <v>-5.7149999999999999</v>
      </c>
      <c r="J34" t="str">
        <f t="shared" si="0"/>
        <v>Sep</v>
      </c>
    </row>
    <row r="35" spans="1:10" x14ac:dyDescent="0.35">
      <c r="A35" s="6">
        <f t="shared" si="2"/>
        <v>42264</v>
      </c>
      <c r="B35" s="1" t="s">
        <v>83</v>
      </c>
      <c r="C35" s="1" t="s">
        <v>74</v>
      </c>
      <c r="D35" s="1" t="s">
        <v>75</v>
      </c>
      <c r="E35" s="1" t="s">
        <v>31</v>
      </c>
      <c r="F35" s="2" t="s">
        <v>91</v>
      </c>
      <c r="G35" s="1">
        <v>15.76</v>
      </c>
      <c r="H35" s="1">
        <v>2</v>
      </c>
      <c r="I35" s="1">
        <v>3.5459999999999998</v>
      </c>
      <c r="J35" t="str">
        <f t="shared" si="0"/>
        <v>Sep</v>
      </c>
    </row>
    <row r="36" spans="1:10" x14ac:dyDescent="0.35">
      <c r="A36" s="6">
        <f>DATE(2017,10,19)</f>
        <v>43027</v>
      </c>
      <c r="B36" s="1" t="s">
        <v>92</v>
      </c>
      <c r="C36" s="1" t="s">
        <v>93</v>
      </c>
      <c r="D36" s="1" t="s">
        <v>52</v>
      </c>
      <c r="E36" s="1" t="s">
        <v>44</v>
      </c>
      <c r="F36" s="2" t="s">
        <v>94</v>
      </c>
      <c r="G36" s="1">
        <v>29.472000000000001</v>
      </c>
      <c r="H36" s="1">
        <v>3</v>
      </c>
      <c r="I36" s="1">
        <v>9.9467999999999996</v>
      </c>
      <c r="J36" t="str">
        <f t="shared" si="0"/>
        <v>Oct</v>
      </c>
    </row>
    <row r="37" spans="1:10" x14ac:dyDescent="0.35">
      <c r="A37" s="3">
        <v>42594</v>
      </c>
      <c r="B37" s="1" t="s">
        <v>95</v>
      </c>
      <c r="C37" s="1" t="s">
        <v>96</v>
      </c>
      <c r="D37" s="1" t="s">
        <v>52</v>
      </c>
      <c r="E37" s="1" t="s">
        <v>33</v>
      </c>
      <c r="F37" s="2" t="s">
        <v>97</v>
      </c>
      <c r="G37" s="1">
        <v>1097.5440000000001</v>
      </c>
      <c r="H37" s="1">
        <v>7</v>
      </c>
      <c r="I37" s="1">
        <v>123.47369999999999</v>
      </c>
      <c r="J37" t="str">
        <f t="shared" si="0"/>
        <v>Aug</v>
      </c>
    </row>
    <row r="38" spans="1:10" x14ac:dyDescent="0.35">
      <c r="A38" s="3">
        <v>42594</v>
      </c>
      <c r="B38" s="1" t="s">
        <v>95</v>
      </c>
      <c r="C38" s="1" t="s">
        <v>96</v>
      </c>
      <c r="D38" s="1" t="s">
        <v>52</v>
      </c>
      <c r="E38" s="1" t="s">
        <v>29</v>
      </c>
      <c r="F38" s="2" t="s">
        <v>98</v>
      </c>
      <c r="G38" s="1">
        <v>190.92</v>
      </c>
      <c r="H38" s="1">
        <v>5</v>
      </c>
      <c r="I38" s="1">
        <v>-147.96299999999999</v>
      </c>
      <c r="J38" t="str">
        <f t="shared" si="0"/>
        <v>Aug</v>
      </c>
    </row>
    <row r="39" spans="1:10" x14ac:dyDescent="0.35">
      <c r="A39" s="3">
        <f>DATE(2015,12,27)</f>
        <v>42365</v>
      </c>
      <c r="B39" s="1" t="s">
        <v>99</v>
      </c>
      <c r="C39" s="1" t="s">
        <v>93</v>
      </c>
      <c r="D39" s="1" t="s">
        <v>52</v>
      </c>
      <c r="E39" s="1" t="s">
        <v>87</v>
      </c>
      <c r="F39" s="2" t="s">
        <v>100</v>
      </c>
      <c r="G39" s="1">
        <v>113.328</v>
      </c>
      <c r="H39" s="1">
        <v>9</v>
      </c>
      <c r="I39" s="1">
        <v>35.414999999999999</v>
      </c>
      <c r="J39" t="str">
        <f t="shared" si="0"/>
        <v>Dec</v>
      </c>
    </row>
    <row r="40" spans="1:10" x14ac:dyDescent="0.35">
      <c r="A40" s="3">
        <f t="shared" ref="A40:A42" si="3">DATE(2015,12,27)</f>
        <v>42365</v>
      </c>
      <c r="B40" s="1" t="s">
        <v>99</v>
      </c>
      <c r="C40" s="1" t="s">
        <v>93</v>
      </c>
      <c r="D40" s="1" t="s">
        <v>52</v>
      </c>
      <c r="E40" s="1" t="s">
        <v>12</v>
      </c>
      <c r="F40" s="2" t="s">
        <v>101</v>
      </c>
      <c r="G40" s="1">
        <v>532.39919999999995</v>
      </c>
      <c r="H40" s="1">
        <v>3</v>
      </c>
      <c r="I40" s="1">
        <v>-46.976399999999998</v>
      </c>
      <c r="J40" t="str">
        <f t="shared" si="0"/>
        <v>Dec</v>
      </c>
    </row>
    <row r="41" spans="1:10" x14ac:dyDescent="0.35">
      <c r="A41" s="3">
        <f t="shared" si="3"/>
        <v>42365</v>
      </c>
      <c r="B41" s="1" t="s">
        <v>99</v>
      </c>
      <c r="C41" s="1" t="s">
        <v>93</v>
      </c>
      <c r="D41" s="1" t="s">
        <v>52</v>
      </c>
      <c r="E41" s="1" t="s">
        <v>14</v>
      </c>
      <c r="F41" s="2" t="s">
        <v>102</v>
      </c>
      <c r="G41" s="1">
        <v>212.05799999999999</v>
      </c>
      <c r="H41" s="1">
        <v>3</v>
      </c>
      <c r="I41" s="1">
        <v>-15.147</v>
      </c>
      <c r="J41" t="str">
        <f t="shared" si="0"/>
        <v>Dec</v>
      </c>
    </row>
    <row r="42" spans="1:10" x14ac:dyDescent="0.35">
      <c r="A42" s="3">
        <f t="shared" si="3"/>
        <v>42365</v>
      </c>
      <c r="B42" s="1" t="s">
        <v>99</v>
      </c>
      <c r="C42" s="1" t="s">
        <v>93</v>
      </c>
      <c r="D42" s="1" t="s">
        <v>52</v>
      </c>
      <c r="E42" s="1" t="s">
        <v>33</v>
      </c>
      <c r="F42" s="2" t="s">
        <v>103</v>
      </c>
      <c r="G42" s="1">
        <v>371.16800000000001</v>
      </c>
      <c r="H42" s="1">
        <v>4</v>
      </c>
      <c r="I42" s="1">
        <v>41.756399999999999</v>
      </c>
      <c r="J42" t="str">
        <f t="shared" si="0"/>
        <v>Dec</v>
      </c>
    </row>
    <row r="43" spans="1:10" x14ac:dyDescent="0.35">
      <c r="A43" s="3">
        <v>43017</v>
      </c>
      <c r="B43" s="1" t="s">
        <v>104</v>
      </c>
      <c r="C43" s="1" t="s">
        <v>105</v>
      </c>
      <c r="D43" s="1" t="s">
        <v>106</v>
      </c>
      <c r="E43" s="1" t="s">
        <v>33</v>
      </c>
      <c r="F43" s="2" t="s">
        <v>107</v>
      </c>
      <c r="G43" s="1">
        <v>147.16800000000001</v>
      </c>
      <c r="H43" s="1">
        <v>4</v>
      </c>
      <c r="I43" s="1">
        <v>16.5564</v>
      </c>
      <c r="J43" t="str">
        <f t="shared" si="0"/>
        <v>Oct</v>
      </c>
    </row>
    <row r="44" spans="1:10" x14ac:dyDescent="0.35">
      <c r="A44" s="3">
        <f>DATE(2016,7,17)</f>
        <v>42568</v>
      </c>
      <c r="B44" s="1" t="s">
        <v>108</v>
      </c>
      <c r="C44" s="1" t="s">
        <v>17</v>
      </c>
      <c r="D44" s="1" t="s">
        <v>18</v>
      </c>
      <c r="E44" s="1" t="s">
        <v>26</v>
      </c>
      <c r="F44" s="2" t="s">
        <v>109</v>
      </c>
      <c r="G44" s="1">
        <v>77.88</v>
      </c>
      <c r="H44" s="1">
        <v>2</v>
      </c>
      <c r="I44" s="1">
        <v>3.8940000000000001</v>
      </c>
      <c r="J44" t="str">
        <f t="shared" si="0"/>
        <v>Jul</v>
      </c>
    </row>
    <row r="45" spans="1:10" x14ac:dyDescent="0.35">
      <c r="A45" s="3">
        <f>DATE(2017,9,19)</f>
        <v>42997</v>
      </c>
      <c r="B45" s="1" t="s">
        <v>110</v>
      </c>
      <c r="C45" s="1" t="s">
        <v>111</v>
      </c>
      <c r="D45" s="1" t="s">
        <v>23</v>
      </c>
      <c r="E45" s="1" t="s">
        <v>26</v>
      </c>
      <c r="F45" s="2" t="s">
        <v>112</v>
      </c>
      <c r="G45" s="1">
        <v>95.616</v>
      </c>
      <c r="H45" s="1">
        <v>2</v>
      </c>
      <c r="I45" s="1">
        <v>9.5616000000000003</v>
      </c>
      <c r="J45" t="str">
        <f t="shared" si="0"/>
        <v>Sep</v>
      </c>
    </row>
    <row r="46" spans="1:10" x14ac:dyDescent="0.35">
      <c r="A46" s="3">
        <v>42677</v>
      </c>
      <c r="B46" s="1" t="s">
        <v>113</v>
      </c>
      <c r="C46" s="1" t="s">
        <v>114</v>
      </c>
      <c r="D46" s="1" t="s">
        <v>115</v>
      </c>
      <c r="E46" s="1" t="s">
        <v>81</v>
      </c>
      <c r="F46" s="2" t="s">
        <v>116</v>
      </c>
      <c r="G46" s="1">
        <v>45.98</v>
      </c>
      <c r="H46" s="1">
        <v>2</v>
      </c>
      <c r="I46" s="1">
        <v>19.7714</v>
      </c>
      <c r="J46" t="str">
        <f t="shared" si="0"/>
        <v>Nov</v>
      </c>
    </row>
    <row r="47" spans="1:10" x14ac:dyDescent="0.35">
      <c r="A47" s="3">
        <v>42677</v>
      </c>
      <c r="B47" s="1" t="s">
        <v>113</v>
      </c>
      <c r="C47" s="1" t="s">
        <v>114</v>
      </c>
      <c r="D47" s="1" t="s">
        <v>115</v>
      </c>
      <c r="E47" s="1" t="s">
        <v>35</v>
      </c>
      <c r="F47" s="2" t="s">
        <v>117</v>
      </c>
      <c r="G47" s="1">
        <v>17.46</v>
      </c>
      <c r="H47" s="1">
        <v>2</v>
      </c>
      <c r="I47" s="1">
        <v>8.2062000000000008</v>
      </c>
      <c r="J47" t="str">
        <f t="shared" si="0"/>
        <v>Nov</v>
      </c>
    </row>
    <row r="48" spans="1:10" x14ac:dyDescent="0.35">
      <c r="A48" s="3">
        <f>DATE(2014,10,20)</f>
        <v>41932</v>
      </c>
      <c r="B48" s="1" t="s">
        <v>118</v>
      </c>
      <c r="C48" s="1" t="s">
        <v>119</v>
      </c>
      <c r="D48" s="1" t="s">
        <v>120</v>
      </c>
      <c r="E48" s="1" t="s">
        <v>26</v>
      </c>
      <c r="F48" s="2" t="s">
        <v>121</v>
      </c>
      <c r="G48" s="1">
        <v>211.96</v>
      </c>
      <c r="H48" s="1">
        <v>4</v>
      </c>
      <c r="I48" s="1">
        <v>8.4784000000000006</v>
      </c>
      <c r="J48" t="str">
        <f t="shared" si="0"/>
        <v>Oct</v>
      </c>
    </row>
    <row r="49" spans="1:10" x14ac:dyDescent="0.35">
      <c r="A49" s="3">
        <f>DATE(2016,6,20)</f>
        <v>42541</v>
      </c>
      <c r="B49" s="1" t="s">
        <v>122</v>
      </c>
      <c r="C49" s="1" t="s">
        <v>123</v>
      </c>
      <c r="D49" s="1" t="s">
        <v>124</v>
      </c>
      <c r="E49" s="1" t="s">
        <v>81</v>
      </c>
      <c r="F49" s="2" t="s">
        <v>125</v>
      </c>
      <c r="G49" s="1">
        <v>45</v>
      </c>
      <c r="H49" s="1">
        <v>3</v>
      </c>
      <c r="I49" s="1">
        <v>4.95</v>
      </c>
      <c r="J49" t="str">
        <f t="shared" si="0"/>
        <v>Jun</v>
      </c>
    </row>
    <row r="50" spans="1:10" x14ac:dyDescent="0.35">
      <c r="A50" s="3">
        <f>DATE(2016,6,20)</f>
        <v>42541</v>
      </c>
      <c r="B50" s="1" t="s">
        <v>122</v>
      </c>
      <c r="C50" s="1" t="s">
        <v>123</v>
      </c>
      <c r="D50" s="1" t="s">
        <v>124</v>
      </c>
      <c r="E50" s="1" t="s">
        <v>33</v>
      </c>
      <c r="F50" s="2" t="s">
        <v>126</v>
      </c>
      <c r="G50" s="1">
        <v>21.8</v>
      </c>
      <c r="H50" s="1">
        <v>2</v>
      </c>
      <c r="I50" s="1">
        <v>6.1040000000000001</v>
      </c>
      <c r="J50" t="str">
        <f t="shared" si="0"/>
        <v>Jun</v>
      </c>
    </row>
    <row r="51" spans="1:10" x14ac:dyDescent="0.35">
      <c r="A51" s="3">
        <f>DATE(2015,6,20)</f>
        <v>42175</v>
      </c>
      <c r="B51" s="1" t="s">
        <v>127</v>
      </c>
      <c r="C51" s="1" t="s">
        <v>128</v>
      </c>
      <c r="D51" s="1" t="s">
        <v>129</v>
      </c>
      <c r="E51" s="1" t="s">
        <v>35</v>
      </c>
      <c r="F51" s="2" t="s">
        <v>130</v>
      </c>
      <c r="G51" s="1">
        <v>38.22</v>
      </c>
      <c r="H51" s="1">
        <v>6</v>
      </c>
      <c r="I51" s="1">
        <v>17.9634</v>
      </c>
      <c r="J51" t="str">
        <f t="shared" si="0"/>
        <v>Jun</v>
      </c>
    </row>
    <row r="52" spans="1:10" x14ac:dyDescent="0.35">
      <c r="A52" s="3">
        <f t="shared" ref="A52:A54" si="4">DATE(2015,6,20)</f>
        <v>42175</v>
      </c>
      <c r="B52" s="1" t="s">
        <v>127</v>
      </c>
      <c r="C52" s="1" t="s">
        <v>128</v>
      </c>
      <c r="D52" s="1" t="s">
        <v>129</v>
      </c>
      <c r="E52" s="1" t="s">
        <v>19</v>
      </c>
      <c r="F52" s="2" t="s">
        <v>131</v>
      </c>
      <c r="G52" s="1">
        <v>75.180000000000007</v>
      </c>
      <c r="H52" s="1">
        <v>6</v>
      </c>
      <c r="I52" s="1">
        <v>35.334600000000002</v>
      </c>
      <c r="J52" t="str">
        <f t="shared" si="0"/>
        <v>Jun</v>
      </c>
    </row>
    <row r="53" spans="1:10" x14ac:dyDescent="0.35">
      <c r="A53" s="3">
        <f t="shared" si="4"/>
        <v>42175</v>
      </c>
      <c r="B53" s="1" t="s">
        <v>127</v>
      </c>
      <c r="C53" s="1" t="s">
        <v>128</v>
      </c>
      <c r="D53" s="1" t="s">
        <v>129</v>
      </c>
      <c r="E53" s="1" t="s">
        <v>29</v>
      </c>
      <c r="F53" s="2" t="s">
        <v>132</v>
      </c>
      <c r="G53" s="1">
        <v>6.16</v>
      </c>
      <c r="H53" s="1">
        <v>2</v>
      </c>
      <c r="I53" s="1">
        <v>2.9567999999999999</v>
      </c>
      <c r="J53" t="str">
        <f t="shared" si="0"/>
        <v>Jun</v>
      </c>
    </row>
    <row r="54" spans="1:10" x14ac:dyDescent="0.35">
      <c r="A54" s="3">
        <f t="shared" si="4"/>
        <v>42175</v>
      </c>
      <c r="B54" s="1" t="s">
        <v>127</v>
      </c>
      <c r="C54" s="1" t="s">
        <v>128</v>
      </c>
      <c r="D54" s="1" t="s">
        <v>129</v>
      </c>
      <c r="E54" s="1" t="s">
        <v>14</v>
      </c>
      <c r="F54" s="2" t="s">
        <v>133</v>
      </c>
      <c r="G54" s="1">
        <v>89.99</v>
      </c>
      <c r="H54" s="1">
        <v>1</v>
      </c>
      <c r="I54" s="1">
        <v>17.098099999999999</v>
      </c>
      <c r="J54" t="str">
        <f t="shared" si="0"/>
        <v>Jun</v>
      </c>
    </row>
    <row r="55" spans="1:10" x14ac:dyDescent="0.35">
      <c r="A55" s="3">
        <v>42686</v>
      </c>
      <c r="B55" s="1" t="s">
        <v>134</v>
      </c>
      <c r="C55" s="1" t="s">
        <v>135</v>
      </c>
      <c r="D55" s="1" t="s">
        <v>136</v>
      </c>
      <c r="E55" s="1" t="s">
        <v>137</v>
      </c>
      <c r="F55" s="2" t="s">
        <v>138</v>
      </c>
      <c r="G55" s="1">
        <v>15.26</v>
      </c>
      <c r="H55" s="1">
        <v>7</v>
      </c>
      <c r="I55" s="1">
        <v>6.2565999999999997</v>
      </c>
      <c r="J55" t="str">
        <f t="shared" si="0"/>
        <v>Nov</v>
      </c>
    </row>
    <row r="56" spans="1:10" x14ac:dyDescent="0.35">
      <c r="A56" s="3">
        <v>42686</v>
      </c>
      <c r="B56" s="1" t="s">
        <v>134</v>
      </c>
      <c r="C56" s="1" t="s">
        <v>135</v>
      </c>
      <c r="D56" s="1" t="s">
        <v>136</v>
      </c>
      <c r="E56" s="1" t="s">
        <v>33</v>
      </c>
      <c r="F56" s="2" t="s">
        <v>139</v>
      </c>
      <c r="G56" s="1">
        <v>1029.95</v>
      </c>
      <c r="H56" s="1">
        <v>5</v>
      </c>
      <c r="I56" s="1">
        <v>298.68549999999999</v>
      </c>
      <c r="J56" t="str">
        <f t="shared" si="0"/>
        <v>Nov</v>
      </c>
    </row>
    <row r="57" spans="1:10" x14ac:dyDescent="0.35">
      <c r="A57" s="3">
        <f>DATE(2016,6,17)</f>
        <v>42538</v>
      </c>
      <c r="B57" s="1" t="s">
        <v>140</v>
      </c>
      <c r="C57" s="1" t="s">
        <v>141</v>
      </c>
      <c r="D57" s="1" t="s">
        <v>136</v>
      </c>
      <c r="E57" s="1" t="s">
        <v>26</v>
      </c>
      <c r="F57" s="2" t="s">
        <v>142</v>
      </c>
      <c r="G57" s="1">
        <v>208.56</v>
      </c>
      <c r="H57" s="1">
        <v>6</v>
      </c>
      <c r="I57" s="1">
        <v>52.14</v>
      </c>
      <c r="J57" t="str">
        <f t="shared" si="0"/>
        <v>Jun</v>
      </c>
    </row>
    <row r="58" spans="1:10" x14ac:dyDescent="0.35">
      <c r="A58" s="3">
        <f t="shared" ref="A58:A63" si="5">DATE(2016,6,17)</f>
        <v>42538</v>
      </c>
      <c r="B58" s="1" t="s">
        <v>140</v>
      </c>
      <c r="C58" s="1" t="s">
        <v>141</v>
      </c>
      <c r="D58" s="1" t="s">
        <v>136</v>
      </c>
      <c r="E58" s="1" t="s">
        <v>44</v>
      </c>
      <c r="F58" s="2" t="s">
        <v>143</v>
      </c>
      <c r="G58" s="1">
        <v>32.4</v>
      </c>
      <c r="H58" s="1">
        <v>5</v>
      </c>
      <c r="I58" s="1">
        <v>15.552</v>
      </c>
      <c r="J58" t="str">
        <f t="shared" si="0"/>
        <v>Jun</v>
      </c>
    </row>
    <row r="59" spans="1:10" x14ac:dyDescent="0.35">
      <c r="A59" s="3">
        <f t="shared" si="5"/>
        <v>42538</v>
      </c>
      <c r="B59" s="1" t="s">
        <v>140</v>
      </c>
      <c r="C59" s="1" t="s">
        <v>141</v>
      </c>
      <c r="D59" s="1" t="s">
        <v>136</v>
      </c>
      <c r="E59" s="1" t="s">
        <v>14</v>
      </c>
      <c r="F59" s="2" t="s">
        <v>144</v>
      </c>
      <c r="G59" s="1">
        <v>319.41000000000003</v>
      </c>
      <c r="H59" s="1">
        <v>5</v>
      </c>
      <c r="I59" s="1">
        <v>7.0979999999999999</v>
      </c>
      <c r="J59" t="str">
        <f t="shared" si="0"/>
        <v>Jun</v>
      </c>
    </row>
    <row r="60" spans="1:10" x14ac:dyDescent="0.35">
      <c r="A60" s="3">
        <f t="shared" si="5"/>
        <v>42538</v>
      </c>
      <c r="B60" s="1" t="s">
        <v>140</v>
      </c>
      <c r="C60" s="1" t="s">
        <v>141</v>
      </c>
      <c r="D60" s="1" t="s">
        <v>136</v>
      </c>
      <c r="E60" s="1" t="s">
        <v>44</v>
      </c>
      <c r="F60" s="2" t="s">
        <v>145</v>
      </c>
      <c r="G60" s="1">
        <v>14.56</v>
      </c>
      <c r="H60" s="1">
        <v>2</v>
      </c>
      <c r="I60" s="1">
        <v>6.9888000000000003</v>
      </c>
      <c r="J60" t="str">
        <f t="shared" si="0"/>
        <v>Jun</v>
      </c>
    </row>
    <row r="61" spans="1:10" x14ac:dyDescent="0.35">
      <c r="A61" s="3">
        <f t="shared" si="5"/>
        <v>42538</v>
      </c>
      <c r="B61" s="1" t="s">
        <v>140</v>
      </c>
      <c r="C61" s="1" t="s">
        <v>141</v>
      </c>
      <c r="D61" s="1" t="s">
        <v>136</v>
      </c>
      <c r="E61" s="1" t="s">
        <v>81</v>
      </c>
      <c r="F61" s="2" t="s">
        <v>125</v>
      </c>
      <c r="G61" s="1">
        <v>30</v>
      </c>
      <c r="H61" s="1">
        <v>2</v>
      </c>
      <c r="I61" s="1">
        <v>3.3</v>
      </c>
      <c r="J61" t="str">
        <f t="shared" si="0"/>
        <v>Jun</v>
      </c>
    </row>
    <row r="62" spans="1:10" x14ac:dyDescent="0.35">
      <c r="A62" s="3">
        <f t="shared" si="5"/>
        <v>42538</v>
      </c>
      <c r="B62" s="1" t="s">
        <v>140</v>
      </c>
      <c r="C62" s="1" t="s">
        <v>141</v>
      </c>
      <c r="D62" s="1" t="s">
        <v>136</v>
      </c>
      <c r="E62" s="1" t="s">
        <v>35</v>
      </c>
      <c r="F62" s="2" t="s">
        <v>146</v>
      </c>
      <c r="G62" s="1">
        <v>48.48</v>
      </c>
      <c r="H62" s="1">
        <v>4</v>
      </c>
      <c r="I62" s="1">
        <v>16.361999999999998</v>
      </c>
      <c r="J62" t="str">
        <f t="shared" si="0"/>
        <v>Jun</v>
      </c>
    </row>
    <row r="63" spans="1:10" x14ac:dyDescent="0.35">
      <c r="A63" s="3">
        <f t="shared" si="5"/>
        <v>42538</v>
      </c>
      <c r="B63" s="1" t="s">
        <v>140</v>
      </c>
      <c r="C63" s="1" t="s">
        <v>141</v>
      </c>
      <c r="D63" s="1" t="s">
        <v>136</v>
      </c>
      <c r="E63" s="1" t="s">
        <v>31</v>
      </c>
      <c r="F63" s="2" t="s">
        <v>147</v>
      </c>
      <c r="G63" s="1">
        <v>1.68</v>
      </c>
      <c r="H63" s="1">
        <v>1</v>
      </c>
      <c r="I63" s="1">
        <v>0.84</v>
      </c>
      <c r="J63" t="str">
        <f t="shared" si="0"/>
        <v>Jun</v>
      </c>
    </row>
    <row r="64" spans="1:10" x14ac:dyDescent="0.35">
      <c r="A64" s="3">
        <f>DATE(2015,11,24)</f>
        <v>42332</v>
      </c>
      <c r="B64" s="1" t="s">
        <v>148</v>
      </c>
      <c r="C64" s="1" t="s">
        <v>17</v>
      </c>
      <c r="D64" s="1" t="s">
        <v>18</v>
      </c>
      <c r="E64" s="1" t="s">
        <v>81</v>
      </c>
      <c r="F64" s="2" t="s">
        <v>149</v>
      </c>
      <c r="G64" s="1">
        <v>13.98</v>
      </c>
      <c r="H64" s="1">
        <v>2</v>
      </c>
      <c r="I64" s="1">
        <v>6.1512000000000002</v>
      </c>
      <c r="J64" t="str">
        <f t="shared" si="0"/>
        <v>Nov</v>
      </c>
    </row>
    <row r="65" spans="1:10" x14ac:dyDescent="0.35">
      <c r="A65" s="3">
        <f t="shared" ref="A65:A67" si="6">DATE(2015,11,24)</f>
        <v>42332</v>
      </c>
      <c r="B65" s="1" t="s">
        <v>148</v>
      </c>
      <c r="C65" s="1" t="s">
        <v>17</v>
      </c>
      <c r="D65" s="1" t="s">
        <v>18</v>
      </c>
      <c r="E65" s="1" t="s">
        <v>35</v>
      </c>
      <c r="F65" s="2" t="s">
        <v>150</v>
      </c>
      <c r="G65" s="1">
        <v>25.824000000000002</v>
      </c>
      <c r="H65" s="1">
        <v>6</v>
      </c>
      <c r="I65" s="1">
        <v>9.3612000000000002</v>
      </c>
      <c r="J65" t="str">
        <f t="shared" si="0"/>
        <v>Nov</v>
      </c>
    </row>
    <row r="66" spans="1:10" x14ac:dyDescent="0.35">
      <c r="A66" s="3">
        <f t="shared" si="6"/>
        <v>42332</v>
      </c>
      <c r="B66" s="1" t="s">
        <v>148</v>
      </c>
      <c r="C66" s="1" t="s">
        <v>17</v>
      </c>
      <c r="D66" s="1" t="s">
        <v>18</v>
      </c>
      <c r="E66" s="1" t="s">
        <v>44</v>
      </c>
      <c r="F66" s="2" t="s">
        <v>151</v>
      </c>
      <c r="G66" s="1">
        <v>146.72999999999999</v>
      </c>
      <c r="H66" s="1">
        <v>3</v>
      </c>
      <c r="I66" s="1">
        <v>68.963099999999997</v>
      </c>
      <c r="J66" t="str">
        <f t="shared" si="0"/>
        <v>Nov</v>
      </c>
    </row>
    <row r="67" spans="1:10" x14ac:dyDescent="0.35">
      <c r="A67" s="3">
        <f t="shared" si="6"/>
        <v>42332</v>
      </c>
      <c r="B67" s="1" t="s">
        <v>148</v>
      </c>
      <c r="C67" s="1" t="s">
        <v>17</v>
      </c>
      <c r="D67" s="1" t="s">
        <v>18</v>
      </c>
      <c r="E67" s="1" t="s">
        <v>29</v>
      </c>
      <c r="F67" s="2" t="s">
        <v>152</v>
      </c>
      <c r="G67" s="1">
        <v>79.760000000000005</v>
      </c>
      <c r="H67" s="1">
        <v>4</v>
      </c>
      <c r="I67" s="1">
        <v>22.332799999999999</v>
      </c>
      <c r="J67" t="str">
        <f t="shared" ref="J67:J130" si="7">TEXT(A67,"MMM")</f>
        <v>Nov</v>
      </c>
    </row>
    <row r="68" spans="1:10" x14ac:dyDescent="0.35">
      <c r="A68" s="3">
        <f>DATE(2015,4,30)</f>
        <v>42124</v>
      </c>
      <c r="B68" s="1" t="s">
        <v>153</v>
      </c>
      <c r="C68" s="1" t="s">
        <v>154</v>
      </c>
      <c r="D68" s="1" t="s">
        <v>106</v>
      </c>
      <c r="E68" s="1" t="s">
        <v>14</v>
      </c>
      <c r="F68" s="2" t="s">
        <v>155</v>
      </c>
      <c r="G68" s="1">
        <v>213.11500000000001</v>
      </c>
      <c r="H68" s="1">
        <v>5</v>
      </c>
      <c r="I68" s="1">
        <v>-15.2225</v>
      </c>
      <c r="J68" t="str">
        <f t="shared" si="7"/>
        <v>Apr</v>
      </c>
    </row>
    <row r="69" spans="1:10" x14ac:dyDescent="0.35">
      <c r="A69" s="3">
        <v>41771</v>
      </c>
      <c r="B69" s="1" t="s">
        <v>156</v>
      </c>
      <c r="C69" s="1" t="s">
        <v>157</v>
      </c>
      <c r="D69" s="1" t="s">
        <v>158</v>
      </c>
      <c r="E69" s="1" t="s">
        <v>31</v>
      </c>
      <c r="F69" s="2" t="s">
        <v>159</v>
      </c>
      <c r="G69" s="1">
        <v>1113.0239999999999</v>
      </c>
      <c r="H69" s="1">
        <v>8</v>
      </c>
      <c r="I69" s="1">
        <v>111.30240000000001</v>
      </c>
      <c r="J69" t="str">
        <f t="shared" si="7"/>
        <v>May</v>
      </c>
    </row>
    <row r="70" spans="1:10" x14ac:dyDescent="0.35">
      <c r="A70" s="3">
        <v>41771</v>
      </c>
      <c r="B70" s="1" t="s">
        <v>156</v>
      </c>
      <c r="C70" s="1" t="s">
        <v>157</v>
      </c>
      <c r="D70" s="1" t="s">
        <v>158</v>
      </c>
      <c r="E70" s="1" t="s">
        <v>33</v>
      </c>
      <c r="F70" s="2" t="s">
        <v>160</v>
      </c>
      <c r="G70" s="1">
        <v>167.96799999999999</v>
      </c>
      <c r="H70" s="1">
        <v>4</v>
      </c>
      <c r="I70" s="1">
        <v>62.988</v>
      </c>
      <c r="J70" t="str">
        <f t="shared" si="7"/>
        <v>May</v>
      </c>
    </row>
    <row r="71" spans="1:10" x14ac:dyDescent="0.35">
      <c r="A71" s="3">
        <v>42466</v>
      </c>
      <c r="B71" s="1" t="s">
        <v>161</v>
      </c>
      <c r="C71" s="1" t="s">
        <v>162</v>
      </c>
      <c r="D71" s="1" t="s">
        <v>163</v>
      </c>
      <c r="E71" s="1" t="s">
        <v>44</v>
      </c>
      <c r="F71" s="2" t="s">
        <v>164</v>
      </c>
      <c r="G71" s="1">
        <v>75.88</v>
      </c>
      <c r="H71" s="1">
        <v>2</v>
      </c>
      <c r="I71" s="1">
        <v>35.663600000000002</v>
      </c>
      <c r="J71" t="str">
        <f t="shared" si="7"/>
        <v>Apr</v>
      </c>
    </row>
    <row r="72" spans="1:10" x14ac:dyDescent="0.35">
      <c r="A72" s="3">
        <f>DATE(2016,8,18)</f>
        <v>42600</v>
      </c>
      <c r="B72" s="1" t="s">
        <v>165</v>
      </c>
      <c r="C72" s="1" t="s">
        <v>135</v>
      </c>
      <c r="D72" s="1" t="s">
        <v>136</v>
      </c>
      <c r="E72" s="1" t="s">
        <v>35</v>
      </c>
      <c r="F72" s="2" t="s">
        <v>166</v>
      </c>
      <c r="G72" s="1">
        <v>4.6159999999999997</v>
      </c>
      <c r="H72" s="1">
        <v>1</v>
      </c>
      <c r="I72" s="1">
        <v>1.7310000000000001</v>
      </c>
      <c r="J72" t="str">
        <f t="shared" si="7"/>
        <v>Aug</v>
      </c>
    </row>
    <row r="73" spans="1:10" x14ac:dyDescent="0.35">
      <c r="A73" s="3">
        <f>DATE(2017,9,14)</f>
        <v>42992</v>
      </c>
      <c r="B73" s="1" t="s">
        <v>83</v>
      </c>
      <c r="C73" s="1" t="s">
        <v>167</v>
      </c>
      <c r="D73" s="1" t="s">
        <v>120</v>
      </c>
      <c r="E73" s="1" t="s">
        <v>44</v>
      </c>
      <c r="F73" s="2" t="s">
        <v>168</v>
      </c>
      <c r="G73" s="1">
        <v>19.05</v>
      </c>
      <c r="H73" s="1">
        <v>3</v>
      </c>
      <c r="I73" s="1">
        <v>8.7629999999999999</v>
      </c>
      <c r="J73" t="str">
        <f t="shared" si="7"/>
        <v>Sep</v>
      </c>
    </row>
    <row r="74" spans="1:10" x14ac:dyDescent="0.35">
      <c r="A74" s="3">
        <f>DATE(2015,4,26)</f>
        <v>42120</v>
      </c>
      <c r="B74" s="1" t="s">
        <v>169</v>
      </c>
      <c r="C74" s="1" t="s">
        <v>170</v>
      </c>
      <c r="D74" s="1" t="s">
        <v>171</v>
      </c>
      <c r="E74" s="1" t="s">
        <v>14</v>
      </c>
      <c r="F74" s="2" t="s">
        <v>172</v>
      </c>
      <c r="G74" s="1">
        <v>831.93600000000004</v>
      </c>
      <c r="H74" s="1">
        <v>8</v>
      </c>
      <c r="I74" s="1">
        <v>-114.3912</v>
      </c>
      <c r="J74" t="str">
        <f t="shared" si="7"/>
        <v>Apr</v>
      </c>
    </row>
    <row r="75" spans="1:10" x14ac:dyDescent="0.35">
      <c r="A75" s="3">
        <f t="shared" ref="A75:A76" si="8">DATE(2015,4,26)</f>
        <v>42120</v>
      </c>
      <c r="B75" s="1" t="s">
        <v>169</v>
      </c>
      <c r="C75" s="1" t="s">
        <v>170</v>
      </c>
      <c r="D75" s="1" t="s">
        <v>171</v>
      </c>
      <c r="E75" s="1" t="s">
        <v>29</v>
      </c>
      <c r="F75" s="2" t="s">
        <v>173</v>
      </c>
      <c r="G75" s="1">
        <v>97.04</v>
      </c>
      <c r="H75" s="1">
        <v>2</v>
      </c>
      <c r="I75" s="1">
        <v>1.2130000000000001</v>
      </c>
      <c r="J75" t="str">
        <f t="shared" si="7"/>
        <v>Apr</v>
      </c>
    </row>
    <row r="76" spans="1:10" x14ac:dyDescent="0.35">
      <c r="A76" s="3">
        <f t="shared" si="8"/>
        <v>42120</v>
      </c>
      <c r="B76" s="1" t="s">
        <v>169</v>
      </c>
      <c r="C76" s="1" t="s">
        <v>170</v>
      </c>
      <c r="D76" s="1" t="s">
        <v>171</v>
      </c>
      <c r="E76" s="1" t="s">
        <v>26</v>
      </c>
      <c r="F76" s="2" t="s">
        <v>174</v>
      </c>
      <c r="G76" s="1">
        <v>72.784000000000006</v>
      </c>
      <c r="H76" s="1">
        <v>1</v>
      </c>
      <c r="I76" s="1">
        <v>-18.196000000000002</v>
      </c>
      <c r="J76" t="str">
        <f t="shared" si="7"/>
        <v>Apr</v>
      </c>
    </row>
    <row r="77" spans="1:10" x14ac:dyDescent="0.35">
      <c r="A77" s="3">
        <v>42990</v>
      </c>
      <c r="B77" s="1" t="s">
        <v>175</v>
      </c>
      <c r="C77" s="1" t="s">
        <v>93</v>
      </c>
      <c r="D77" s="1" t="s">
        <v>52</v>
      </c>
      <c r="E77" s="1" t="s">
        <v>35</v>
      </c>
      <c r="F77" s="2" t="s">
        <v>176</v>
      </c>
      <c r="G77" s="1">
        <v>1.248</v>
      </c>
      <c r="H77" s="1">
        <v>3</v>
      </c>
      <c r="I77" s="1">
        <v>-1.9343999999999999</v>
      </c>
      <c r="J77" t="str">
        <f t="shared" si="7"/>
        <v>Sep</v>
      </c>
    </row>
    <row r="78" spans="1:10" x14ac:dyDescent="0.35">
      <c r="A78" s="3">
        <v>42990</v>
      </c>
      <c r="B78" s="1" t="s">
        <v>175</v>
      </c>
      <c r="C78" s="1" t="s">
        <v>93</v>
      </c>
      <c r="D78" s="1" t="s">
        <v>52</v>
      </c>
      <c r="E78" s="1" t="s">
        <v>29</v>
      </c>
      <c r="F78" s="2" t="s">
        <v>177</v>
      </c>
      <c r="G78" s="1">
        <v>9.7080000000000002</v>
      </c>
      <c r="H78" s="1">
        <v>3</v>
      </c>
      <c r="I78" s="1">
        <v>-5.8247999999999998</v>
      </c>
      <c r="J78" t="str">
        <f t="shared" si="7"/>
        <v>Sep</v>
      </c>
    </row>
    <row r="79" spans="1:10" x14ac:dyDescent="0.35">
      <c r="A79" s="3">
        <v>42990</v>
      </c>
      <c r="B79" s="1" t="s">
        <v>175</v>
      </c>
      <c r="C79" s="1" t="s">
        <v>93</v>
      </c>
      <c r="D79" s="1" t="s">
        <v>52</v>
      </c>
      <c r="E79" s="1" t="s">
        <v>26</v>
      </c>
      <c r="F79" s="2" t="s">
        <v>178</v>
      </c>
      <c r="G79" s="1">
        <v>27.24</v>
      </c>
      <c r="H79" s="1">
        <v>3</v>
      </c>
      <c r="I79" s="1">
        <v>2.7240000000000002</v>
      </c>
      <c r="J79" t="str">
        <f t="shared" si="7"/>
        <v>Sep</v>
      </c>
    </row>
    <row r="80" spans="1:10" x14ac:dyDescent="0.35">
      <c r="A80" s="3">
        <f>DATE(2014,11,16)</f>
        <v>41959</v>
      </c>
      <c r="B80" s="1" t="s">
        <v>169</v>
      </c>
      <c r="C80" s="1" t="s">
        <v>93</v>
      </c>
      <c r="D80" s="1" t="s">
        <v>52</v>
      </c>
      <c r="E80" s="1" t="s">
        <v>29</v>
      </c>
      <c r="F80" s="2" t="s">
        <v>179</v>
      </c>
      <c r="G80" s="1">
        <v>19.3</v>
      </c>
      <c r="H80" s="1">
        <v>5</v>
      </c>
      <c r="I80" s="1">
        <v>-14.475</v>
      </c>
      <c r="J80" t="str">
        <f t="shared" si="7"/>
        <v>Nov</v>
      </c>
    </row>
    <row r="81" spans="1:10" x14ac:dyDescent="0.35">
      <c r="A81" s="3">
        <v>42710</v>
      </c>
      <c r="B81" s="1" t="s">
        <v>180</v>
      </c>
      <c r="C81" s="1" t="s">
        <v>181</v>
      </c>
      <c r="D81" s="1" t="s">
        <v>182</v>
      </c>
      <c r="E81" s="1" t="s">
        <v>37</v>
      </c>
      <c r="F81" s="2" t="s">
        <v>183</v>
      </c>
      <c r="G81" s="1">
        <v>208.16</v>
      </c>
      <c r="H81" s="1">
        <v>1</v>
      </c>
      <c r="I81" s="1">
        <v>56.203200000000002</v>
      </c>
      <c r="J81" t="str">
        <f t="shared" si="7"/>
        <v>Dec</v>
      </c>
    </row>
    <row r="82" spans="1:10" x14ac:dyDescent="0.35">
      <c r="A82" s="3">
        <v>42710</v>
      </c>
      <c r="B82" s="1" t="s">
        <v>180</v>
      </c>
      <c r="C82" s="1" t="s">
        <v>181</v>
      </c>
      <c r="D82" s="1" t="s">
        <v>182</v>
      </c>
      <c r="E82" s="1" t="s">
        <v>35</v>
      </c>
      <c r="F82" s="2" t="s">
        <v>184</v>
      </c>
      <c r="G82" s="1">
        <v>16.739999999999998</v>
      </c>
      <c r="H82" s="1">
        <v>3</v>
      </c>
      <c r="I82" s="1">
        <v>8.0351999999999997</v>
      </c>
      <c r="J82" t="str">
        <f t="shared" si="7"/>
        <v>Dec</v>
      </c>
    </row>
    <row r="83" spans="1:10" x14ac:dyDescent="0.35">
      <c r="A83" s="3">
        <v>41983</v>
      </c>
      <c r="B83" s="1" t="s">
        <v>185</v>
      </c>
      <c r="C83" s="1" t="s">
        <v>64</v>
      </c>
      <c r="D83" s="1" t="s">
        <v>18</v>
      </c>
      <c r="E83" s="1" t="s">
        <v>31</v>
      </c>
      <c r="F83" s="2" t="s">
        <v>186</v>
      </c>
      <c r="G83" s="1">
        <v>14.9</v>
      </c>
      <c r="H83" s="1">
        <v>5</v>
      </c>
      <c r="I83" s="1">
        <v>4.1719999999999997</v>
      </c>
      <c r="J83" t="str">
        <f t="shared" si="7"/>
        <v>Dec</v>
      </c>
    </row>
    <row r="84" spans="1:10" x14ac:dyDescent="0.35">
      <c r="A84" s="3">
        <v>41983</v>
      </c>
      <c r="B84" s="1" t="s">
        <v>185</v>
      </c>
      <c r="C84" s="1" t="s">
        <v>64</v>
      </c>
      <c r="D84" s="1" t="s">
        <v>18</v>
      </c>
      <c r="E84" s="1" t="s">
        <v>26</v>
      </c>
      <c r="F84" s="2" t="s">
        <v>187</v>
      </c>
      <c r="G84" s="1">
        <v>21.39</v>
      </c>
      <c r="H84" s="1">
        <v>1</v>
      </c>
      <c r="I84" s="1">
        <v>6.2031000000000001</v>
      </c>
      <c r="J84" t="str">
        <f t="shared" si="7"/>
        <v>Dec</v>
      </c>
    </row>
    <row r="85" spans="1:10" x14ac:dyDescent="0.35">
      <c r="A85" s="3">
        <v>42072</v>
      </c>
      <c r="B85" s="1" t="s">
        <v>188</v>
      </c>
      <c r="C85" s="1" t="s">
        <v>189</v>
      </c>
      <c r="D85" s="1" t="s">
        <v>43</v>
      </c>
      <c r="E85" s="1" t="s">
        <v>87</v>
      </c>
      <c r="F85" s="2" t="s">
        <v>190</v>
      </c>
      <c r="G85" s="1">
        <v>200.98400000000001</v>
      </c>
      <c r="H85" s="1">
        <v>7</v>
      </c>
      <c r="I85" s="1">
        <v>62.807499999999997</v>
      </c>
      <c r="J85" t="str">
        <f t="shared" si="7"/>
        <v>Mar</v>
      </c>
    </row>
    <row r="86" spans="1:10" x14ac:dyDescent="0.35">
      <c r="A86" s="3">
        <f>DATE(2017,11,13)</f>
        <v>43052</v>
      </c>
      <c r="B86" s="1" t="s">
        <v>191</v>
      </c>
      <c r="C86" s="1" t="s">
        <v>154</v>
      </c>
      <c r="D86" s="1" t="s">
        <v>106</v>
      </c>
      <c r="E86" s="1" t="s">
        <v>26</v>
      </c>
      <c r="F86" s="2" t="s">
        <v>192</v>
      </c>
      <c r="G86" s="1">
        <v>230.376</v>
      </c>
      <c r="H86" s="1">
        <v>3</v>
      </c>
      <c r="I86" s="1">
        <v>-48.954900000000002</v>
      </c>
      <c r="J86" t="str">
        <f t="shared" si="7"/>
        <v>Nov</v>
      </c>
    </row>
    <row r="87" spans="1:10" x14ac:dyDescent="0.35">
      <c r="A87" s="3">
        <f>DATE(2017,5,28)</f>
        <v>42883</v>
      </c>
      <c r="B87" s="1" t="s">
        <v>118</v>
      </c>
      <c r="C87" s="1" t="s">
        <v>193</v>
      </c>
      <c r="D87" s="1" t="s">
        <v>194</v>
      </c>
      <c r="E87" s="1" t="s">
        <v>14</v>
      </c>
      <c r="F87" s="2" t="s">
        <v>195</v>
      </c>
      <c r="G87" s="1">
        <v>301.95999999999998</v>
      </c>
      <c r="H87" s="1">
        <v>2</v>
      </c>
      <c r="I87" s="1">
        <v>33.215600000000002</v>
      </c>
      <c r="J87" t="str">
        <f t="shared" si="7"/>
        <v>May</v>
      </c>
    </row>
    <row r="88" spans="1:10" x14ac:dyDescent="0.35">
      <c r="A88" s="3">
        <f>DATE(2017,10,26)</f>
        <v>43034</v>
      </c>
      <c r="B88" s="1" t="s">
        <v>196</v>
      </c>
      <c r="C88" s="1" t="s">
        <v>197</v>
      </c>
      <c r="D88" s="1" t="s">
        <v>115</v>
      </c>
      <c r="E88" s="1" t="s">
        <v>81</v>
      </c>
      <c r="F88" s="2" t="s">
        <v>198</v>
      </c>
      <c r="G88" s="1">
        <v>19.989999999999998</v>
      </c>
      <c r="H88" s="1">
        <v>1</v>
      </c>
      <c r="I88" s="1">
        <v>6.7965999999999998</v>
      </c>
      <c r="J88" t="str">
        <f t="shared" si="7"/>
        <v>Oct</v>
      </c>
    </row>
    <row r="89" spans="1:10" x14ac:dyDescent="0.35">
      <c r="A89" s="3">
        <f>DATE(2017,10,26)</f>
        <v>43034</v>
      </c>
      <c r="B89" s="1" t="s">
        <v>196</v>
      </c>
      <c r="C89" s="1" t="s">
        <v>197</v>
      </c>
      <c r="D89" s="1" t="s">
        <v>115</v>
      </c>
      <c r="E89" s="1" t="s">
        <v>19</v>
      </c>
      <c r="F89" s="2" t="s">
        <v>199</v>
      </c>
      <c r="G89" s="1">
        <v>6.16</v>
      </c>
      <c r="H89" s="1">
        <v>2</v>
      </c>
      <c r="I89" s="1">
        <v>2.9567999999999999</v>
      </c>
      <c r="J89" t="str">
        <f t="shared" si="7"/>
        <v>Oct</v>
      </c>
    </row>
    <row r="90" spans="1:10" x14ac:dyDescent="0.35">
      <c r="A90" s="3">
        <v>42494</v>
      </c>
      <c r="B90" s="1" t="s">
        <v>200</v>
      </c>
      <c r="C90" s="1" t="s">
        <v>93</v>
      </c>
      <c r="D90" s="1" t="s">
        <v>52</v>
      </c>
      <c r="E90" s="1" t="s">
        <v>26</v>
      </c>
      <c r="F90" s="2" t="s">
        <v>201</v>
      </c>
      <c r="G90" s="1">
        <v>158.36799999999999</v>
      </c>
      <c r="H90" s="1">
        <v>7</v>
      </c>
      <c r="I90" s="1">
        <v>13.857200000000001</v>
      </c>
      <c r="J90" t="str">
        <f t="shared" si="7"/>
        <v>May</v>
      </c>
    </row>
    <row r="91" spans="1:10" x14ac:dyDescent="0.35">
      <c r="A91" s="3">
        <f>DATE(2016,9,17)</f>
        <v>42630</v>
      </c>
      <c r="B91" s="1" t="s">
        <v>202</v>
      </c>
      <c r="C91" s="1" t="s">
        <v>17</v>
      </c>
      <c r="D91" s="1" t="s">
        <v>18</v>
      </c>
      <c r="E91" s="1" t="s">
        <v>31</v>
      </c>
      <c r="F91" s="2" t="s">
        <v>203</v>
      </c>
      <c r="G91" s="1">
        <v>20.100000000000001</v>
      </c>
      <c r="H91" s="1">
        <v>3</v>
      </c>
      <c r="I91" s="1">
        <v>6.633</v>
      </c>
      <c r="J91" t="str">
        <f t="shared" si="7"/>
        <v>Sep</v>
      </c>
    </row>
    <row r="92" spans="1:10" x14ac:dyDescent="0.35">
      <c r="A92" s="3">
        <f>DATE(2016,9,17)</f>
        <v>42630</v>
      </c>
      <c r="B92" s="1" t="s">
        <v>202</v>
      </c>
      <c r="C92" s="1" t="s">
        <v>17</v>
      </c>
      <c r="D92" s="1" t="s">
        <v>18</v>
      </c>
      <c r="E92" s="1" t="s">
        <v>33</v>
      </c>
      <c r="F92" s="2" t="s">
        <v>107</v>
      </c>
      <c r="G92" s="1">
        <v>73.584000000000003</v>
      </c>
      <c r="H92" s="1">
        <v>2</v>
      </c>
      <c r="I92" s="1">
        <v>8.2782</v>
      </c>
      <c r="J92" t="str">
        <f t="shared" si="7"/>
        <v>Sep</v>
      </c>
    </row>
    <row r="93" spans="1:10" x14ac:dyDescent="0.35">
      <c r="A93" s="3">
        <f>DATE(2016,9,17)</f>
        <v>42630</v>
      </c>
      <c r="B93" s="1" t="s">
        <v>202</v>
      </c>
      <c r="C93" s="1" t="s">
        <v>17</v>
      </c>
      <c r="D93" s="1" t="s">
        <v>18</v>
      </c>
      <c r="E93" s="1" t="s">
        <v>44</v>
      </c>
      <c r="F93" s="2" t="s">
        <v>204</v>
      </c>
      <c r="G93" s="1">
        <v>6.48</v>
      </c>
      <c r="H93" s="1">
        <v>1</v>
      </c>
      <c r="I93" s="1">
        <v>3.1103999999999998</v>
      </c>
      <c r="J93" t="str">
        <f t="shared" si="7"/>
        <v>Sep</v>
      </c>
    </row>
    <row r="94" spans="1:10" x14ac:dyDescent="0.35">
      <c r="A94" s="3">
        <f>DATE(2015,1,31)</f>
        <v>42035</v>
      </c>
      <c r="B94" s="1" t="s">
        <v>205</v>
      </c>
      <c r="C94" s="1" t="s">
        <v>206</v>
      </c>
      <c r="D94" s="1" t="s">
        <v>115</v>
      </c>
      <c r="E94" s="1" t="s">
        <v>44</v>
      </c>
      <c r="F94" s="2" t="s">
        <v>207</v>
      </c>
      <c r="G94" s="1">
        <v>12.96</v>
      </c>
      <c r="H94" s="1">
        <v>2</v>
      </c>
      <c r="I94" s="1">
        <v>6.2207999999999997</v>
      </c>
      <c r="J94" t="str">
        <f t="shared" si="7"/>
        <v>Jan</v>
      </c>
    </row>
    <row r="95" spans="1:10" x14ac:dyDescent="0.35">
      <c r="A95" s="3">
        <f t="shared" ref="A95:A96" si="9">DATE(2015,1,31)</f>
        <v>42035</v>
      </c>
      <c r="B95" s="1" t="s">
        <v>205</v>
      </c>
      <c r="C95" s="1" t="s">
        <v>206</v>
      </c>
      <c r="D95" s="1" t="s">
        <v>115</v>
      </c>
      <c r="E95" s="1" t="s">
        <v>29</v>
      </c>
      <c r="F95" s="2" t="s">
        <v>208</v>
      </c>
      <c r="G95" s="1">
        <v>53.34</v>
      </c>
      <c r="H95" s="1">
        <v>3</v>
      </c>
      <c r="I95" s="1">
        <v>16.535399999999999</v>
      </c>
      <c r="J95" t="str">
        <f t="shared" si="7"/>
        <v>Jan</v>
      </c>
    </row>
    <row r="96" spans="1:10" x14ac:dyDescent="0.35">
      <c r="A96" s="3">
        <f t="shared" si="9"/>
        <v>42035</v>
      </c>
      <c r="B96" s="1" t="s">
        <v>205</v>
      </c>
      <c r="C96" s="1" t="s">
        <v>206</v>
      </c>
      <c r="D96" s="1" t="s">
        <v>115</v>
      </c>
      <c r="E96" s="1" t="s">
        <v>35</v>
      </c>
      <c r="F96" s="2" t="s">
        <v>209</v>
      </c>
      <c r="G96" s="1">
        <v>32.96</v>
      </c>
      <c r="H96" s="1">
        <v>2</v>
      </c>
      <c r="I96" s="1">
        <v>16.150400000000001</v>
      </c>
      <c r="J96" t="str">
        <f t="shared" si="7"/>
        <v>Jan</v>
      </c>
    </row>
    <row r="97" spans="1:10" x14ac:dyDescent="0.35">
      <c r="A97" s="3">
        <v>42897</v>
      </c>
      <c r="B97" s="1" t="s">
        <v>210</v>
      </c>
      <c r="C97" s="1" t="s">
        <v>211</v>
      </c>
      <c r="D97" s="1" t="s">
        <v>212</v>
      </c>
      <c r="E97" s="1" t="s">
        <v>35</v>
      </c>
      <c r="F97" s="2" t="s">
        <v>213</v>
      </c>
      <c r="G97" s="1">
        <v>5.6820000000000004</v>
      </c>
      <c r="H97" s="1">
        <v>1</v>
      </c>
      <c r="I97" s="1">
        <v>-3.7879999999999998</v>
      </c>
      <c r="J97" t="str">
        <f t="shared" si="7"/>
        <v>Jun</v>
      </c>
    </row>
    <row r="98" spans="1:10" x14ac:dyDescent="0.35">
      <c r="A98" s="3">
        <v>42989</v>
      </c>
      <c r="B98" s="1" t="s">
        <v>214</v>
      </c>
      <c r="C98" s="1" t="s">
        <v>135</v>
      </c>
      <c r="D98" s="1" t="s">
        <v>136</v>
      </c>
      <c r="E98" s="1" t="s">
        <v>29</v>
      </c>
      <c r="F98" s="2" t="s">
        <v>215</v>
      </c>
      <c r="G98" s="1">
        <v>96.53</v>
      </c>
      <c r="H98" s="1">
        <v>7</v>
      </c>
      <c r="I98" s="1">
        <v>40.5426</v>
      </c>
      <c r="J98" t="str">
        <f t="shared" si="7"/>
        <v>Sep</v>
      </c>
    </row>
    <row r="99" spans="1:10" x14ac:dyDescent="0.35">
      <c r="A99" s="3">
        <f>DATE(2017,6,17)</f>
        <v>42903</v>
      </c>
      <c r="B99" s="1" t="s">
        <v>216</v>
      </c>
      <c r="C99" s="1" t="s">
        <v>64</v>
      </c>
      <c r="D99" s="1" t="s">
        <v>18</v>
      </c>
      <c r="E99" s="1" t="s">
        <v>35</v>
      </c>
      <c r="F99" s="2" t="s">
        <v>217</v>
      </c>
      <c r="G99" s="1">
        <v>51.311999999999998</v>
      </c>
      <c r="H99" s="1">
        <v>3</v>
      </c>
      <c r="I99" s="1">
        <v>17.959199999999999</v>
      </c>
      <c r="J99" t="str">
        <f t="shared" si="7"/>
        <v>Jun</v>
      </c>
    </row>
    <row r="100" spans="1:10" x14ac:dyDescent="0.35">
      <c r="A100" s="3">
        <v>42530</v>
      </c>
      <c r="B100" s="1" t="s">
        <v>218</v>
      </c>
      <c r="C100" s="1" t="s">
        <v>219</v>
      </c>
      <c r="D100" s="1" t="s">
        <v>115</v>
      </c>
      <c r="E100" s="1" t="s">
        <v>37</v>
      </c>
      <c r="F100" s="2" t="s">
        <v>220</v>
      </c>
      <c r="G100" s="1">
        <v>77.88</v>
      </c>
      <c r="H100" s="1">
        <v>6</v>
      </c>
      <c r="I100" s="1">
        <v>22.5852</v>
      </c>
      <c r="J100" t="str">
        <f t="shared" si="7"/>
        <v>Jun</v>
      </c>
    </row>
    <row r="101" spans="1:10" x14ac:dyDescent="0.35">
      <c r="A101" s="3">
        <f>DATE(2016,8,29)</f>
        <v>42611</v>
      </c>
      <c r="B101" s="1" t="s">
        <v>221</v>
      </c>
      <c r="C101" s="1" t="s">
        <v>154</v>
      </c>
      <c r="D101" s="1" t="s">
        <v>106</v>
      </c>
      <c r="E101" s="1" t="s">
        <v>44</v>
      </c>
      <c r="F101" s="2" t="s">
        <v>222</v>
      </c>
      <c r="G101" s="1">
        <v>64.623999999999995</v>
      </c>
      <c r="H101" s="1">
        <v>7</v>
      </c>
      <c r="I101" s="1">
        <v>22.618400000000001</v>
      </c>
      <c r="J101" t="str">
        <f t="shared" si="7"/>
        <v>Aug</v>
      </c>
    </row>
    <row r="102" spans="1:10" x14ac:dyDescent="0.35">
      <c r="A102" s="3">
        <f t="shared" ref="A102:A103" si="10">DATE(2016,8,29)</f>
        <v>42611</v>
      </c>
      <c r="B102" s="1" t="s">
        <v>221</v>
      </c>
      <c r="C102" s="1" t="s">
        <v>154</v>
      </c>
      <c r="D102" s="1" t="s">
        <v>106</v>
      </c>
      <c r="E102" s="1" t="s">
        <v>81</v>
      </c>
      <c r="F102" s="2" t="s">
        <v>223</v>
      </c>
      <c r="G102" s="1">
        <v>95.975999999999999</v>
      </c>
      <c r="H102" s="1">
        <v>3</v>
      </c>
      <c r="I102" s="1">
        <v>-10.7973</v>
      </c>
      <c r="J102" t="str">
        <f t="shared" si="7"/>
        <v>Aug</v>
      </c>
    </row>
    <row r="103" spans="1:10" x14ac:dyDescent="0.35">
      <c r="A103" s="3">
        <f t="shared" si="10"/>
        <v>42611</v>
      </c>
      <c r="B103" s="1" t="s">
        <v>221</v>
      </c>
      <c r="C103" s="1" t="s">
        <v>154</v>
      </c>
      <c r="D103" s="1" t="s">
        <v>106</v>
      </c>
      <c r="E103" s="1" t="s">
        <v>35</v>
      </c>
      <c r="F103" s="2" t="s">
        <v>224</v>
      </c>
      <c r="G103" s="1">
        <v>1.788</v>
      </c>
      <c r="H103" s="1">
        <v>3</v>
      </c>
      <c r="I103" s="1">
        <v>-3.0396000000000001</v>
      </c>
      <c r="J103" t="str">
        <f t="shared" si="7"/>
        <v>Aug</v>
      </c>
    </row>
    <row r="104" spans="1:10" x14ac:dyDescent="0.35">
      <c r="A104" s="3">
        <v>42381</v>
      </c>
      <c r="B104" s="1" t="s">
        <v>225</v>
      </c>
      <c r="C104" s="1" t="s">
        <v>197</v>
      </c>
      <c r="D104" s="1" t="s">
        <v>115</v>
      </c>
      <c r="E104" s="1" t="s">
        <v>44</v>
      </c>
      <c r="F104" s="2" t="s">
        <v>226</v>
      </c>
      <c r="G104" s="1">
        <v>23.92</v>
      </c>
      <c r="H104" s="1">
        <v>4</v>
      </c>
      <c r="I104" s="1">
        <v>11.720800000000001</v>
      </c>
      <c r="J104" t="str">
        <f t="shared" si="7"/>
        <v>Jan</v>
      </c>
    </row>
    <row r="105" spans="1:10" x14ac:dyDescent="0.35">
      <c r="A105" s="3">
        <f>DATE(2015,11,13)</f>
        <v>42321</v>
      </c>
      <c r="B105" s="1" t="s">
        <v>227</v>
      </c>
      <c r="C105" s="1" t="s">
        <v>228</v>
      </c>
      <c r="D105" s="1" t="s">
        <v>229</v>
      </c>
      <c r="E105" s="1" t="s">
        <v>81</v>
      </c>
      <c r="F105" s="2" t="s">
        <v>230</v>
      </c>
      <c r="G105" s="1">
        <v>238.89599999999999</v>
      </c>
      <c r="H105" s="1">
        <v>6</v>
      </c>
      <c r="I105" s="1">
        <v>-26.875800000000002</v>
      </c>
      <c r="J105" t="str">
        <f t="shared" si="7"/>
        <v>Nov</v>
      </c>
    </row>
    <row r="106" spans="1:10" x14ac:dyDescent="0.35">
      <c r="A106" s="3">
        <f>DATE(2015,11,13)</f>
        <v>42321</v>
      </c>
      <c r="B106" s="1" t="s">
        <v>227</v>
      </c>
      <c r="C106" s="1" t="s">
        <v>228</v>
      </c>
      <c r="D106" s="1" t="s">
        <v>229</v>
      </c>
      <c r="E106" s="1" t="s">
        <v>29</v>
      </c>
      <c r="F106" s="2" t="s">
        <v>231</v>
      </c>
      <c r="G106" s="1">
        <v>102.36</v>
      </c>
      <c r="H106" s="1">
        <v>3</v>
      </c>
      <c r="I106" s="1">
        <v>-3.8384999999999998</v>
      </c>
      <c r="J106" t="str">
        <f t="shared" si="7"/>
        <v>Nov</v>
      </c>
    </row>
    <row r="107" spans="1:10" x14ac:dyDescent="0.35">
      <c r="A107" s="3">
        <f>DATE(2016,11,13)</f>
        <v>42687</v>
      </c>
      <c r="B107" s="1" t="s">
        <v>227</v>
      </c>
      <c r="C107" s="1" t="s">
        <v>228</v>
      </c>
      <c r="D107" s="1" t="s">
        <v>229</v>
      </c>
      <c r="E107" s="1" t="s">
        <v>35</v>
      </c>
      <c r="F107" s="2" t="s">
        <v>232</v>
      </c>
      <c r="G107" s="1">
        <v>36.881999999999998</v>
      </c>
      <c r="H107" s="1">
        <v>3</v>
      </c>
      <c r="I107" s="1">
        <v>-25.817399999999999</v>
      </c>
      <c r="J107" t="str">
        <f t="shared" si="7"/>
        <v>Nov</v>
      </c>
    </row>
    <row r="108" spans="1:10" x14ac:dyDescent="0.35">
      <c r="A108" s="3">
        <f>DATE(2017,11,13)</f>
        <v>43052</v>
      </c>
      <c r="B108" s="1" t="s">
        <v>233</v>
      </c>
      <c r="C108" s="1" t="s">
        <v>234</v>
      </c>
      <c r="D108" s="1" t="s">
        <v>43</v>
      </c>
      <c r="E108" s="1" t="s">
        <v>81</v>
      </c>
      <c r="F108" s="2" t="s">
        <v>235</v>
      </c>
      <c r="G108" s="1">
        <v>74.111999999999995</v>
      </c>
      <c r="H108" s="1">
        <v>8</v>
      </c>
      <c r="I108" s="1">
        <v>17.601600000000001</v>
      </c>
      <c r="J108" t="str">
        <f t="shared" si="7"/>
        <v>Nov</v>
      </c>
    </row>
    <row r="109" spans="1:10" x14ac:dyDescent="0.35">
      <c r="A109" s="3">
        <f>DATE(2018,11,13)</f>
        <v>43417</v>
      </c>
      <c r="B109" s="1" t="s">
        <v>233</v>
      </c>
      <c r="C109" s="1" t="s">
        <v>234</v>
      </c>
      <c r="D109" s="1" t="s">
        <v>43</v>
      </c>
      <c r="E109" s="1" t="s">
        <v>33</v>
      </c>
      <c r="F109" s="2" t="s">
        <v>236</v>
      </c>
      <c r="G109" s="1">
        <v>27.992000000000001</v>
      </c>
      <c r="H109" s="1">
        <v>1</v>
      </c>
      <c r="I109" s="1">
        <v>2.0994000000000002</v>
      </c>
      <c r="J109" t="str">
        <f t="shared" si="7"/>
        <v>Nov</v>
      </c>
    </row>
    <row r="110" spans="1:10" x14ac:dyDescent="0.35">
      <c r="A110" s="3">
        <f>DATE(2019,11,13)</f>
        <v>43782</v>
      </c>
      <c r="B110" s="1" t="s">
        <v>233</v>
      </c>
      <c r="C110" s="1" t="s">
        <v>234</v>
      </c>
      <c r="D110" s="1" t="s">
        <v>43</v>
      </c>
      <c r="E110" s="1" t="s">
        <v>31</v>
      </c>
      <c r="F110" s="2" t="s">
        <v>237</v>
      </c>
      <c r="G110" s="1">
        <v>3.3039999999999998</v>
      </c>
      <c r="H110" s="1">
        <v>1</v>
      </c>
      <c r="I110" s="1">
        <v>1.0738000000000001</v>
      </c>
      <c r="J110" t="str">
        <f t="shared" si="7"/>
        <v>Nov</v>
      </c>
    </row>
    <row r="111" spans="1:10" x14ac:dyDescent="0.35">
      <c r="A111" s="3">
        <f>DATE(2015,10,15)</f>
        <v>42292</v>
      </c>
      <c r="B111" s="1" t="s">
        <v>238</v>
      </c>
      <c r="C111" s="1" t="s">
        <v>239</v>
      </c>
      <c r="D111" s="1" t="s">
        <v>106</v>
      </c>
      <c r="E111" s="1" t="s">
        <v>81</v>
      </c>
      <c r="F111" s="2" t="s">
        <v>240</v>
      </c>
      <c r="G111" s="1">
        <v>339.96</v>
      </c>
      <c r="H111" s="1">
        <v>5</v>
      </c>
      <c r="I111" s="1">
        <v>67.992000000000004</v>
      </c>
      <c r="J111" t="str">
        <f t="shared" si="7"/>
        <v>Oct</v>
      </c>
    </row>
    <row r="112" spans="1:10" x14ac:dyDescent="0.35">
      <c r="A112" s="3">
        <f>DATE(2017,12,25)</f>
        <v>43094</v>
      </c>
      <c r="B112" s="1" t="s">
        <v>241</v>
      </c>
      <c r="C112" s="1" t="s">
        <v>135</v>
      </c>
      <c r="D112" s="1" t="s">
        <v>136</v>
      </c>
      <c r="E112" s="1" t="s">
        <v>29</v>
      </c>
      <c r="F112" s="2" t="s">
        <v>242</v>
      </c>
      <c r="G112" s="1">
        <v>41.96</v>
      </c>
      <c r="H112" s="1">
        <v>2</v>
      </c>
      <c r="I112" s="1">
        <v>10.909599999999999</v>
      </c>
      <c r="J112" t="str">
        <f t="shared" si="7"/>
        <v>Dec</v>
      </c>
    </row>
    <row r="113" spans="1:10" x14ac:dyDescent="0.35">
      <c r="A113" s="3">
        <v>42440</v>
      </c>
      <c r="B113" s="1" t="s">
        <v>243</v>
      </c>
      <c r="C113" s="1" t="s">
        <v>244</v>
      </c>
      <c r="D113" s="1" t="s">
        <v>245</v>
      </c>
      <c r="E113" s="1" t="s">
        <v>31</v>
      </c>
      <c r="F113" s="2" t="s">
        <v>246</v>
      </c>
      <c r="G113" s="1">
        <v>75.959999999999994</v>
      </c>
      <c r="H113" s="1">
        <v>2</v>
      </c>
      <c r="I113" s="1">
        <v>22.788</v>
      </c>
      <c r="J113" t="str">
        <f t="shared" si="7"/>
        <v>Mar</v>
      </c>
    </row>
    <row r="114" spans="1:10" x14ac:dyDescent="0.35">
      <c r="A114" s="3">
        <v>42440</v>
      </c>
      <c r="B114" s="1" t="s">
        <v>243</v>
      </c>
      <c r="C114" s="1" t="s">
        <v>244</v>
      </c>
      <c r="D114" s="1" t="s">
        <v>245</v>
      </c>
      <c r="E114" s="1" t="s">
        <v>35</v>
      </c>
      <c r="F114" s="2" t="s">
        <v>247</v>
      </c>
      <c r="G114" s="1">
        <v>27.24</v>
      </c>
      <c r="H114" s="1">
        <v>6</v>
      </c>
      <c r="I114" s="1">
        <v>13.3476</v>
      </c>
      <c r="J114" t="str">
        <f t="shared" si="7"/>
        <v>Mar</v>
      </c>
    </row>
    <row r="115" spans="1:10" x14ac:dyDescent="0.35">
      <c r="A115" s="3">
        <f>DATE(2014,8,25)</f>
        <v>41876</v>
      </c>
      <c r="B115" s="1" t="s">
        <v>248</v>
      </c>
      <c r="C115" s="1" t="s">
        <v>249</v>
      </c>
      <c r="D115" s="1" t="s">
        <v>250</v>
      </c>
      <c r="E115" s="1" t="s">
        <v>137</v>
      </c>
      <c r="F115" s="2" t="s">
        <v>251</v>
      </c>
      <c r="G115" s="1">
        <v>40.095999999999997</v>
      </c>
      <c r="H115" s="1">
        <v>14</v>
      </c>
      <c r="I115" s="1">
        <v>14.534800000000001</v>
      </c>
      <c r="J115" t="str">
        <f t="shared" si="7"/>
        <v>Aug</v>
      </c>
    </row>
    <row r="116" spans="1:10" x14ac:dyDescent="0.35">
      <c r="A116" s="3">
        <f t="shared" ref="A116:A118" si="11">DATE(2014,8,25)</f>
        <v>41876</v>
      </c>
      <c r="B116" s="1" t="s">
        <v>248</v>
      </c>
      <c r="C116" s="1" t="s">
        <v>249</v>
      </c>
      <c r="D116" s="1" t="s">
        <v>250</v>
      </c>
      <c r="E116" s="1" t="s">
        <v>87</v>
      </c>
      <c r="F116" s="2" t="s">
        <v>252</v>
      </c>
      <c r="G116" s="1">
        <v>4.72</v>
      </c>
      <c r="H116" s="1">
        <v>2</v>
      </c>
      <c r="I116" s="1">
        <v>1.6519999999999999</v>
      </c>
      <c r="J116" t="str">
        <f t="shared" si="7"/>
        <v>Aug</v>
      </c>
    </row>
    <row r="117" spans="1:10" x14ac:dyDescent="0.35">
      <c r="A117" s="3">
        <f t="shared" si="11"/>
        <v>41876</v>
      </c>
      <c r="B117" s="1" t="s">
        <v>248</v>
      </c>
      <c r="C117" s="1" t="s">
        <v>249</v>
      </c>
      <c r="D117" s="1" t="s">
        <v>250</v>
      </c>
      <c r="E117" s="1" t="s">
        <v>44</v>
      </c>
      <c r="F117" s="2" t="s">
        <v>253</v>
      </c>
      <c r="G117" s="1">
        <v>23.975999999999999</v>
      </c>
      <c r="H117" s="1">
        <v>3</v>
      </c>
      <c r="I117" s="1">
        <v>7.4924999999999997</v>
      </c>
      <c r="J117" t="str">
        <f t="shared" si="7"/>
        <v>Aug</v>
      </c>
    </row>
    <row r="118" spans="1:10" x14ac:dyDescent="0.35">
      <c r="A118" s="3">
        <f t="shared" si="11"/>
        <v>41876</v>
      </c>
      <c r="B118" s="1" t="s">
        <v>248</v>
      </c>
      <c r="C118" s="1" t="s">
        <v>249</v>
      </c>
      <c r="D118" s="1" t="s">
        <v>250</v>
      </c>
      <c r="E118" s="1" t="s">
        <v>87</v>
      </c>
      <c r="F118" s="2" t="s">
        <v>254</v>
      </c>
      <c r="G118" s="1">
        <v>130.464</v>
      </c>
      <c r="H118" s="1">
        <v>6</v>
      </c>
      <c r="I118" s="1">
        <v>44.031599999999997</v>
      </c>
      <c r="J118" t="str">
        <f t="shared" si="7"/>
        <v>Aug</v>
      </c>
    </row>
    <row r="119" spans="1:10" x14ac:dyDescent="0.35">
      <c r="A119" s="3">
        <v>42038</v>
      </c>
      <c r="B119" s="1" t="s">
        <v>255</v>
      </c>
      <c r="C119" s="1" t="s">
        <v>47</v>
      </c>
      <c r="D119" s="1" t="s">
        <v>48</v>
      </c>
      <c r="E119" s="1" t="s">
        <v>24</v>
      </c>
      <c r="F119" s="2" t="s">
        <v>256</v>
      </c>
      <c r="G119" s="1">
        <v>787.53</v>
      </c>
      <c r="H119" s="1">
        <v>3</v>
      </c>
      <c r="I119" s="1">
        <v>165.38130000000001</v>
      </c>
      <c r="J119" t="str">
        <f t="shared" si="7"/>
        <v>Feb</v>
      </c>
    </row>
    <row r="120" spans="1:10" x14ac:dyDescent="0.35">
      <c r="A120" s="3">
        <v>42128</v>
      </c>
      <c r="B120" s="1" t="s">
        <v>257</v>
      </c>
      <c r="C120" s="1" t="s">
        <v>258</v>
      </c>
      <c r="D120" s="1" t="s">
        <v>171</v>
      </c>
      <c r="E120" s="1" t="s">
        <v>35</v>
      </c>
      <c r="F120" s="2" t="s">
        <v>259</v>
      </c>
      <c r="G120" s="1">
        <v>157.79400000000001</v>
      </c>
      <c r="H120" s="1">
        <v>1</v>
      </c>
      <c r="I120" s="1">
        <v>-115.71559999999999</v>
      </c>
      <c r="J120" t="str">
        <f t="shared" si="7"/>
        <v>May</v>
      </c>
    </row>
    <row r="121" spans="1:10" x14ac:dyDescent="0.35">
      <c r="A121" s="3">
        <v>42710</v>
      </c>
      <c r="B121" s="1" t="s">
        <v>260</v>
      </c>
      <c r="C121" s="1" t="s">
        <v>261</v>
      </c>
      <c r="D121" s="1" t="s">
        <v>124</v>
      </c>
      <c r="E121" s="1" t="s">
        <v>29</v>
      </c>
      <c r="F121" s="2" t="s">
        <v>262</v>
      </c>
      <c r="G121" s="1">
        <v>47.04</v>
      </c>
      <c r="H121" s="1">
        <v>3</v>
      </c>
      <c r="I121" s="1">
        <v>18.345600000000001</v>
      </c>
      <c r="J121" t="str">
        <f t="shared" si="7"/>
        <v>Dec</v>
      </c>
    </row>
    <row r="122" spans="1:10" x14ac:dyDescent="0.35">
      <c r="A122" s="3">
        <v>42710</v>
      </c>
      <c r="B122" s="1" t="s">
        <v>260</v>
      </c>
      <c r="C122" s="1" t="s">
        <v>261</v>
      </c>
      <c r="D122" s="1" t="s">
        <v>124</v>
      </c>
      <c r="E122" s="1" t="s">
        <v>35</v>
      </c>
      <c r="F122" s="2" t="s">
        <v>36</v>
      </c>
      <c r="G122" s="1">
        <v>30.84</v>
      </c>
      <c r="H122" s="1">
        <v>4</v>
      </c>
      <c r="I122" s="1">
        <v>13.878</v>
      </c>
      <c r="J122" t="str">
        <f t="shared" si="7"/>
        <v>Dec</v>
      </c>
    </row>
    <row r="123" spans="1:10" x14ac:dyDescent="0.35">
      <c r="A123" s="3">
        <v>42710</v>
      </c>
      <c r="B123" s="1" t="s">
        <v>260</v>
      </c>
      <c r="C123" s="1" t="s">
        <v>261</v>
      </c>
      <c r="D123" s="1" t="s">
        <v>124</v>
      </c>
      <c r="E123" s="1" t="s">
        <v>26</v>
      </c>
      <c r="F123" s="2" t="s">
        <v>263</v>
      </c>
      <c r="G123" s="1">
        <v>226.56</v>
      </c>
      <c r="H123" s="1">
        <v>6</v>
      </c>
      <c r="I123" s="1">
        <v>63.436799999999998</v>
      </c>
      <c r="J123" t="str">
        <f t="shared" si="7"/>
        <v>Dec</v>
      </c>
    </row>
    <row r="124" spans="1:10" x14ac:dyDescent="0.35">
      <c r="A124" s="3">
        <v>42710</v>
      </c>
      <c r="B124" s="1" t="s">
        <v>260</v>
      </c>
      <c r="C124" s="1" t="s">
        <v>261</v>
      </c>
      <c r="D124" s="1" t="s">
        <v>124</v>
      </c>
      <c r="E124" s="1" t="s">
        <v>87</v>
      </c>
      <c r="F124" s="2" t="s">
        <v>264</v>
      </c>
      <c r="G124" s="1">
        <v>115.02</v>
      </c>
      <c r="H124" s="1">
        <v>9</v>
      </c>
      <c r="I124" s="1">
        <v>51.759</v>
      </c>
      <c r="J124" t="str">
        <f t="shared" si="7"/>
        <v>Dec</v>
      </c>
    </row>
    <row r="125" spans="1:10" x14ac:dyDescent="0.35">
      <c r="A125" s="3">
        <v>42710</v>
      </c>
      <c r="B125" s="1" t="s">
        <v>260</v>
      </c>
      <c r="C125" s="1" t="s">
        <v>261</v>
      </c>
      <c r="D125" s="1" t="s">
        <v>124</v>
      </c>
      <c r="E125" s="1" t="s">
        <v>33</v>
      </c>
      <c r="F125" s="2" t="s">
        <v>265</v>
      </c>
      <c r="G125" s="1">
        <v>68.040000000000006</v>
      </c>
      <c r="H125" s="1">
        <v>7</v>
      </c>
      <c r="I125" s="1">
        <v>19.7316</v>
      </c>
      <c r="J125" t="str">
        <f t="shared" si="7"/>
        <v>Dec</v>
      </c>
    </row>
    <row r="126" spans="1:10" x14ac:dyDescent="0.35">
      <c r="A126" s="3">
        <f>DATE(2014,12,26)</f>
        <v>41999</v>
      </c>
      <c r="B126" s="1" t="s">
        <v>266</v>
      </c>
      <c r="C126" s="1" t="s">
        <v>93</v>
      </c>
      <c r="D126" s="1" t="s">
        <v>52</v>
      </c>
      <c r="E126" s="1" t="s">
        <v>14</v>
      </c>
      <c r="F126" s="2" t="s">
        <v>267</v>
      </c>
      <c r="G126" s="1">
        <v>600.55799999999999</v>
      </c>
      <c r="H126" s="1">
        <v>3</v>
      </c>
      <c r="I126" s="1">
        <v>-8.5793999999999997</v>
      </c>
      <c r="J126" t="str">
        <f t="shared" si="7"/>
        <v>Dec</v>
      </c>
    </row>
    <row r="127" spans="1:10" x14ac:dyDescent="0.35">
      <c r="A127" s="3">
        <f>DATE(2014,9,20)</f>
        <v>41902</v>
      </c>
      <c r="B127" s="1" t="s">
        <v>268</v>
      </c>
      <c r="C127" s="1" t="s">
        <v>269</v>
      </c>
      <c r="D127" s="1" t="s">
        <v>106</v>
      </c>
      <c r="E127" s="1" t="s">
        <v>24</v>
      </c>
      <c r="F127" s="2" t="s">
        <v>270</v>
      </c>
      <c r="G127" s="1">
        <v>617.70000000000005</v>
      </c>
      <c r="H127" s="1">
        <v>6</v>
      </c>
      <c r="I127" s="1">
        <v>-407.68200000000002</v>
      </c>
      <c r="J127" t="str">
        <f t="shared" si="7"/>
        <v>Sep</v>
      </c>
    </row>
    <row r="128" spans="1:10" x14ac:dyDescent="0.35">
      <c r="A128" s="3">
        <v>42866</v>
      </c>
      <c r="B128" s="1" t="s">
        <v>271</v>
      </c>
      <c r="C128" s="1" t="s">
        <v>272</v>
      </c>
      <c r="D128" s="1" t="s">
        <v>158</v>
      </c>
      <c r="E128" s="1" t="s">
        <v>35</v>
      </c>
      <c r="F128" s="2" t="s">
        <v>273</v>
      </c>
      <c r="G128" s="1">
        <v>2.3879999999999999</v>
      </c>
      <c r="H128" s="1">
        <v>2</v>
      </c>
      <c r="I128" s="1">
        <v>-1.8308</v>
      </c>
      <c r="J128" t="str">
        <f t="shared" si="7"/>
        <v>May</v>
      </c>
    </row>
    <row r="129" spans="1:10" x14ac:dyDescent="0.35">
      <c r="A129" s="3">
        <v>42866</v>
      </c>
      <c r="B129" s="1" t="s">
        <v>271</v>
      </c>
      <c r="C129" s="1" t="s">
        <v>272</v>
      </c>
      <c r="D129" s="1" t="s">
        <v>158</v>
      </c>
      <c r="E129" s="1" t="s">
        <v>26</v>
      </c>
      <c r="F129" s="2" t="s">
        <v>274</v>
      </c>
      <c r="G129" s="1">
        <v>243.99199999999999</v>
      </c>
      <c r="H129" s="1">
        <v>7</v>
      </c>
      <c r="I129" s="1">
        <v>30.498999999999999</v>
      </c>
      <c r="J129" t="str">
        <f t="shared" si="7"/>
        <v>May</v>
      </c>
    </row>
    <row r="130" spans="1:10" x14ac:dyDescent="0.35">
      <c r="A130" s="3">
        <v>42532</v>
      </c>
      <c r="B130" s="1" t="s">
        <v>275</v>
      </c>
      <c r="C130" s="1" t="s">
        <v>17</v>
      </c>
      <c r="D130" s="1" t="s">
        <v>18</v>
      </c>
      <c r="E130" s="1" t="s">
        <v>14</v>
      </c>
      <c r="F130" s="2" t="s">
        <v>276</v>
      </c>
      <c r="G130" s="1">
        <v>81.424000000000007</v>
      </c>
      <c r="H130" s="1">
        <v>2</v>
      </c>
      <c r="I130" s="1">
        <v>-9.1601999999999997</v>
      </c>
      <c r="J130" t="str">
        <f t="shared" si="7"/>
        <v>Jun</v>
      </c>
    </row>
    <row r="131" spans="1:10" x14ac:dyDescent="0.35">
      <c r="A131" s="3">
        <v>42532</v>
      </c>
      <c r="B131" s="1" t="s">
        <v>275</v>
      </c>
      <c r="C131" s="1" t="s">
        <v>17</v>
      </c>
      <c r="D131" s="1" t="s">
        <v>18</v>
      </c>
      <c r="E131" s="1" t="s">
        <v>29</v>
      </c>
      <c r="F131" s="2" t="s">
        <v>277</v>
      </c>
      <c r="G131" s="1">
        <v>238.56</v>
      </c>
      <c r="H131" s="1">
        <v>3</v>
      </c>
      <c r="I131" s="1">
        <v>26.241599999999998</v>
      </c>
      <c r="J131" t="str">
        <f t="shared" ref="J131:J150" si="12">TEXT(A131,"MMM")</f>
        <v>Jun</v>
      </c>
    </row>
    <row r="132" spans="1:10" x14ac:dyDescent="0.35">
      <c r="A132" s="3">
        <v>42768</v>
      </c>
      <c r="B132" s="1" t="s">
        <v>278</v>
      </c>
      <c r="C132" s="1" t="s">
        <v>249</v>
      </c>
      <c r="D132" s="1" t="s">
        <v>250</v>
      </c>
      <c r="E132" s="1" t="s">
        <v>33</v>
      </c>
      <c r="F132" s="2" t="s">
        <v>279</v>
      </c>
      <c r="G132" s="1">
        <v>59.97</v>
      </c>
      <c r="H132" s="1">
        <v>5</v>
      </c>
      <c r="I132" s="1">
        <v>-11.994</v>
      </c>
      <c r="J132" t="str">
        <f t="shared" si="12"/>
        <v>Feb</v>
      </c>
    </row>
    <row r="133" spans="1:10" x14ac:dyDescent="0.35">
      <c r="A133" s="3">
        <v>42768</v>
      </c>
      <c r="B133" s="1" t="s">
        <v>278</v>
      </c>
      <c r="C133" s="1" t="s">
        <v>249</v>
      </c>
      <c r="D133" s="1" t="s">
        <v>250</v>
      </c>
      <c r="E133" s="1" t="s">
        <v>44</v>
      </c>
      <c r="F133" s="2" t="s">
        <v>280</v>
      </c>
      <c r="G133" s="1">
        <v>78.304000000000002</v>
      </c>
      <c r="H133" s="1">
        <v>2</v>
      </c>
      <c r="I133" s="1">
        <v>29.364000000000001</v>
      </c>
      <c r="J133" t="str">
        <f t="shared" si="12"/>
        <v>Feb</v>
      </c>
    </row>
    <row r="134" spans="1:10" x14ac:dyDescent="0.35">
      <c r="A134" s="3">
        <v>42768</v>
      </c>
      <c r="B134" s="1" t="s">
        <v>278</v>
      </c>
      <c r="C134" s="1" t="s">
        <v>249</v>
      </c>
      <c r="D134" s="1" t="s">
        <v>250</v>
      </c>
      <c r="E134" s="1" t="s">
        <v>137</v>
      </c>
      <c r="F134" s="2" t="s">
        <v>281</v>
      </c>
      <c r="G134" s="1">
        <v>21.456</v>
      </c>
      <c r="H134" s="1">
        <v>9</v>
      </c>
      <c r="I134" s="1">
        <v>6.9732000000000003</v>
      </c>
      <c r="J134" t="str">
        <f t="shared" si="12"/>
        <v>Feb</v>
      </c>
    </row>
    <row r="135" spans="1:10" x14ac:dyDescent="0.35">
      <c r="A135" s="3">
        <f>DATE(2016,10,13)</f>
        <v>42656</v>
      </c>
      <c r="B135" s="1" t="s">
        <v>282</v>
      </c>
      <c r="C135" s="1" t="s">
        <v>283</v>
      </c>
      <c r="D135" s="1" t="s">
        <v>18</v>
      </c>
      <c r="E135" s="1" t="s">
        <v>44</v>
      </c>
      <c r="F135" s="2" t="s">
        <v>284</v>
      </c>
      <c r="G135" s="1">
        <v>20.04</v>
      </c>
      <c r="H135" s="1">
        <v>3</v>
      </c>
      <c r="I135" s="1">
        <v>9.6191999999999993</v>
      </c>
      <c r="J135" t="str">
        <f t="shared" si="12"/>
        <v>Oct</v>
      </c>
    </row>
    <row r="136" spans="1:10" x14ac:dyDescent="0.35">
      <c r="A136" s="3">
        <f t="shared" ref="A136:A141" si="13">DATE(2016,10,13)</f>
        <v>42656</v>
      </c>
      <c r="B136" s="1" t="s">
        <v>282</v>
      </c>
      <c r="C136" s="1" t="s">
        <v>283</v>
      </c>
      <c r="D136" s="1" t="s">
        <v>18</v>
      </c>
      <c r="E136" s="1" t="s">
        <v>44</v>
      </c>
      <c r="F136" s="2" t="s">
        <v>285</v>
      </c>
      <c r="G136" s="1">
        <v>35.44</v>
      </c>
      <c r="H136" s="1">
        <v>1</v>
      </c>
      <c r="I136" s="1">
        <v>16.6568</v>
      </c>
      <c r="J136" t="str">
        <f t="shared" si="12"/>
        <v>Oct</v>
      </c>
    </row>
    <row r="137" spans="1:10" x14ac:dyDescent="0.35">
      <c r="A137" s="3">
        <f t="shared" si="13"/>
        <v>42656</v>
      </c>
      <c r="B137" s="1" t="s">
        <v>282</v>
      </c>
      <c r="C137" s="1" t="s">
        <v>283</v>
      </c>
      <c r="D137" s="1" t="s">
        <v>18</v>
      </c>
      <c r="E137" s="1" t="s">
        <v>31</v>
      </c>
      <c r="F137" s="2" t="s">
        <v>286</v>
      </c>
      <c r="G137" s="1">
        <v>11.52</v>
      </c>
      <c r="H137" s="1">
        <v>4</v>
      </c>
      <c r="I137" s="1">
        <v>3.456</v>
      </c>
      <c r="J137" t="str">
        <f t="shared" si="12"/>
        <v>Oct</v>
      </c>
    </row>
    <row r="138" spans="1:10" x14ac:dyDescent="0.35">
      <c r="A138" s="3">
        <f t="shared" si="13"/>
        <v>42656</v>
      </c>
      <c r="B138" s="1" t="s">
        <v>282</v>
      </c>
      <c r="C138" s="1" t="s">
        <v>283</v>
      </c>
      <c r="D138" s="1" t="s">
        <v>18</v>
      </c>
      <c r="E138" s="1" t="s">
        <v>137</v>
      </c>
      <c r="F138" s="2" t="s">
        <v>287</v>
      </c>
      <c r="G138" s="1">
        <v>4.0199999999999996</v>
      </c>
      <c r="H138" s="1">
        <v>2</v>
      </c>
      <c r="I138" s="1">
        <v>1.9698</v>
      </c>
      <c r="J138" t="str">
        <f t="shared" si="12"/>
        <v>Oct</v>
      </c>
    </row>
    <row r="139" spans="1:10" x14ac:dyDescent="0.35">
      <c r="A139" s="3">
        <f t="shared" si="13"/>
        <v>42656</v>
      </c>
      <c r="B139" s="1" t="s">
        <v>282</v>
      </c>
      <c r="C139" s="1" t="s">
        <v>283</v>
      </c>
      <c r="D139" s="1" t="s">
        <v>18</v>
      </c>
      <c r="E139" s="1" t="s">
        <v>35</v>
      </c>
      <c r="F139" s="2" t="s">
        <v>288</v>
      </c>
      <c r="G139" s="1">
        <v>76.176000000000002</v>
      </c>
      <c r="H139" s="1">
        <v>3</v>
      </c>
      <c r="I139" s="1">
        <v>26.6616</v>
      </c>
      <c r="J139" t="str">
        <f t="shared" si="12"/>
        <v>Oct</v>
      </c>
    </row>
    <row r="140" spans="1:10" x14ac:dyDescent="0.35">
      <c r="A140" s="3">
        <f t="shared" si="13"/>
        <v>42656</v>
      </c>
      <c r="B140" s="1" t="s">
        <v>282</v>
      </c>
      <c r="C140" s="1" t="s">
        <v>283</v>
      </c>
      <c r="D140" s="1" t="s">
        <v>18</v>
      </c>
      <c r="E140" s="1" t="s">
        <v>289</v>
      </c>
      <c r="F140" s="2" t="s">
        <v>290</v>
      </c>
      <c r="G140" s="1">
        <v>65.88</v>
      </c>
      <c r="H140" s="1">
        <v>6</v>
      </c>
      <c r="I140" s="1">
        <v>18.446400000000001</v>
      </c>
      <c r="J140" t="str">
        <f t="shared" si="12"/>
        <v>Oct</v>
      </c>
    </row>
    <row r="141" spans="1:10" x14ac:dyDescent="0.35">
      <c r="A141" s="3">
        <f t="shared" si="13"/>
        <v>42656</v>
      </c>
      <c r="B141" s="1" t="s">
        <v>282</v>
      </c>
      <c r="C141" s="1" t="s">
        <v>283</v>
      </c>
      <c r="D141" s="1" t="s">
        <v>18</v>
      </c>
      <c r="E141" s="1" t="s">
        <v>29</v>
      </c>
      <c r="F141" s="2" t="s">
        <v>132</v>
      </c>
      <c r="G141" s="1">
        <v>43.12</v>
      </c>
      <c r="H141" s="1">
        <v>14</v>
      </c>
      <c r="I141" s="1">
        <v>20.697600000000001</v>
      </c>
      <c r="J141" t="str">
        <f t="shared" si="12"/>
        <v>Oct</v>
      </c>
    </row>
    <row r="142" spans="1:10" x14ac:dyDescent="0.35">
      <c r="A142" s="3">
        <f>DATE(2017,9,18)</f>
        <v>42996</v>
      </c>
      <c r="B142" s="1" t="s">
        <v>291</v>
      </c>
      <c r="C142" s="1" t="s">
        <v>74</v>
      </c>
      <c r="D142" s="1" t="s">
        <v>75</v>
      </c>
      <c r="E142" s="1" t="s">
        <v>29</v>
      </c>
      <c r="F142" s="2" t="s">
        <v>86</v>
      </c>
      <c r="G142" s="1">
        <v>82.8</v>
      </c>
      <c r="H142" s="1">
        <v>2</v>
      </c>
      <c r="I142" s="1">
        <v>10.35</v>
      </c>
      <c r="J142" t="str">
        <f t="shared" si="12"/>
        <v>Sep</v>
      </c>
    </row>
    <row r="143" spans="1:10" x14ac:dyDescent="0.35">
      <c r="A143" s="3">
        <f t="shared" ref="A143:A145" si="14">DATE(2017,9,18)</f>
        <v>42996</v>
      </c>
      <c r="B143" s="1" t="s">
        <v>292</v>
      </c>
      <c r="C143" s="1" t="s">
        <v>64</v>
      </c>
      <c r="D143" s="1" t="s">
        <v>18</v>
      </c>
      <c r="E143" s="1" t="s">
        <v>31</v>
      </c>
      <c r="F143" s="2" t="s">
        <v>293</v>
      </c>
      <c r="G143" s="1">
        <v>8.82</v>
      </c>
      <c r="H143" s="1">
        <v>3</v>
      </c>
      <c r="I143" s="1">
        <v>2.3814000000000002</v>
      </c>
      <c r="J143" t="str">
        <f t="shared" si="12"/>
        <v>Sep</v>
      </c>
    </row>
    <row r="144" spans="1:10" x14ac:dyDescent="0.35">
      <c r="A144" s="3">
        <f t="shared" si="14"/>
        <v>42996</v>
      </c>
      <c r="B144" s="1" t="s">
        <v>292</v>
      </c>
      <c r="C144" s="1" t="s">
        <v>64</v>
      </c>
      <c r="D144" s="1" t="s">
        <v>18</v>
      </c>
      <c r="E144" s="1" t="s">
        <v>87</v>
      </c>
      <c r="F144" s="2" t="s">
        <v>294</v>
      </c>
      <c r="G144" s="1">
        <v>10.86</v>
      </c>
      <c r="H144" s="1">
        <v>3</v>
      </c>
      <c r="I144" s="1">
        <v>5.1041999999999996</v>
      </c>
      <c r="J144" t="str">
        <f t="shared" si="12"/>
        <v>Sep</v>
      </c>
    </row>
    <row r="145" spans="1:10" x14ac:dyDescent="0.35">
      <c r="A145" s="3">
        <f t="shared" si="14"/>
        <v>42996</v>
      </c>
      <c r="B145" s="1" t="s">
        <v>292</v>
      </c>
      <c r="C145" s="1" t="s">
        <v>64</v>
      </c>
      <c r="D145" s="1" t="s">
        <v>18</v>
      </c>
      <c r="E145" s="1" t="s">
        <v>44</v>
      </c>
      <c r="F145" s="2" t="s">
        <v>295</v>
      </c>
      <c r="G145" s="1">
        <v>143.69999999999999</v>
      </c>
      <c r="H145" s="1">
        <v>3</v>
      </c>
      <c r="I145" s="1">
        <v>68.975999999999999</v>
      </c>
      <c r="J145" t="str">
        <f t="shared" si="12"/>
        <v>Sep</v>
      </c>
    </row>
    <row r="146" spans="1:10" x14ac:dyDescent="0.35">
      <c r="A146" s="3">
        <f>DATE(2017,12,22)</f>
        <v>43091</v>
      </c>
      <c r="B146" s="1" t="s">
        <v>296</v>
      </c>
      <c r="C146" s="1" t="s">
        <v>297</v>
      </c>
      <c r="D146" s="1" t="s">
        <v>298</v>
      </c>
      <c r="E146" s="1" t="s">
        <v>37</v>
      </c>
      <c r="F146" s="2" t="s">
        <v>299</v>
      </c>
      <c r="G146" s="1">
        <v>839.43</v>
      </c>
      <c r="H146" s="1">
        <v>3</v>
      </c>
      <c r="I146" s="1">
        <v>218.2518</v>
      </c>
      <c r="J146" t="str">
        <f t="shared" si="12"/>
        <v>Dec</v>
      </c>
    </row>
    <row r="147" spans="1:10" x14ac:dyDescent="0.35">
      <c r="A147" s="3">
        <v>42194</v>
      </c>
      <c r="B147" s="1" t="s">
        <v>300</v>
      </c>
      <c r="C147" s="1" t="s">
        <v>301</v>
      </c>
      <c r="D147" s="1" t="s">
        <v>18</v>
      </c>
      <c r="E147" s="1" t="s">
        <v>26</v>
      </c>
      <c r="F147" s="2" t="s">
        <v>192</v>
      </c>
      <c r="G147" s="1">
        <v>671.93</v>
      </c>
      <c r="H147" s="1">
        <v>7</v>
      </c>
      <c r="I147" s="1">
        <v>20.157900000000001</v>
      </c>
      <c r="J147" t="str">
        <f t="shared" si="12"/>
        <v>Jul</v>
      </c>
    </row>
    <row r="148" spans="1:10" x14ac:dyDescent="0.35">
      <c r="A148" s="3">
        <f>DATE(2014,10,22)</f>
        <v>41934</v>
      </c>
      <c r="B148" s="1" t="s">
        <v>302</v>
      </c>
      <c r="C148" s="1" t="s">
        <v>303</v>
      </c>
      <c r="D148" s="1" t="s">
        <v>250</v>
      </c>
      <c r="E148" s="1" t="s">
        <v>29</v>
      </c>
      <c r="F148" s="2" t="s">
        <v>304</v>
      </c>
      <c r="G148" s="1">
        <v>93.888000000000005</v>
      </c>
      <c r="H148" s="1">
        <v>4</v>
      </c>
      <c r="I148" s="1">
        <v>12.909599999999999</v>
      </c>
      <c r="J148" t="str">
        <f t="shared" si="12"/>
        <v>Oct</v>
      </c>
    </row>
    <row r="149" spans="1:10" x14ac:dyDescent="0.35">
      <c r="A149" s="3">
        <v>42502</v>
      </c>
      <c r="B149" s="1" t="s">
        <v>305</v>
      </c>
      <c r="C149" s="1" t="s">
        <v>306</v>
      </c>
      <c r="D149" s="1" t="s">
        <v>57</v>
      </c>
      <c r="E149" s="1" t="s">
        <v>33</v>
      </c>
      <c r="F149" s="2" t="s">
        <v>307</v>
      </c>
      <c r="G149" s="1">
        <v>384.45</v>
      </c>
      <c r="H149" s="1">
        <v>11</v>
      </c>
      <c r="I149" s="1">
        <v>103.8015</v>
      </c>
      <c r="J149" t="str">
        <f t="shared" si="12"/>
        <v>May</v>
      </c>
    </row>
    <row r="150" spans="1:10" x14ac:dyDescent="0.35">
      <c r="A150" s="3">
        <v>42502</v>
      </c>
      <c r="B150" s="1" t="s">
        <v>305</v>
      </c>
      <c r="C150" s="1" t="s">
        <v>306</v>
      </c>
      <c r="D150" s="1" t="s">
        <v>57</v>
      </c>
      <c r="E150" s="1" t="s">
        <v>33</v>
      </c>
      <c r="F150" s="2" t="s">
        <v>308</v>
      </c>
      <c r="G150" s="1">
        <v>149.97</v>
      </c>
      <c r="H150" s="1">
        <v>3</v>
      </c>
      <c r="I150" s="1">
        <v>5.9988000000000001</v>
      </c>
      <c r="J150" t="str">
        <f t="shared" si="12"/>
        <v>May</v>
      </c>
    </row>
    <row r="2509" spans="1:9" x14ac:dyDescent="0.35">
      <c r="A2509" s="3">
        <v>42042</v>
      </c>
      <c r="B2509" s="1" t="s">
        <v>2081</v>
      </c>
      <c r="C2509" s="1" t="s">
        <v>93</v>
      </c>
      <c r="D2509" s="1" t="s">
        <v>52</v>
      </c>
      <c r="E2509" s="1" t="s">
        <v>37</v>
      </c>
      <c r="F2509" s="2" t="s">
        <v>2252</v>
      </c>
      <c r="G2509" s="1">
        <v>32.783999999999999</v>
      </c>
      <c r="H2509" s="1">
        <v>4</v>
      </c>
      <c r="I2509" s="1">
        <v>-85.238399999999999</v>
      </c>
    </row>
    <row r="2510" spans="1:9" x14ac:dyDescent="0.35">
      <c r="A2510" s="3">
        <v>42769</v>
      </c>
      <c r="B2510" s="1" t="s">
        <v>803</v>
      </c>
      <c r="C2510" s="1" t="s">
        <v>17</v>
      </c>
      <c r="D2510" s="1" t="s">
        <v>18</v>
      </c>
      <c r="E2510" s="1" t="s">
        <v>33</v>
      </c>
      <c r="F2510" s="2" t="s">
        <v>2253</v>
      </c>
      <c r="G2510" s="1">
        <v>196.77600000000001</v>
      </c>
      <c r="H2510" s="1">
        <v>3</v>
      </c>
      <c r="I2510" s="1">
        <v>14.7582</v>
      </c>
    </row>
    <row r="2511" spans="1:9" x14ac:dyDescent="0.35">
      <c r="A2511" s="3">
        <v>42769</v>
      </c>
      <c r="B2511" s="1" t="s">
        <v>803</v>
      </c>
      <c r="C2511" s="1" t="s">
        <v>17</v>
      </c>
      <c r="D2511" s="1" t="s">
        <v>18</v>
      </c>
      <c r="E2511" s="1" t="s">
        <v>81</v>
      </c>
      <c r="F2511" s="2" t="s">
        <v>1532</v>
      </c>
      <c r="G2511" s="1">
        <v>479.94</v>
      </c>
      <c r="H2511" s="1">
        <v>6</v>
      </c>
      <c r="I2511" s="1">
        <v>52.793399999999998</v>
      </c>
    </row>
    <row r="2512" spans="1:9" x14ac:dyDescent="0.35">
      <c r="A2512" s="3" t="s">
        <v>3182</v>
      </c>
      <c r="B2512" s="1" t="s">
        <v>2104</v>
      </c>
      <c r="C2512" s="1" t="s">
        <v>1999</v>
      </c>
      <c r="D2512" s="1" t="s">
        <v>322</v>
      </c>
      <c r="E2512" s="1" t="s">
        <v>26</v>
      </c>
      <c r="F2512" s="2" t="s">
        <v>2254</v>
      </c>
      <c r="G2512" s="1">
        <v>1117.92</v>
      </c>
      <c r="H2512" s="1">
        <v>4</v>
      </c>
      <c r="I2512" s="1">
        <v>55.896000000000001</v>
      </c>
    </row>
    <row r="2513" spans="1:9" x14ac:dyDescent="0.35">
      <c r="A2513" s="3" t="s">
        <v>3157</v>
      </c>
      <c r="B2513" s="1" t="s">
        <v>2171</v>
      </c>
      <c r="C2513" s="1" t="s">
        <v>361</v>
      </c>
      <c r="D2513" s="1" t="s">
        <v>362</v>
      </c>
      <c r="E2513" s="1" t="s">
        <v>81</v>
      </c>
      <c r="F2513" s="2" t="s">
        <v>1566</v>
      </c>
      <c r="G2513" s="1">
        <v>106.5</v>
      </c>
      <c r="H2513" s="1">
        <v>6</v>
      </c>
      <c r="I2513" s="1">
        <v>41.534999999999997</v>
      </c>
    </row>
    <row r="2514" spans="1:9" x14ac:dyDescent="0.35">
      <c r="A2514" s="3">
        <v>42778</v>
      </c>
      <c r="B2514" s="1" t="s">
        <v>2255</v>
      </c>
      <c r="C2514" s="1" t="s">
        <v>438</v>
      </c>
      <c r="D2514" s="1" t="s">
        <v>23</v>
      </c>
      <c r="E2514" s="1" t="s">
        <v>35</v>
      </c>
      <c r="F2514" s="2" t="s">
        <v>852</v>
      </c>
      <c r="G2514" s="1">
        <v>45.66</v>
      </c>
      <c r="H2514" s="1">
        <v>5</v>
      </c>
      <c r="I2514" s="1">
        <v>-33.484000000000002</v>
      </c>
    </row>
    <row r="2515" spans="1:9" x14ac:dyDescent="0.35">
      <c r="A2515" s="3">
        <v>42685</v>
      </c>
      <c r="B2515" s="1" t="s">
        <v>722</v>
      </c>
      <c r="C2515" s="1" t="s">
        <v>154</v>
      </c>
      <c r="D2515" s="1" t="s">
        <v>106</v>
      </c>
      <c r="E2515" s="1" t="s">
        <v>81</v>
      </c>
      <c r="F2515" s="2" t="s">
        <v>1764</v>
      </c>
      <c r="G2515" s="1">
        <v>95.968000000000004</v>
      </c>
      <c r="H2515" s="1">
        <v>4</v>
      </c>
      <c r="I2515" s="1">
        <v>1.1996</v>
      </c>
    </row>
    <row r="2516" spans="1:9" x14ac:dyDescent="0.35">
      <c r="A2516" s="3">
        <v>42685</v>
      </c>
      <c r="B2516" s="1" t="s">
        <v>722</v>
      </c>
      <c r="C2516" s="1" t="s">
        <v>154</v>
      </c>
      <c r="D2516" s="1" t="s">
        <v>106</v>
      </c>
      <c r="E2516" s="1" t="s">
        <v>14</v>
      </c>
      <c r="F2516" s="2" t="s">
        <v>1479</v>
      </c>
      <c r="G2516" s="1">
        <v>47.991999999999997</v>
      </c>
      <c r="H2516" s="1">
        <v>2</v>
      </c>
      <c r="I2516" s="1">
        <v>-2.0568</v>
      </c>
    </row>
    <row r="2517" spans="1:9" x14ac:dyDescent="0.35">
      <c r="A2517" s="3">
        <v>41768</v>
      </c>
      <c r="B2517" s="1" t="s">
        <v>1509</v>
      </c>
      <c r="C2517" s="1" t="s">
        <v>1924</v>
      </c>
      <c r="D2517" s="1" t="s">
        <v>250</v>
      </c>
      <c r="E2517" s="1" t="s">
        <v>26</v>
      </c>
      <c r="F2517" s="2" t="s">
        <v>970</v>
      </c>
      <c r="G2517" s="1">
        <v>264.32</v>
      </c>
      <c r="H2517" s="1">
        <v>2</v>
      </c>
      <c r="I2517" s="1">
        <v>19.824000000000002</v>
      </c>
    </row>
    <row r="2518" spans="1:9" x14ac:dyDescent="0.35">
      <c r="A2518" s="3" t="s">
        <v>3183</v>
      </c>
      <c r="B2518" s="1" t="s">
        <v>1076</v>
      </c>
      <c r="C2518" s="1" t="s">
        <v>93</v>
      </c>
      <c r="D2518" s="1" t="s">
        <v>52</v>
      </c>
      <c r="E2518" s="1" t="s">
        <v>87</v>
      </c>
      <c r="F2518" s="2" t="s">
        <v>1631</v>
      </c>
      <c r="G2518" s="1">
        <v>604.65599999999995</v>
      </c>
      <c r="H2518" s="1">
        <v>9</v>
      </c>
      <c r="I2518" s="1">
        <v>204.07140000000001</v>
      </c>
    </row>
    <row r="2519" spans="1:9" x14ac:dyDescent="0.35">
      <c r="A2519" s="3">
        <v>42771</v>
      </c>
      <c r="B2519" s="1" t="s">
        <v>278</v>
      </c>
      <c r="C2519" s="1" t="s">
        <v>387</v>
      </c>
      <c r="D2519" s="1" t="s">
        <v>388</v>
      </c>
      <c r="E2519" s="1" t="s">
        <v>29</v>
      </c>
      <c r="F2519" s="2" t="s">
        <v>1342</v>
      </c>
      <c r="G2519" s="1">
        <v>129.93</v>
      </c>
      <c r="H2519" s="1">
        <v>3</v>
      </c>
      <c r="I2519" s="1">
        <v>12.993</v>
      </c>
    </row>
    <row r="2520" spans="1:9" x14ac:dyDescent="0.35">
      <c r="A2520" s="3" t="s">
        <v>3184</v>
      </c>
      <c r="B2520" s="1" t="s">
        <v>1844</v>
      </c>
      <c r="C2520" s="1" t="s">
        <v>1999</v>
      </c>
      <c r="D2520" s="1" t="s">
        <v>322</v>
      </c>
      <c r="E2520" s="1" t="s">
        <v>19</v>
      </c>
      <c r="F2520" s="2" t="s">
        <v>2256</v>
      </c>
      <c r="G2520" s="1">
        <v>20.16</v>
      </c>
      <c r="H2520" s="1">
        <v>7</v>
      </c>
      <c r="I2520" s="1">
        <v>9.8783999999999992</v>
      </c>
    </row>
    <row r="2521" spans="1:9" x14ac:dyDescent="0.35">
      <c r="A2521" s="3" t="s">
        <v>3184</v>
      </c>
      <c r="B2521" s="1" t="s">
        <v>1844</v>
      </c>
      <c r="C2521" s="1" t="s">
        <v>1999</v>
      </c>
      <c r="D2521" s="1" t="s">
        <v>322</v>
      </c>
      <c r="E2521" s="1" t="s">
        <v>19</v>
      </c>
      <c r="F2521" s="2" t="s">
        <v>1071</v>
      </c>
      <c r="G2521" s="1">
        <v>29.46</v>
      </c>
      <c r="H2521" s="1">
        <v>6</v>
      </c>
      <c r="I2521" s="1">
        <v>14.4354</v>
      </c>
    </row>
    <row r="2522" spans="1:9" x14ac:dyDescent="0.35">
      <c r="A2522" s="3" t="s">
        <v>3184</v>
      </c>
      <c r="B2522" s="1" t="s">
        <v>1844</v>
      </c>
      <c r="C2522" s="1" t="s">
        <v>1999</v>
      </c>
      <c r="D2522" s="1" t="s">
        <v>322</v>
      </c>
      <c r="E2522" s="1" t="s">
        <v>37</v>
      </c>
      <c r="F2522" s="2" t="s">
        <v>2257</v>
      </c>
      <c r="G2522" s="1">
        <v>868.59</v>
      </c>
      <c r="H2522" s="1">
        <v>3</v>
      </c>
      <c r="I2522" s="1">
        <v>251.89109999999999</v>
      </c>
    </row>
    <row r="2523" spans="1:9" x14ac:dyDescent="0.35">
      <c r="A2523" s="3" t="s">
        <v>3184</v>
      </c>
      <c r="B2523" s="1" t="s">
        <v>1844</v>
      </c>
      <c r="C2523" s="1" t="s">
        <v>1999</v>
      </c>
      <c r="D2523" s="1" t="s">
        <v>322</v>
      </c>
      <c r="E2523" s="1" t="s">
        <v>44</v>
      </c>
      <c r="F2523" s="2" t="s">
        <v>207</v>
      </c>
      <c r="G2523" s="1">
        <v>12.96</v>
      </c>
      <c r="H2523" s="1">
        <v>2</v>
      </c>
      <c r="I2523" s="1">
        <v>6.2207999999999997</v>
      </c>
    </row>
    <row r="2524" spans="1:9" x14ac:dyDescent="0.35">
      <c r="A2524" s="3" t="s">
        <v>3184</v>
      </c>
      <c r="B2524" s="1" t="s">
        <v>1844</v>
      </c>
      <c r="C2524" s="1" t="s">
        <v>1999</v>
      </c>
      <c r="D2524" s="1" t="s">
        <v>322</v>
      </c>
      <c r="E2524" s="1" t="s">
        <v>33</v>
      </c>
      <c r="F2524" s="2" t="s">
        <v>1504</v>
      </c>
      <c r="G2524" s="1">
        <v>5.5</v>
      </c>
      <c r="H2524" s="1">
        <v>1</v>
      </c>
      <c r="I2524" s="1">
        <v>1.375</v>
      </c>
    </row>
    <row r="2525" spans="1:9" x14ac:dyDescent="0.35">
      <c r="A2525" s="3" t="s">
        <v>3184</v>
      </c>
      <c r="B2525" s="1" t="s">
        <v>1844</v>
      </c>
      <c r="C2525" s="1" t="s">
        <v>1999</v>
      </c>
      <c r="D2525" s="1" t="s">
        <v>322</v>
      </c>
      <c r="E2525" s="1" t="s">
        <v>35</v>
      </c>
      <c r="F2525" s="2" t="s">
        <v>1672</v>
      </c>
      <c r="G2525" s="1">
        <v>121.6</v>
      </c>
      <c r="H2525" s="1">
        <v>4</v>
      </c>
      <c r="I2525" s="1">
        <v>55.936</v>
      </c>
    </row>
    <row r="2526" spans="1:9" x14ac:dyDescent="0.35">
      <c r="A2526" s="3">
        <v>42159</v>
      </c>
      <c r="B2526" s="1" t="s">
        <v>2258</v>
      </c>
      <c r="C2526" s="1" t="s">
        <v>93</v>
      </c>
      <c r="D2526" s="1" t="s">
        <v>52</v>
      </c>
      <c r="E2526" s="1" t="s">
        <v>31</v>
      </c>
      <c r="F2526" s="2" t="s">
        <v>915</v>
      </c>
      <c r="G2526" s="1">
        <v>42.048000000000002</v>
      </c>
      <c r="H2526" s="1">
        <v>9</v>
      </c>
      <c r="I2526" s="1">
        <v>5.2560000000000002</v>
      </c>
    </row>
    <row r="2527" spans="1:9" x14ac:dyDescent="0.35">
      <c r="A2527" s="3">
        <v>42159</v>
      </c>
      <c r="B2527" s="1" t="s">
        <v>2258</v>
      </c>
      <c r="C2527" s="1" t="s">
        <v>93</v>
      </c>
      <c r="D2527" s="1" t="s">
        <v>52</v>
      </c>
      <c r="E2527" s="1" t="s">
        <v>81</v>
      </c>
      <c r="F2527" s="2" t="s">
        <v>2259</v>
      </c>
      <c r="G2527" s="1">
        <v>25.488</v>
      </c>
      <c r="H2527" s="1">
        <v>2</v>
      </c>
      <c r="I2527" s="1">
        <v>4.4603999999999999</v>
      </c>
    </row>
    <row r="2528" spans="1:9" x14ac:dyDescent="0.35">
      <c r="A2528" s="3">
        <v>42159</v>
      </c>
      <c r="B2528" s="1" t="s">
        <v>2258</v>
      </c>
      <c r="C2528" s="1" t="s">
        <v>93</v>
      </c>
      <c r="D2528" s="1" t="s">
        <v>52</v>
      </c>
      <c r="E2528" s="1" t="s">
        <v>35</v>
      </c>
      <c r="F2528" s="2" t="s">
        <v>1716</v>
      </c>
      <c r="G2528" s="1">
        <v>6.9</v>
      </c>
      <c r="H2528" s="1">
        <v>3</v>
      </c>
      <c r="I2528" s="1">
        <v>-12.074999999999999</v>
      </c>
    </row>
    <row r="2529" spans="1:9" x14ac:dyDescent="0.35">
      <c r="A2529" s="3">
        <v>42159</v>
      </c>
      <c r="B2529" s="1" t="s">
        <v>2258</v>
      </c>
      <c r="C2529" s="1" t="s">
        <v>93</v>
      </c>
      <c r="D2529" s="1" t="s">
        <v>52</v>
      </c>
      <c r="E2529" s="1" t="s">
        <v>35</v>
      </c>
      <c r="F2529" s="2" t="s">
        <v>2032</v>
      </c>
      <c r="G2529" s="1">
        <v>9.6479999999999997</v>
      </c>
      <c r="H2529" s="1">
        <v>6</v>
      </c>
      <c r="I2529" s="1">
        <v>-16.884</v>
      </c>
    </row>
    <row r="2530" spans="1:9" x14ac:dyDescent="0.35">
      <c r="A2530" s="3">
        <v>42159</v>
      </c>
      <c r="B2530" s="1" t="s">
        <v>2258</v>
      </c>
      <c r="C2530" s="1" t="s">
        <v>93</v>
      </c>
      <c r="D2530" s="1" t="s">
        <v>52</v>
      </c>
      <c r="E2530" s="1" t="s">
        <v>44</v>
      </c>
      <c r="F2530" s="2" t="s">
        <v>1769</v>
      </c>
      <c r="G2530" s="1">
        <v>7.968</v>
      </c>
      <c r="H2530" s="1">
        <v>2</v>
      </c>
      <c r="I2530" s="1">
        <v>2.8883999999999999</v>
      </c>
    </row>
    <row r="2531" spans="1:9" x14ac:dyDescent="0.35">
      <c r="A2531" s="3" t="s">
        <v>3185</v>
      </c>
      <c r="B2531" s="1" t="s">
        <v>2255</v>
      </c>
      <c r="C2531" s="1" t="s">
        <v>22</v>
      </c>
      <c r="D2531" s="1" t="s">
        <v>23</v>
      </c>
      <c r="E2531" s="1" t="s">
        <v>44</v>
      </c>
      <c r="F2531" s="2" t="s">
        <v>1274</v>
      </c>
      <c r="G2531" s="1">
        <v>10.368</v>
      </c>
      <c r="H2531" s="1">
        <v>2</v>
      </c>
      <c r="I2531" s="1">
        <v>3.6288</v>
      </c>
    </row>
    <row r="2532" spans="1:9" x14ac:dyDescent="0.35">
      <c r="A2532" s="3" t="s">
        <v>3186</v>
      </c>
      <c r="B2532" s="1" t="s">
        <v>564</v>
      </c>
      <c r="C2532" s="1" t="s">
        <v>2100</v>
      </c>
      <c r="D2532" s="1" t="s">
        <v>797</v>
      </c>
      <c r="E2532" s="1" t="s">
        <v>44</v>
      </c>
      <c r="F2532" s="2" t="s">
        <v>1900</v>
      </c>
      <c r="G2532" s="1">
        <v>114.2</v>
      </c>
      <c r="H2532" s="1">
        <v>5</v>
      </c>
      <c r="I2532" s="1">
        <v>52.531999999999996</v>
      </c>
    </row>
    <row r="2533" spans="1:9" x14ac:dyDescent="0.35">
      <c r="A2533" s="3" t="s">
        <v>3186</v>
      </c>
      <c r="B2533" s="1" t="s">
        <v>564</v>
      </c>
      <c r="C2533" s="1" t="s">
        <v>2100</v>
      </c>
      <c r="D2533" s="1" t="s">
        <v>797</v>
      </c>
      <c r="E2533" s="1" t="s">
        <v>35</v>
      </c>
      <c r="F2533" s="2" t="s">
        <v>581</v>
      </c>
      <c r="G2533" s="1">
        <v>17.96</v>
      </c>
      <c r="H2533" s="1">
        <v>4</v>
      </c>
      <c r="I2533" s="1">
        <v>8.2615999999999996</v>
      </c>
    </row>
    <row r="2534" spans="1:9" x14ac:dyDescent="0.35">
      <c r="A2534" s="3" t="s">
        <v>3186</v>
      </c>
      <c r="B2534" s="1" t="s">
        <v>564</v>
      </c>
      <c r="C2534" s="1" t="s">
        <v>2100</v>
      </c>
      <c r="D2534" s="1" t="s">
        <v>797</v>
      </c>
      <c r="E2534" s="1" t="s">
        <v>137</v>
      </c>
      <c r="F2534" s="2" t="s">
        <v>1825</v>
      </c>
      <c r="G2534" s="1">
        <v>12.67</v>
      </c>
      <c r="H2534" s="1">
        <v>7</v>
      </c>
      <c r="I2534" s="1">
        <v>4.5612000000000004</v>
      </c>
    </row>
    <row r="2535" spans="1:9" x14ac:dyDescent="0.35">
      <c r="A2535" s="3" t="s">
        <v>3186</v>
      </c>
      <c r="B2535" s="1" t="s">
        <v>564</v>
      </c>
      <c r="C2535" s="1" t="s">
        <v>2100</v>
      </c>
      <c r="D2535" s="1" t="s">
        <v>797</v>
      </c>
      <c r="E2535" s="1" t="s">
        <v>81</v>
      </c>
      <c r="F2535" s="2" t="s">
        <v>240</v>
      </c>
      <c r="G2535" s="1">
        <v>339.96</v>
      </c>
      <c r="H2535" s="1">
        <v>4</v>
      </c>
      <c r="I2535" s="1">
        <v>122.3856</v>
      </c>
    </row>
    <row r="2536" spans="1:9" x14ac:dyDescent="0.35">
      <c r="A2536" s="3" t="s">
        <v>3187</v>
      </c>
      <c r="B2536" s="1" t="s">
        <v>1414</v>
      </c>
      <c r="C2536" s="1" t="s">
        <v>74</v>
      </c>
      <c r="D2536" s="1" t="s">
        <v>75</v>
      </c>
      <c r="E2536" s="1" t="s">
        <v>26</v>
      </c>
      <c r="F2536" s="2" t="s">
        <v>827</v>
      </c>
      <c r="G2536" s="1">
        <v>1801.6320000000001</v>
      </c>
      <c r="H2536" s="1">
        <v>6</v>
      </c>
      <c r="I2536" s="1">
        <v>-337.80599999999998</v>
      </c>
    </row>
    <row r="2537" spans="1:9" x14ac:dyDescent="0.35">
      <c r="A2537" s="3">
        <v>42164</v>
      </c>
      <c r="B2537" s="1" t="s">
        <v>2260</v>
      </c>
      <c r="C2537" s="1" t="s">
        <v>2261</v>
      </c>
      <c r="D2537" s="1" t="s">
        <v>18</v>
      </c>
      <c r="E2537" s="1" t="s">
        <v>81</v>
      </c>
      <c r="F2537" s="2" t="s">
        <v>235</v>
      </c>
      <c r="G2537" s="1">
        <v>46.32</v>
      </c>
      <c r="H2537" s="1">
        <v>4</v>
      </c>
      <c r="I2537" s="1">
        <v>18.064800000000002</v>
      </c>
    </row>
    <row r="2538" spans="1:9" x14ac:dyDescent="0.35">
      <c r="A2538" s="3" t="s">
        <v>3188</v>
      </c>
      <c r="B2538" s="1" t="s">
        <v>1046</v>
      </c>
      <c r="C2538" s="1" t="s">
        <v>994</v>
      </c>
      <c r="D2538" s="1" t="s">
        <v>250</v>
      </c>
      <c r="E2538" s="1" t="s">
        <v>14</v>
      </c>
      <c r="F2538" s="2" t="s">
        <v>172</v>
      </c>
      <c r="G2538" s="1">
        <v>181.98599999999999</v>
      </c>
      <c r="H2538" s="1">
        <v>2</v>
      </c>
      <c r="I2538" s="1">
        <v>-54.595799999999997</v>
      </c>
    </row>
    <row r="2539" spans="1:9" x14ac:dyDescent="0.35">
      <c r="A2539" s="3" t="s">
        <v>3188</v>
      </c>
      <c r="B2539" s="1" t="s">
        <v>1046</v>
      </c>
      <c r="C2539" s="1" t="s">
        <v>994</v>
      </c>
      <c r="D2539" s="1" t="s">
        <v>250</v>
      </c>
      <c r="E2539" s="1" t="s">
        <v>33</v>
      </c>
      <c r="F2539" s="2" t="s">
        <v>1917</v>
      </c>
      <c r="G2539" s="1">
        <v>431.976</v>
      </c>
      <c r="H2539" s="1">
        <v>4</v>
      </c>
      <c r="I2539" s="1">
        <v>-100.7944</v>
      </c>
    </row>
    <row r="2540" spans="1:9" x14ac:dyDescent="0.35">
      <c r="A2540" s="3" t="s">
        <v>3188</v>
      </c>
      <c r="B2540" s="1" t="s">
        <v>1046</v>
      </c>
      <c r="C2540" s="1" t="s">
        <v>994</v>
      </c>
      <c r="D2540" s="1" t="s">
        <v>250</v>
      </c>
      <c r="E2540" s="1" t="s">
        <v>33</v>
      </c>
      <c r="F2540" s="2" t="s">
        <v>2262</v>
      </c>
      <c r="G2540" s="1">
        <v>155.37</v>
      </c>
      <c r="H2540" s="1">
        <v>1</v>
      </c>
      <c r="I2540" s="1">
        <v>-36.253</v>
      </c>
    </row>
    <row r="2541" spans="1:9" x14ac:dyDescent="0.35">
      <c r="A2541" s="3" t="s">
        <v>3189</v>
      </c>
      <c r="B2541" s="1" t="s">
        <v>2207</v>
      </c>
      <c r="C2541" s="1" t="s">
        <v>64</v>
      </c>
      <c r="D2541" s="1" t="s">
        <v>18</v>
      </c>
      <c r="E2541" s="1" t="s">
        <v>14</v>
      </c>
      <c r="F2541" s="2" t="s">
        <v>570</v>
      </c>
      <c r="G2541" s="1">
        <v>1348.704</v>
      </c>
      <c r="H2541" s="1">
        <v>6</v>
      </c>
      <c r="I2541" s="1">
        <v>-219.1644</v>
      </c>
    </row>
    <row r="2542" spans="1:9" x14ac:dyDescent="0.35">
      <c r="A2542" s="3" t="s">
        <v>3189</v>
      </c>
      <c r="B2542" s="1" t="s">
        <v>2207</v>
      </c>
      <c r="C2542" s="1" t="s">
        <v>64</v>
      </c>
      <c r="D2542" s="1" t="s">
        <v>18</v>
      </c>
      <c r="E2542" s="1" t="s">
        <v>14</v>
      </c>
      <c r="F2542" s="2" t="s">
        <v>544</v>
      </c>
      <c r="G2542" s="1">
        <v>700.15200000000004</v>
      </c>
      <c r="H2542" s="1">
        <v>3</v>
      </c>
      <c r="I2542" s="1">
        <v>78.767099999999999</v>
      </c>
    </row>
    <row r="2543" spans="1:9" x14ac:dyDescent="0.35">
      <c r="A2543" s="3" t="s">
        <v>3190</v>
      </c>
      <c r="B2543" s="1" t="s">
        <v>2263</v>
      </c>
      <c r="C2543" s="1" t="s">
        <v>311</v>
      </c>
      <c r="D2543" s="1" t="s">
        <v>158</v>
      </c>
      <c r="E2543" s="1" t="s">
        <v>29</v>
      </c>
      <c r="F2543" s="2" t="s">
        <v>996</v>
      </c>
      <c r="G2543" s="1">
        <v>111.88800000000001</v>
      </c>
      <c r="H2543" s="1">
        <v>7</v>
      </c>
      <c r="I2543" s="1">
        <v>22.377600000000001</v>
      </c>
    </row>
    <row r="2544" spans="1:9" x14ac:dyDescent="0.35">
      <c r="A2544" s="3" t="s">
        <v>3191</v>
      </c>
      <c r="B2544" s="1" t="s">
        <v>2264</v>
      </c>
      <c r="C2544" s="1" t="s">
        <v>74</v>
      </c>
      <c r="D2544" s="1" t="s">
        <v>75</v>
      </c>
      <c r="E2544" s="1" t="s">
        <v>37</v>
      </c>
      <c r="F2544" s="2" t="s">
        <v>1384</v>
      </c>
      <c r="G2544" s="1">
        <v>143.952</v>
      </c>
      <c r="H2544" s="1">
        <v>3</v>
      </c>
      <c r="I2544" s="1">
        <v>14.395200000000001</v>
      </c>
    </row>
    <row r="2545" spans="1:9" x14ac:dyDescent="0.35">
      <c r="A2545" s="3">
        <v>42591</v>
      </c>
      <c r="B2545" s="1" t="s">
        <v>1450</v>
      </c>
      <c r="C2545" s="1" t="s">
        <v>2203</v>
      </c>
      <c r="D2545" s="1" t="s">
        <v>592</v>
      </c>
      <c r="E2545" s="1" t="s">
        <v>12</v>
      </c>
      <c r="F2545" s="2" t="s">
        <v>2265</v>
      </c>
      <c r="G2545" s="1">
        <v>173.94</v>
      </c>
      <c r="H2545" s="1">
        <v>3</v>
      </c>
      <c r="I2545" s="1">
        <v>13.9152</v>
      </c>
    </row>
    <row r="2546" spans="1:9" x14ac:dyDescent="0.35">
      <c r="A2546" s="3">
        <v>42591</v>
      </c>
      <c r="B2546" s="1" t="s">
        <v>1450</v>
      </c>
      <c r="C2546" s="1" t="s">
        <v>2203</v>
      </c>
      <c r="D2546" s="1" t="s">
        <v>592</v>
      </c>
      <c r="E2546" s="1" t="s">
        <v>19</v>
      </c>
      <c r="F2546" s="2" t="s">
        <v>2042</v>
      </c>
      <c r="G2546" s="1">
        <v>14.76</v>
      </c>
      <c r="H2546" s="1">
        <v>4</v>
      </c>
      <c r="I2546" s="1">
        <v>6.9371999999999998</v>
      </c>
    </row>
    <row r="2547" spans="1:9" x14ac:dyDescent="0.35">
      <c r="A2547" s="3" t="s">
        <v>3192</v>
      </c>
      <c r="B2547" s="1" t="s">
        <v>169</v>
      </c>
      <c r="C2547" s="1" t="s">
        <v>314</v>
      </c>
      <c r="D2547" s="1" t="s">
        <v>18</v>
      </c>
      <c r="E2547" s="1" t="s">
        <v>26</v>
      </c>
      <c r="F2547" s="2" t="s">
        <v>467</v>
      </c>
      <c r="G2547" s="1">
        <v>205.92</v>
      </c>
      <c r="H2547" s="1">
        <v>4</v>
      </c>
      <c r="I2547" s="1">
        <v>2.0592000000000001</v>
      </c>
    </row>
    <row r="2548" spans="1:9" x14ac:dyDescent="0.35">
      <c r="A2548" s="3" t="s">
        <v>3192</v>
      </c>
      <c r="B2548" s="1" t="s">
        <v>169</v>
      </c>
      <c r="C2548" s="1" t="s">
        <v>314</v>
      </c>
      <c r="D2548" s="1" t="s">
        <v>18</v>
      </c>
      <c r="E2548" s="1" t="s">
        <v>12</v>
      </c>
      <c r="F2548" s="2" t="s">
        <v>780</v>
      </c>
      <c r="G2548" s="1">
        <v>102.833</v>
      </c>
      <c r="H2548" s="1">
        <v>1</v>
      </c>
      <c r="I2548" s="1">
        <v>-6.0490000000000004</v>
      </c>
    </row>
    <row r="2549" spans="1:9" x14ac:dyDescent="0.35">
      <c r="A2549" s="3" t="s">
        <v>3193</v>
      </c>
      <c r="B2549" s="1" t="s">
        <v>2244</v>
      </c>
      <c r="C2549" s="1" t="s">
        <v>272</v>
      </c>
      <c r="D2549" s="1" t="s">
        <v>158</v>
      </c>
      <c r="E2549" s="1" t="s">
        <v>31</v>
      </c>
      <c r="F2549" s="2" t="s">
        <v>1406</v>
      </c>
      <c r="G2549" s="1">
        <v>2.3039999999999998</v>
      </c>
      <c r="H2549" s="1">
        <v>1</v>
      </c>
      <c r="I2549" s="1">
        <v>0.25919999999999999</v>
      </c>
    </row>
    <row r="2550" spans="1:9" x14ac:dyDescent="0.35">
      <c r="A2550" s="3" t="s">
        <v>3193</v>
      </c>
      <c r="B2550" s="1" t="s">
        <v>2244</v>
      </c>
      <c r="C2550" s="1" t="s">
        <v>272</v>
      </c>
      <c r="D2550" s="1" t="s">
        <v>158</v>
      </c>
      <c r="E2550" s="1" t="s">
        <v>33</v>
      </c>
      <c r="F2550" s="2" t="s">
        <v>1913</v>
      </c>
      <c r="G2550" s="1">
        <v>1879.96</v>
      </c>
      <c r="H2550" s="1">
        <v>5</v>
      </c>
      <c r="I2550" s="1">
        <v>211.49549999999999</v>
      </c>
    </row>
    <row r="2551" spans="1:9" x14ac:dyDescent="0.35">
      <c r="A2551" s="3" t="s">
        <v>3193</v>
      </c>
      <c r="B2551" s="1" t="s">
        <v>2244</v>
      </c>
      <c r="C2551" s="1" t="s">
        <v>272</v>
      </c>
      <c r="D2551" s="1" t="s">
        <v>158</v>
      </c>
      <c r="E2551" s="1" t="s">
        <v>44</v>
      </c>
      <c r="F2551" s="2" t="s">
        <v>1966</v>
      </c>
      <c r="G2551" s="1">
        <v>313.024</v>
      </c>
      <c r="H2551" s="1">
        <v>8</v>
      </c>
      <c r="I2551" s="1">
        <v>105.6456</v>
      </c>
    </row>
    <row r="2552" spans="1:9" x14ac:dyDescent="0.35">
      <c r="A2552" s="3" t="s">
        <v>3193</v>
      </c>
      <c r="B2552" s="1" t="s">
        <v>2244</v>
      </c>
      <c r="C2552" s="1" t="s">
        <v>272</v>
      </c>
      <c r="D2552" s="1" t="s">
        <v>158</v>
      </c>
      <c r="E2552" s="1" t="s">
        <v>19</v>
      </c>
      <c r="F2552" s="2" t="s">
        <v>1392</v>
      </c>
      <c r="G2552" s="1">
        <v>5.04</v>
      </c>
      <c r="H2552" s="1">
        <v>2</v>
      </c>
      <c r="I2552" s="1">
        <v>1.764</v>
      </c>
    </row>
    <row r="2553" spans="1:9" x14ac:dyDescent="0.35">
      <c r="A2553" s="3" t="s">
        <v>3194</v>
      </c>
      <c r="B2553" s="1" t="s">
        <v>1641</v>
      </c>
      <c r="C2553" s="1" t="s">
        <v>10</v>
      </c>
      <c r="D2553" s="1" t="s">
        <v>11</v>
      </c>
      <c r="E2553" s="1" t="s">
        <v>29</v>
      </c>
      <c r="F2553" s="2" t="s">
        <v>2266</v>
      </c>
      <c r="G2553" s="1">
        <v>821.88</v>
      </c>
      <c r="H2553" s="1">
        <v>6</v>
      </c>
      <c r="I2553" s="1">
        <v>213.68879999999999</v>
      </c>
    </row>
    <row r="2554" spans="1:9" x14ac:dyDescent="0.35">
      <c r="A2554" s="3" t="s">
        <v>3194</v>
      </c>
      <c r="B2554" s="1" t="s">
        <v>1641</v>
      </c>
      <c r="C2554" s="1" t="s">
        <v>10</v>
      </c>
      <c r="D2554" s="1" t="s">
        <v>11</v>
      </c>
      <c r="E2554" s="1" t="s">
        <v>35</v>
      </c>
      <c r="F2554" s="2" t="s">
        <v>1761</v>
      </c>
      <c r="G2554" s="1">
        <v>21.96</v>
      </c>
      <c r="H2554" s="1">
        <v>2</v>
      </c>
      <c r="I2554" s="1">
        <v>10.760400000000001</v>
      </c>
    </row>
    <row r="2555" spans="1:9" x14ac:dyDescent="0.35">
      <c r="A2555" s="3" t="s">
        <v>3195</v>
      </c>
      <c r="B2555" s="1" t="s">
        <v>214</v>
      </c>
      <c r="C2555" s="1" t="s">
        <v>193</v>
      </c>
      <c r="D2555" s="1" t="s">
        <v>194</v>
      </c>
      <c r="E2555" s="1" t="s">
        <v>44</v>
      </c>
      <c r="F2555" s="2" t="s">
        <v>1389</v>
      </c>
      <c r="G2555" s="1">
        <v>25.92</v>
      </c>
      <c r="H2555" s="1">
        <v>4</v>
      </c>
      <c r="I2555" s="1">
        <v>12.441599999999999</v>
      </c>
    </row>
    <row r="2556" spans="1:9" x14ac:dyDescent="0.35">
      <c r="A2556" s="3" t="s">
        <v>3196</v>
      </c>
      <c r="B2556" s="1" t="s">
        <v>1946</v>
      </c>
      <c r="C2556" s="1" t="s">
        <v>2267</v>
      </c>
      <c r="D2556" s="1" t="s">
        <v>23</v>
      </c>
      <c r="E2556" s="1" t="s">
        <v>33</v>
      </c>
      <c r="F2556" s="2" t="s">
        <v>2268</v>
      </c>
      <c r="G2556" s="1">
        <v>705.54399999999998</v>
      </c>
      <c r="H2556" s="1">
        <v>7</v>
      </c>
      <c r="I2556" s="1">
        <v>70.554400000000001</v>
      </c>
    </row>
    <row r="2557" spans="1:9" x14ac:dyDescent="0.35">
      <c r="A2557" s="3" t="s">
        <v>3197</v>
      </c>
      <c r="B2557" s="1" t="s">
        <v>268</v>
      </c>
      <c r="C2557" s="1" t="s">
        <v>135</v>
      </c>
      <c r="D2557" s="1" t="s">
        <v>136</v>
      </c>
      <c r="E2557" s="1" t="s">
        <v>81</v>
      </c>
      <c r="F2557" s="2" t="s">
        <v>2269</v>
      </c>
      <c r="G2557" s="1">
        <v>50</v>
      </c>
      <c r="H2557" s="1">
        <v>2</v>
      </c>
      <c r="I2557" s="1">
        <v>12</v>
      </c>
    </row>
    <row r="2558" spans="1:9" x14ac:dyDescent="0.35">
      <c r="A2558" s="3">
        <v>42592</v>
      </c>
      <c r="B2558" s="1" t="s">
        <v>1146</v>
      </c>
      <c r="C2558" s="1" t="s">
        <v>93</v>
      </c>
      <c r="D2558" s="1" t="s">
        <v>52</v>
      </c>
      <c r="E2558" s="1" t="s">
        <v>29</v>
      </c>
      <c r="F2558" s="2" t="s">
        <v>2270</v>
      </c>
      <c r="G2558" s="1">
        <v>51.712000000000003</v>
      </c>
      <c r="H2558" s="1">
        <v>8</v>
      </c>
      <c r="I2558" s="1">
        <v>-32.32</v>
      </c>
    </row>
    <row r="2559" spans="1:9" x14ac:dyDescent="0.35">
      <c r="A2559" s="3" t="s">
        <v>3198</v>
      </c>
      <c r="B2559" s="1" t="s">
        <v>542</v>
      </c>
      <c r="C2559" s="1" t="s">
        <v>1476</v>
      </c>
      <c r="D2559" s="1" t="s">
        <v>23</v>
      </c>
      <c r="E2559" s="1" t="s">
        <v>37</v>
      </c>
      <c r="F2559" s="2" t="s">
        <v>2153</v>
      </c>
      <c r="G2559" s="1">
        <v>6.992</v>
      </c>
      <c r="H2559" s="1">
        <v>2</v>
      </c>
      <c r="I2559" s="1">
        <v>0.52439999999999998</v>
      </c>
    </row>
    <row r="2560" spans="1:9" x14ac:dyDescent="0.35">
      <c r="A2560" s="3" t="s">
        <v>3199</v>
      </c>
      <c r="B2560" s="1" t="s">
        <v>2205</v>
      </c>
      <c r="C2560" s="1" t="s">
        <v>78</v>
      </c>
      <c r="D2560" s="1" t="s">
        <v>61</v>
      </c>
      <c r="E2560" s="1" t="s">
        <v>12</v>
      </c>
      <c r="F2560" s="2" t="s">
        <v>2271</v>
      </c>
      <c r="G2560" s="1">
        <v>1406.86</v>
      </c>
      <c r="H2560" s="1">
        <v>7</v>
      </c>
      <c r="I2560" s="1">
        <v>140.68600000000001</v>
      </c>
    </row>
    <row r="2561" spans="1:9" x14ac:dyDescent="0.35">
      <c r="A2561" s="3" t="s">
        <v>3199</v>
      </c>
      <c r="B2561" s="1" t="s">
        <v>2205</v>
      </c>
      <c r="C2561" s="1" t="s">
        <v>78</v>
      </c>
      <c r="D2561" s="1" t="s">
        <v>61</v>
      </c>
      <c r="E2561" s="1" t="s">
        <v>19</v>
      </c>
      <c r="F2561" s="2" t="s">
        <v>682</v>
      </c>
      <c r="G2561" s="1">
        <v>15.75</v>
      </c>
      <c r="H2561" s="1">
        <v>5</v>
      </c>
      <c r="I2561" s="1">
        <v>7.56</v>
      </c>
    </row>
    <row r="2562" spans="1:9" x14ac:dyDescent="0.35">
      <c r="A2562" s="3" t="s">
        <v>3199</v>
      </c>
      <c r="B2562" s="1" t="s">
        <v>2205</v>
      </c>
      <c r="C2562" s="1" t="s">
        <v>78</v>
      </c>
      <c r="D2562" s="1" t="s">
        <v>61</v>
      </c>
      <c r="E2562" s="1" t="s">
        <v>26</v>
      </c>
      <c r="F2562" s="2" t="s">
        <v>1315</v>
      </c>
      <c r="G2562" s="1">
        <v>323.10000000000002</v>
      </c>
      <c r="H2562" s="1">
        <v>2</v>
      </c>
      <c r="I2562" s="1">
        <v>61.389000000000003</v>
      </c>
    </row>
    <row r="2563" spans="1:9" x14ac:dyDescent="0.35">
      <c r="A2563" s="3" t="s">
        <v>3200</v>
      </c>
      <c r="B2563" s="1" t="s">
        <v>391</v>
      </c>
      <c r="C2563" s="1" t="s">
        <v>2272</v>
      </c>
      <c r="D2563" s="1" t="s">
        <v>171</v>
      </c>
      <c r="E2563" s="1" t="s">
        <v>19</v>
      </c>
      <c r="F2563" s="2" t="s">
        <v>1968</v>
      </c>
      <c r="G2563" s="1">
        <v>9.2159999999999993</v>
      </c>
      <c r="H2563" s="1">
        <v>4</v>
      </c>
      <c r="I2563" s="1">
        <v>3.3408000000000002</v>
      </c>
    </row>
    <row r="2564" spans="1:9" x14ac:dyDescent="0.35">
      <c r="A2564" s="3" t="s">
        <v>3200</v>
      </c>
      <c r="B2564" s="1" t="s">
        <v>391</v>
      </c>
      <c r="C2564" s="1" t="s">
        <v>2272</v>
      </c>
      <c r="D2564" s="1" t="s">
        <v>171</v>
      </c>
      <c r="E2564" s="1" t="s">
        <v>44</v>
      </c>
      <c r="F2564" s="2" t="s">
        <v>2143</v>
      </c>
      <c r="G2564" s="1">
        <v>10.368</v>
      </c>
      <c r="H2564" s="1">
        <v>2</v>
      </c>
      <c r="I2564" s="1">
        <v>3.6288</v>
      </c>
    </row>
    <row r="2565" spans="1:9" x14ac:dyDescent="0.35">
      <c r="A2565" s="3" t="s">
        <v>3201</v>
      </c>
      <c r="B2565" s="1" t="s">
        <v>1469</v>
      </c>
      <c r="C2565" s="1" t="s">
        <v>135</v>
      </c>
      <c r="D2565" s="1" t="s">
        <v>136</v>
      </c>
      <c r="E2565" s="1" t="s">
        <v>81</v>
      </c>
      <c r="F2565" s="2" t="s">
        <v>2273</v>
      </c>
      <c r="G2565" s="1">
        <v>15.02</v>
      </c>
      <c r="H2565" s="1">
        <v>1</v>
      </c>
      <c r="I2565" s="1">
        <v>2.7035999999999998</v>
      </c>
    </row>
    <row r="2566" spans="1:9" x14ac:dyDescent="0.35">
      <c r="A2566" s="3" t="s">
        <v>3201</v>
      </c>
      <c r="B2566" s="1" t="s">
        <v>1469</v>
      </c>
      <c r="C2566" s="1" t="s">
        <v>135</v>
      </c>
      <c r="D2566" s="1" t="s">
        <v>136</v>
      </c>
      <c r="E2566" s="1" t="s">
        <v>26</v>
      </c>
      <c r="F2566" s="2" t="s">
        <v>1742</v>
      </c>
      <c r="G2566" s="1">
        <v>33.82</v>
      </c>
      <c r="H2566" s="1">
        <v>2</v>
      </c>
      <c r="I2566" s="1">
        <v>9.1313999999999993</v>
      </c>
    </row>
    <row r="2567" spans="1:9" x14ac:dyDescent="0.35">
      <c r="A2567" s="3" t="s">
        <v>3202</v>
      </c>
      <c r="B2567" s="1" t="s">
        <v>2274</v>
      </c>
      <c r="C2567" s="1" t="s">
        <v>1924</v>
      </c>
      <c r="D2567" s="1" t="s">
        <v>11</v>
      </c>
      <c r="E2567" s="1" t="s">
        <v>81</v>
      </c>
      <c r="F2567" s="2" t="s">
        <v>1566</v>
      </c>
      <c r="G2567" s="1">
        <v>71</v>
      </c>
      <c r="H2567" s="1">
        <v>4</v>
      </c>
      <c r="I2567" s="1">
        <v>27.69</v>
      </c>
    </row>
    <row r="2568" spans="1:9" x14ac:dyDescent="0.35">
      <c r="A2568" s="3">
        <v>42746</v>
      </c>
      <c r="B2568" s="1" t="s">
        <v>894</v>
      </c>
      <c r="C2568" s="1" t="s">
        <v>2275</v>
      </c>
      <c r="D2568" s="1" t="s">
        <v>48</v>
      </c>
      <c r="E2568" s="1" t="s">
        <v>35</v>
      </c>
      <c r="F2568" s="2" t="s">
        <v>2276</v>
      </c>
      <c r="G2568" s="1">
        <v>25.12</v>
      </c>
      <c r="H2568" s="1">
        <v>5</v>
      </c>
      <c r="I2568" s="1">
        <v>7.85</v>
      </c>
    </row>
    <row r="2569" spans="1:9" x14ac:dyDescent="0.35">
      <c r="A2569" s="3">
        <v>42746</v>
      </c>
      <c r="B2569" s="1" t="s">
        <v>894</v>
      </c>
      <c r="C2569" s="1" t="s">
        <v>2275</v>
      </c>
      <c r="D2569" s="1" t="s">
        <v>48</v>
      </c>
      <c r="E2569" s="1" t="s">
        <v>24</v>
      </c>
      <c r="F2569" s="2" t="s">
        <v>2034</v>
      </c>
      <c r="G2569" s="1">
        <v>2665.62</v>
      </c>
      <c r="H2569" s="1">
        <v>9</v>
      </c>
      <c r="I2569" s="1">
        <v>239.9058</v>
      </c>
    </row>
    <row r="2570" spans="1:9" x14ac:dyDescent="0.35">
      <c r="A2570" s="3">
        <v>42925</v>
      </c>
      <c r="B2570" s="1" t="s">
        <v>1485</v>
      </c>
      <c r="C2570" s="1" t="s">
        <v>135</v>
      </c>
      <c r="D2570" s="1" t="s">
        <v>136</v>
      </c>
      <c r="E2570" s="1" t="s">
        <v>26</v>
      </c>
      <c r="F2570" s="2" t="s">
        <v>112</v>
      </c>
      <c r="G2570" s="1">
        <v>478.08</v>
      </c>
      <c r="H2570" s="1">
        <v>8</v>
      </c>
      <c r="I2570" s="1">
        <v>133.86240000000001</v>
      </c>
    </row>
    <row r="2571" spans="1:9" x14ac:dyDescent="0.35">
      <c r="A2571" s="3" t="s">
        <v>3203</v>
      </c>
      <c r="B2571" s="1" t="s">
        <v>466</v>
      </c>
      <c r="C2571" s="1" t="s">
        <v>303</v>
      </c>
      <c r="D2571" s="1" t="s">
        <v>250</v>
      </c>
      <c r="E2571" s="1" t="s">
        <v>33</v>
      </c>
      <c r="F2571" s="2" t="s">
        <v>1395</v>
      </c>
      <c r="G2571" s="1">
        <v>164.38800000000001</v>
      </c>
      <c r="H2571" s="1">
        <v>2</v>
      </c>
      <c r="I2571" s="1">
        <v>-35.617400000000004</v>
      </c>
    </row>
    <row r="2572" spans="1:9" x14ac:dyDescent="0.35">
      <c r="A2572" s="3" t="s">
        <v>3203</v>
      </c>
      <c r="B2572" s="1" t="s">
        <v>466</v>
      </c>
      <c r="C2572" s="1" t="s">
        <v>303</v>
      </c>
      <c r="D2572" s="1" t="s">
        <v>250</v>
      </c>
      <c r="E2572" s="1" t="s">
        <v>31</v>
      </c>
      <c r="F2572" s="2" t="s">
        <v>337</v>
      </c>
      <c r="G2572" s="1">
        <v>13.247999999999999</v>
      </c>
      <c r="H2572" s="1">
        <v>4</v>
      </c>
      <c r="I2572" s="1">
        <v>3.6432000000000002</v>
      </c>
    </row>
    <row r="2573" spans="1:9" x14ac:dyDescent="0.35">
      <c r="A2573" s="3" t="s">
        <v>3148</v>
      </c>
      <c r="B2573" s="1" t="s">
        <v>386</v>
      </c>
      <c r="C2573" s="1" t="s">
        <v>2277</v>
      </c>
      <c r="D2573" s="1" t="s">
        <v>106</v>
      </c>
      <c r="E2573" s="1" t="s">
        <v>31</v>
      </c>
      <c r="F2573" s="2" t="s">
        <v>1441</v>
      </c>
      <c r="G2573" s="1">
        <v>2.9119999999999999</v>
      </c>
      <c r="H2573" s="1">
        <v>2</v>
      </c>
      <c r="I2573" s="1">
        <v>0.91</v>
      </c>
    </row>
    <row r="2574" spans="1:9" x14ac:dyDescent="0.35">
      <c r="A2574" s="3">
        <v>42712</v>
      </c>
      <c r="B2574" s="1" t="s">
        <v>2278</v>
      </c>
      <c r="C2574" s="1" t="s">
        <v>1779</v>
      </c>
      <c r="D2574" s="1" t="s">
        <v>52</v>
      </c>
      <c r="E2574" s="1" t="s">
        <v>81</v>
      </c>
      <c r="F2574" s="2" t="s">
        <v>2140</v>
      </c>
      <c r="G2574" s="1">
        <v>1399.944</v>
      </c>
      <c r="H2574" s="1">
        <v>7</v>
      </c>
      <c r="I2574" s="1">
        <v>52.497900000000001</v>
      </c>
    </row>
    <row r="2575" spans="1:9" x14ac:dyDescent="0.35">
      <c r="A2575" s="3">
        <v>42985</v>
      </c>
      <c r="B2575" s="1" t="s">
        <v>2141</v>
      </c>
      <c r="C2575" s="1" t="s">
        <v>1799</v>
      </c>
      <c r="D2575" s="1" t="s">
        <v>129</v>
      </c>
      <c r="E2575" s="1" t="s">
        <v>29</v>
      </c>
      <c r="F2575" s="2" t="s">
        <v>1357</v>
      </c>
      <c r="G2575" s="1">
        <v>526.45000000000005</v>
      </c>
      <c r="H2575" s="1">
        <v>5</v>
      </c>
      <c r="I2575" s="1">
        <v>31.587</v>
      </c>
    </row>
    <row r="2576" spans="1:9" x14ac:dyDescent="0.35">
      <c r="A2576" s="3" t="s">
        <v>3204</v>
      </c>
      <c r="B2576" s="1" t="s">
        <v>108</v>
      </c>
      <c r="C2576" s="1" t="s">
        <v>249</v>
      </c>
      <c r="D2576" s="1" t="s">
        <v>604</v>
      </c>
      <c r="E2576" s="1" t="s">
        <v>87</v>
      </c>
      <c r="F2576" s="2" t="s">
        <v>1508</v>
      </c>
      <c r="G2576" s="1">
        <v>16.23</v>
      </c>
      <c r="H2576" s="1">
        <v>3</v>
      </c>
      <c r="I2576" s="1">
        <v>7.9527000000000001</v>
      </c>
    </row>
    <row r="2577" spans="1:9" x14ac:dyDescent="0.35">
      <c r="A2577" s="3" t="s">
        <v>3204</v>
      </c>
      <c r="B2577" s="1" t="s">
        <v>108</v>
      </c>
      <c r="C2577" s="1" t="s">
        <v>249</v>
      </c>
      <c r="D2577" s="1" t="s">
        <v>604</v>
      </c>
      <c r="E2577" s="1" t="s">
        <v>35</v>
      </c>
      <c r="F2577" s="2" t="s">
        <v>1167</v>
      </c>
      <c r="G2577" s="1">
        <v>319.89999999999998</v>
      </c>
      <c r="H2577" s="1">
        <v>5</v>
      </c>
      <c r="I2577" s="1">
        <v>156.751</v>
      </c>
    </row>
    <row r="2578" spans="1:9" x14ac:dyDescent="0.35">
      <c r="A2578" s="3" t="s">
        <v>3204</v>
      </c>
      <c r="B2578" s="1" t="s">
        <v>108</v>
      </c>
      <c r="C2578" s="1" t="s">
        <v>249</v>
      </c>
      <c r="D2578" s="1" t="s">
        <v>604</v>
      </c>
      <c r="E2578" s="1" t="s">
        <v>87</v>
      </c>
      <c r="F2578" s="2" t="s">
        <v>332</v>
      </c>
      <c r="G2578" s="1">
        <v>11.36</v>
      </c>
      <c r="H2578" s="1">
        <v>2</v>
      </c>
      <c r="I2578" s="1">
        <v>5.3391999999999999</v>
      </c>
    </row>
    <row r="2579" spans="1:9" x14ac:dyDescent="0.35">
      <c r="A2579" s="3" t="s">
        <v>3204</v>
      </c>
      <c r="B2579" s="1" t="s">
        <v>108</v>
      </c>
      <c r="C2579" s="1" t="s">
        <v>249</v>
      </c>
      <c r="D2579" s="1" t="s">
        <v>604</v>
      </c>
      <c r="E2579" s="1" t="s">
        <v>37</v>
      </c>
      <c r="F2579" s="2" t="s">
        <v>2279</v>
      </c>
      <c r="G2579" s="1">
        <v>675.12</v>
      </c>
      <c r="H2579" s="1">
        <v>3</v>
      </c>
      <c r="I2579" s="1">
        <v>290.30160000000001</v>
      </c>
    </row>
    <row r="2580" spans="1:9" x14ac:dyDescent="0.35">
      <c r="A2580" s="3" t="s">
        <v>3205</v>
      </c>
      <c r="B2580" s="1" t="s">
        <v>709</v>
      </c>
      <c r="C2580" s="1" t="s">
        <v>1247</v>
      </c>
      <c r="D2580" s="1" t="s">
        <v>163</v>
      </c>
      <c r="E2580" s="1" t="s">
        <v>29</v>
      </c>
      <c r="F2580" s="2" t="s">
        <v>2280</v>
      </c>
      <c r="G2580" s="1">
        <v>62.82</v>
      </c>
      <c r="H2580" s="1">
        <v>3</v>
      </c>
      <c r="I2580" s="1">
        <v>30.7818</v>
      </c>
    </row>
    <row r="2581" spans="1:9" x14ac:dyDescent="0.35">
      <c r="A2581" s="3" t="s">
        <v>3205</v>
      </c>
      <c r="B2581" s="1" t="s">
        <v>709</v>
      </c>
      <c r="C2581" s="1" t="s">
        <v>1247</v>
      </c>
      <c r="D2581" s="1" t="s">
        <v>163</v>
      </c>
      <c r="E2581" s="1" t="s">
        <v>26</v>
      </c>
      <c r="F2581" s="2" t="s">
        <v>1443</v>
      </c>
      <c r="G2581" s="1">
        <v>489.92</v>
      </c>
      <c r="H2581" s="1">
        <v>8</v>
      </c>
      <c r="I2581" s="1">
        <v>0</v>
      </c>
    </row>
    <row r="2582" spans="1:9" x14ac:dyDescent="0.35">
      <c r="A2582" s="3" t="s">
        <v>3205</v>
      </c>
      <c r="B2582" s="1" t="s">
        <v>709</v>
      </c>
      <c r="C2582" s="1" t="s">
        <v>1247</v>
      </c>
      <c r="D2582" s="1" t="s">
        <v>163</v>
      </c>
      <c r="E2582" s="1" t="s">
        <v>44</v>
      </c>
      <c r="F2582" s="2" t="s">
        <v>1564</v>
      </c>
      <c r="G2582" s="1">
        <v>19.440000000000001</v>
      </c>
      <c r="H2582" s="1">
        <v>3</v>
      </c>
      <c r="I2582" s="1">
        <v>9.3312000000000008</v>
      </c>
    </row>
    <row r="2583" spans="1:9" x14ac:dyDescent="0.35">
      <c r="A2583" s="3" t="s">
        <v>3205</v>
      </c>
      <c r="B2583" s="1" t="s">
        <v>709</v>
      </c>
      <c r="C2583" s="1" t="s">
        <v>1247</v>
      </c>
      <c r="D2583" s="1" t="s">
        <v>163</v>
      </c>
      <c r="E2583" s="1" t="s">
        <v>44</v>
      </c>
      <c r="F2583" s="2" t="s">
        <v>2170</v>
      </c>
      <c r="G2583" s="1">
        <v>16.68</v>
      </c>
      <c r="H2583" s="1">
        <v>2</v>
      </c>
      <c r="I2583" s="1">
        <v>8.34</v>
      </c>
    </row>
    <row r="2584" spans="1:9" x14ac:dyDescent="0.35">
      <c r="A2584" s="3" t="s">
        <v>3205</v>
      </c>
      <c r="B2584" s="1" t="s">
        <v>709</v>
      </c>
      <c r="C2584" s="1" t="s">
        <v>1247</v>
      </c>
      <c r="D2584" s="1" t="s">
        <v>163</v>
      </c>
      <c r="E2584" s="1" t="s">
        <v>33</v>
      </c>
      <c r="F2584" s="2" t="s">
        <v>2281</v>
      </c>
      <c r="G2584" s="1">
        <v>155.35</v>
      </c>
      <c r="H2584" s="1">
        <v>13</v>
      </c>
      <c r="I2584" s="1">
        <v>0</v>
      </c>
    </row>
    <row r="2585" spans="1:9" x14ac:dyDescent="0.35">
      <c r="A2585" s="3" t="s">
        <v>3205</v>
      </c>
      <c r="B2585" s="1" t="s">
        <v>709</v>
      </c>
      <c r="C2585" s="1" t="s">
        <v>1247</v>
      </c>
      <c r="D2585" s="1" t="s">
        <v>163</v>
      </c>
      <c r="E2585" s="1" t="s">
        <v>29</v>
      </c>
      <c r="F2585" s="2" t="s">
        <v>2282</v>
      </c>
      <c r="G2585" s="1">
        <v>12.42</v>
      </c>
      <c r="H2585" s="1">
        <v>3</v>
      </c>
      <c r="I2585" s="1">
        <v>4.4711999999999996</v>
      </c>
    </row>
    <row r="2586" spans="1:9" x14ac:dyDescent="0.35">
      <c r="A2586" s="3" t="s">
        <v>3205</v>
      </c>
      <c r="B2586" s="1" t="s">
        <v>709</v>
      </c>
      <c r="C2586" s="1" t="s">
        <v>1247</v>
      </c>
      <c r="D2586" s="1" t="s">
        <v>163</v>
      </c>
      <c r="E2586" s="1" t="s">
        <v>33</v>
      </c>
      <c r="F2586" s="2" t="s">
        <v>957</v>
      </c>
      <c r="G2586" s="1">
        <v>187.98</v>
      </c>
      <c r="H2586" s="1">
        <v>2</v>
      </c>
      <c r="I2586" s="1">
        <v>52.634399999999999</v>
      </c>
    </row>
    <row r="2587" spans="1:9" x14ac:dyDescent="0.35">
      <c r="A2587" s="3">
        <v>42074</v>
      </c>
      <c r="B2587" s="1" t="s">
        <v>1092</v>
      </c>
      <c r="C2587" s="1" t="s">
        <v>2283</v>
      </c>
      <c r="D2587" s="1" t="s">
        <v>52</v>
      </c>
      <c r="E2587" s="1" t="s">
        <v>87</v>
      </c>
      <c r="F2587" s="2" t="s">
        <v>600</v>
      </c>
      <c r="G2587" s="1">
        <v>6.6079999999999997</v>
      </c>
      <c r="H2587" s="1">
        <v>2</v>
      </c>
      <c r="I2587" s="1">
        <v>2.1476000000000002</v>
      </c>
    </row>
    <row r="2588" spans="1:9" x14ac:dyDescent="0.35">
      <c r="A2588" s="3" t="s">
        <v>3206</v>
      </c>
      <c r="B2588" s="1" t="s">
        <v>1014</v>
      </c>
      <c r="C2588" s="1" t="s">
        <v>135</v>
      </c>
      <c r="D2588" s="1" t="s">
        <v>136</v>
      </c>
      <c r="E2588" s="1" t="s">
        <v>26</v>
      </c>
      <c r="F2588" s="2" t="s">
        <v>1425</v>
      </c>
      <c r="G2588" s="1">
        <v>248.57</v>
      </c>
      <c r="H2588" s="1">
        <v>7</v>
      </c>
      <c r="I2588" s="1">
        <v>67.113900000000001</v>
      </c>
    </row>
    <row r="2589" spans="1:9" x14ac:dyDescent="0.35">
      <c r="A2589" s="3" t="s">
        <v>3206</v>
      </c>
      <c r="B2589" s="1" t="s">
        <v>1014</v>
      </c>
      <c r="C2589" s="1" t="s">
        <v>135</v>
      </c>
      <c r="D2589" s="1" t="s">
        <v>136</v>
      </c>
      <c r="E2589" s="1" t="s">
        <v>29</v>
      </c>
      <c r="F2589" s="2" t="s">
        <v>2284</v>
      </c>
      <c r="G2589" s="1">
        <v>22.23</v>
      </c>
      <c r="H2589" s="1">
        <v>1</v>
      </c>
      <c r="I2589" s="1">
        <v>9.7812000000000001</v>
      </c>
    </row>
    <row r="2590" spans="1:9" x14ac:dyDescent="0.35">
      <c r="A2590" s="3">
        <v>42495</v>
      </c>
      <c r="B2590" s="1" t="s">
        <v>2128</v>
      </c>
      <c r="C2590" s="1" t="s">
        <v>17</v>
      </c>
      <c r="D2590" s="1" t="s">
        <v>18</v>
      </c>
      <c r="E2590" s="1" t="s">
        <v>26</v>
      </c>
      <c r="F2590" s="2" t="s">
        <v>1984</v>
      </c>
      <c r="G2590" s="1">
        <v>5.98</v>
      </c>
      <c r="H2590" s="1">
        <v>1</v>
      </c>
      <c r="I2590" s="1">
        <v>1.0165999999999999</v>
      </c>
    </row>
    <row r="2591" spans="1:9" x14ac:dyDescent="0.35">
      <c r="A2591" s="3">
        <v>42495</v>
      </c>
      <c r="B2591" s="1" t="s">
        <v>2128</v>
      </c>
      <c r="C2591" s="1" t="s">
        <v>17</v>
      </c>
      <c r="D2591" s="1" t="s">
        <v>18</v>
      </c>
      <c r="E2591" s="1" t="s">
        <v>33</v>
      </c>
      <c r="F2591" s="2" t="s">
        <v>476</v>
      </c>
      <c r="G2591" s="1">
        <v>246.16800000000001</v>
      </c>
      <c r="H2591" s="1">
        <v>3</v>
      </c>
      <c r="I2591" s="1">
        <v>21.5397</v>
      </c>
    </row>
    <row r="2592" spans="1:9" x14ac:dyDescent="0.35">
      <c r="A2592" s="3">
        <v>42591</v>
      </c>
      <c r="B2592" s="1" t="s">
        <v>1248</v>
      </c>
      <c r="C2592" s="1" t="s">
        <v>2285</v>
      </c>
      <c r="D2592" s="1" t="s">
        <v>106</v>
      </c>
      <c r="E2592" s="1" t="s">
        <v>29</v>
      </c>
      <c r="F2592" s="2" t="s">
        <v>2286</v>
      </c>
      <c r="G2592" s="1">
        <v>14.135999999999999</v>
      </c>
      <c r="H2592" s="1">
        <v>2</v>
      </c>
      <c r="I2592" s="1">
        <v>-7.7747999999999999</v>
      </c>
    </row>
    <row r="2593" spans="1:9" x14ac:dyDescent="0.35">
      <c r="A2593" s="3">
        <v>42591</v>
      </c>
      <c r="B2593" s="1" t="s">
        <v>1248</v>
      </c>
      <c r="C2593" s="1" t="s">
        <v>2285</v>
      </c>
      <c r="D2593" s="1" t="s">
        <v>106</v>
      </c>
      <c r="E2593" s="1" t="s">
        <v>24</v>
      </c>
      <c r="F2593" s="2" t="s">
        <v>2287</v>
      </c>
      <c r="G2593" s="1">
        <v>601.47</v>
      </c>
      <c r="H2593" s="1">
        <v>3</v>
      </c>
      <c r="I2593" s="1">
        <v>-300.73500000000001</v>
      </c>
    </row>
    <row r="2594" spans="1:9" x14ac:dyDescent="0.35">
      <c r="A2594" s="3" t="s">
        <v>3207</v>
      </c>
      <c r="B2594" s="1" t="s">
        <v>1041</v>
      </c>
      <c r="C2594" s="1" t="s">
        <v>2288</v>
      </c>
      <c r="D2594" s="1" t="s">
        <v>194</v>
      </c>
      <c r="E2594" s="1" t="s">
        <v>33</v>
      </c>
      <c r="F2594" s="2" t="s">
        <v>2072</v>
      </c>
      <c r="G2594" s="1">
        <v>79.099999999999994</v>
      </c>
      <c r="H2594" s="1">
        <v>2</v>
      </c>
      <c r="I2594" s="1">
        <v>39.549999999999997</v>
      </c>
    </row>
    <row r="2595" spans="1:9" x14ac:dyDescent="0.35">
      <c r="A2595" s="3" t="s">
        <v>3207</v>
      </c>
      <c r="B2595" s="1" t="s">
        <v>1041</v>
      </c>
      <c r="C2595" s="1" t="s">
        <v>2288</v>
      </c>
      <c r="D2595" s="1" t="s">
        <v>194</v>
      </c>
      <c r="E2595" s="1" t="s">
        <v>35</v>
      </c>
      <c r="F2595" s="2" t="s">
        <v>1364</v>
      </c>
      <c r="G2595" s="1">
        <v>327.84</v>
      </c>
      <c r="H2595" s="1">
        <v>8</v>
      </c>
      <c r="I2595" s="1">
        <v>157.36320000000001</v>
      </c>
    </row>
    <row r="2596" spans="1:9" x14ac:dyDescent="0.35">
      <c r="A2596" s="3" t="s">
        <v>3208</v>
      </c>
      <c r="B2596" s="1" t="s">
        <v>1170</v>
      </c>
      <c r="C2596" s="1" t="s">
        <v>249</v>
      </c>
      <c r="D2596" s="1" t="s">
        <v>129</v>
      </c>
      <c r="E2596" s="1" t="s">
        <v>87</v>
      </c>
      <c r="F2596" s="2" t="s">
        <v>465</v>
      </c>
      <c r="G2596" s="1">
        <v>180.96</v>
      </c>
      <c r="H2596" s="1">
        <v>2</v>
      </c>
      <c r="I2596" s="1">
        <v>81.432000000000002</v>
      </c>
    </row>
    <row r="2597" spans="1:9" x14ac:dyDescent="0.35">
      <c r="A2597" s="3" t="s">
        <v>3208</v>
      </c>
      <c r="B2597" s="1" t="s">
        <v>1170</v>
      </c>
      <c r="C2597" s="1" t="s">
        <v>249</v>
      </c>
      <c r="D2597" s="1" t="s">
        <v>129</v>
      </c>
      <c r="E2597" s="1" t="s">
        <v>35</v>
      </c>
      <c r="F2597" s="2" t="s">
        <v>1007</v>
      </c>
      <c r="G2597" s="1">
        <v>914.97</v>
      </c>
      <c r="H2597" s="1">
        <v>3</v>
      </c>
      <c r="I2597" s="1">
        <v>411.73649999999998</v>
      </c>
    </row>
    <row r="2598" spans="1:9" x14ac:dyDescent="0.35">
      <c r="A2598" s="3" t="s">
        <v>3208</v>
      </c>
      <c r="B2598" s="1" t="s">
        <v>1170</v>
      </c>
      <c r="C2598" s="1" t="s">
        <v>249</v>
      </c>
      <c r="D2598" s="1" t="s">
        <v>129</v>
      </c>
      <c r="E2598" s="1" t="s">
        <v>33</v>
      </c>
      <c r="F2598" s="2" t="s">
        <v>2289</v>
      </c>
      <c r="G2598" s="1">
        <v>587.97</v>
      </c>
      <c r="H2598" s="1">
        <v>3</v>
      </c>
      <c r="I2598" s="1">
        <v>158.75190000000001</v>
      </c>
    </row>
    <row r="2599" spans="1:9" x14ac:dyDescent="0.35">
      <c r="A2599" s="3" t="s">
        <v>3208</v>
      </c>
      <c r="B2599" s="1" t="s">
        <v>1170</v>
      </c>
      <c r="C2599" s="1" t="s">
        <v>249</v>
      </c>
      <c r="D2599" s="1" t="s">
        <v>129</v>
      </c>
      <c r="E2599" s="1" t="s">
        <v>26</v>
      </c>
      <c r="F2599" s="2" t="s">
        <v>2051</v>
      </c>
      <c r="G2599" s="1">
        <v>530.34</v>
      </c>
      <c r="H2599" s="1">
        <v>2</v>
      </c>
      <c r="I2599" s="1">
        <v>95.461200000000005</v>
      </c>
    </row>
    <row r="2600" spans="1:9" x14ac:dyDescent="0.35">
      <c r="A2600" s="3" t="s">
        <v>3208</v>
      </c>
      <c r="B2600" s="1" t="s">
        <v>1170</v>
      </c>
      <c r="C2600" s="1" t="s">
        <v>249</v>
      </c>
      <c r="D2600" s="1" t="s">
        <v>129</v>
      </c>
      <c r="E2600" s="1" t="s">
        <v>44</v>
      </c>
      <c r="F2600" s="2" t="s">
        <v>2290</v>
      </c>
      <c r="G2600" s="1">
        <v>14.94</v>
      </c>
      <c r="H2600" s="1">
        <v>3</v>
      </c>
      <c r="I2600" s="1">
        <v>7.3205999999999998</v>
      </c>
    </row>
    <row r="2601" spans="1:9" x14ac:dyDescent="0.35">
      <c r="A2601" s="3" t="s">
        <v>3209</v>
      </c>
      <c r="B2601" s="1" t="s">
        <v>366</v>
      </c>
      <c r="C2601" s="1" t="s">
        <v>135</v>
      </c>
      <c r="D2601" s="1" t="s">
        <v>136</v>
      </c>
      <c r="E2601" s="1" t="s">
        <v>37</v>
      </c>
      <c r="F2601" s="2" t="s">
        <v>2173</v>
      </c>
      <c r="G2601" s="1">
        <v>121.94</v>
      </c>
      <c r="H2601" s="1">
        <v>2</v>
      </c>
      <c r="I2601" s="1">
        <v>35.3626</v>
      </c>
    </row>
    <row r="2602" spans="1:9" x14ac:dyDescent="0.35">
      <c r="A2602" s="3" t="s">
        <v>3209</v>
      </c>
      <c r="B2602" s="1" t="s">
        <v>366</v>
      </c>
      <c r="C2602" s="1" t="s">
        <v>135</v>
      </c>
      <c r="D2602" s="1" t="s">
        <v>136</v>
      </c>
      <c r="E2602" s="1" t="s">
        <v>289</v>
      </c>
      <c r="F2602" s="2" t="s">
        <v>666</v>
      </c>
      <c r="G2602" s="1">
        <v>122.71</v>
      </c>
      <c r="H2602" s="1">
        <v>7</v>
      </c>
      <c r="I2602" s="1">
        <v>36.813000000000002</v>
      </c>
    </row>
    <row r="2603" spans="1:9" x14ac:dyDescent="0.35">
      <c r="A2603" s="3">
        <v>42466</v>
      </c>
      <c r="B2603" s="1" t="s">
        <v>2291</v>
      </c>
      <c r="C2603" s="1" t="s">
        <v>135</v>
      </c>
      <c r="D2603" s="1" t="s">
        <v>136</v>
      </c>
      <c r="E2603" s="1" t="s">
        <v>44</v>
      </c>
      <c r="F2603" s="2" t="s">
        <v>94</v>
      </c>
      <c r="G2603" s="1">
        <v>14.94</v>
      </c>
      <c r="H2603" s="1">
        <v>3</v>
      </c>
      <c r="I2603" s="1">
        <v>7.0217999999999998</v>
      </c>
    </row>
    <row r="2604" spans="1:9" x14ac:dyDescent="0.35">
      <c r="A2604" s="3">
        <v>42466</v>
      </c>
      <c r="B2604" s="1" t="s">
        <v>2291</v>
      </c>
      <c r="C2604" s="1" t="s">
        <v>135</v>
      </c>
      <c r="D2604" s="1" t="s">
        <v>136</v>
      </c>
      <c r="E2604" s="1" t="s">
        <v>338</v>
      </c>
      <c r="F2604" s="2" t="s">
        <v>2292</v>
      </c>
      <c r="G2604" s="1">
        <v>1349.85</v>
      </c>
      <c r="H2604" s="1">
        <v>3</v>
      </c>
      <c r="I2604" s="1">
        <v>364.45949999999999</v>
      </c>
    </row>
    <row r="2605" spans="1:9" x14ac:dyDescent="0.35">
      <c r="A2605" s="3">
        <v>42466</v>
      </c>
      <c r="B2605" s="1" t="s">
        <v>2291</v>
      </c>
      <c r="C2605" s="1" t="s">
        <v>135</v>
      </c>
      <c r="D2605" s="1" t="s">
        <v>136</v>
      </c>
      <c r="E2605" s="1" t="s">
        <v>12</v>
      </c>
      <c r="F2605" s="2" t="s">
        <v>1778</v>
      </c>
      <c r="G2605" s="1">
        <v>136.78399999999999</v>
      </c>
      <c r="H2605" s="1">
        <v>1</v>
      </c>
      <c r="I2605" s="1">
        <v>5.1294000000000004</v>
      </c>
    </row>
    <row r="2606" spans="1:9" x14ac:dyDescent="0.35">
      <c r="A2606" s="3">
        <v>42466</v>
      </c>
      <c r="B2606" s="1" t="s">
        <v>2291</v>
      </c>
      <c r="C2606" s="1" t="s">
        <v>135</v>
      </c>
      <c r="D2606" s="1" t="s">
        <v>136</v>
      </c>
      <c r="E2606" s="1" t="s">
        <v>29</v>
      </c>
      <c r="F2606" s="2" t="s">
        <v>1181</v>
      </c>
      <c r="G2606" s="1">
        <v>61.12</v>
      </c>
      <c r="H2606" s="1">
        <v>4</v>
      </c>
      <c r="I2606" s="1">
        <v>20.780799999999999</v>
      </c>
    </row>
    <row r="2607" spans="1:9" x14ac:dyDescent="0.35">
      <c r="A2607" s="3" t="s">
        <v>3210</v>
      </c>
      <c r="B2607" s="1" t="s">
        <v>2293</v>
      </c>
      <c r="C2607" s="1" t="s">
        <v>719</v>
      </c>
      <c r="D2607" s="1" t="s">
        <v>23</v>
      </c>
      <c r="E2607" s="1" t="s">
        <v>35</v>
      </c>
      <c r="F2607" s="2" t="s">
        <v>1786</v>
      </c>
      <c r="G2607" s="1">
        <v>1.167</v>
      </c>
      <c r="H2607" s="1">
        <v>1</v>
      </c>
      <c r="I2607" s="1">
        <v>-0.85580000000000001</v>
      </c>
    </row>
    <row r="2608" spans="1:9" x14ac:dyDescent="0.35">
      <c r="A2608" s="3">
        <v>42463</v>
      </c>
      <c r="B2608" s="1" t="s">
        <v>1614</v>
      </c>
      <c r="C2608" s="1" t="s">
        <v>461</v>
      </c>
      <c r="D2608" s="1" t="s">
        <v>18</v>
      </c>
      <c r="E2608" s="1" t="s">
        <v>31</v>
      </c>
      <c r="F2608" s="2" t="s">
        <v>2294</v>
      </c>
      <c r="G2608" s="1">
        <v>16.989999999999998</v>
      </c>
      <c r="H2608" s="1">
        <v>1</v>
      </c>
      <c r="I2608" s="1">
        <v>4.9271000000000003</v>
      </c>
    </row>
    <row r="2609" spans="1:9" x14ac:dyDescent="0.35">
      <c r="A2609" s="3" t="s">
        <v>3211</v>
      </c>
      <c r="B2609" s="1" t="s">
        <v>2024</v>
      </c>
      <c r="C2609" s="1" t="s">
        <v>540</v>
      </c>
      <c r="D2609" s="1" t="s">
        <v>52</v>
      </c>
      <c r="E2609" s="1" t="s">
        <v>81</v>
      </c>
      <c r="F2609" s="2" t="s">
        <v>2295</v>
      </c>
      <c r="G2609" s="1">
        <v>24.672000000000001</v>
      </c>
      <c r="H2609" s="1">
        <v>3</v>
      </c>
      <c r="I2609" s="1">
        <v>0</v>
      </c>
    </row>
    <row r="2610" spans="1:9" x14ac:dyDescent="0.35">
      <c r="A2610" s="3" t="s">
        <v>3211</v>
      </c>
      <c r="B2610" s="1" t="s">
        <v>2024</v>
      </c>
      <c r="C2610" s="1" t="s">
        <v>540</v>
      </c>
      <c r="D2610" s="1" t="s">
        <v>52</v>
      </c>
      <c r="E2610" s="1" t="s">
        <v>19</v>
      </c>
      <c r="F2610" s="2" t="s">
        <v>730</v>
      </c>
      <c r="G2610" s="1">
        <v>2.52</v>
      </c>
      <c r="H2610" s="1">
        <v>1</v>
      </c>
      <c r="I2610" s="1">
        <v>0.88200000000000001</v>
      </c>
    </row>
    <row r="2611" spans="1:9" x14ac:dyDescent="0.35">
      <c r="A2611" s="3" t="s">
        <v>3211</v>
      </c>
      <c r="B2611" s="1" t="s">
        <v>2024</v>
      </c>
      <c r="C2611" s="1" t="s">
        <v>540</v>
      </c>
      <c r="D2611" s="1" t="s">
        <v>52</v>
      </c>
      <c r="E2611" s="1" t="s">
        <v>24</v>
      </c>
      <c r="F2611" s="2" t="s">
        <v>25</v>
      </c>
      <c r="G2611" s="1">
        <v>1218.7349999999999</v>
      </c>
      <c r="H2611" s="1">
        <v>5</v>
      </c>
      <c r="I2611" s="1">
        <v>-121.87350000000001</v>
      </c>
    </row>
    <row r="2612" spans="1:9" x14ac:dyDescent="0.35">
      <c r="A2612" s="3" t="s">
        <v>3211</v>
      </c>
      <c r="B2612" s="1" t="s">
        <v>2024</v>
      </c>
      <c r="C2612" s="1" t="s">
        <v>540</v>
      </c>
      <c r="D2612" s="1" t="s">
        <v>52</v>
      </c>
      <c r="E2612" s="1" t="s">
        <v>19</v>
      </c>
      <c r="F2612" s="2" t="s">
        <v>2042</v>
      </c>
      <c r="G2612" s="1">
        <v>5.9039999999999999</v>
      </c>
      <c r="H2612" s="1">
        <v>2</v>
      </c>
      <c r="I2612" s="1">
        <v>1.9925999999999999</v>
      </c>
    </row>
    <row r="2613" spans="1:9" x14ac:dyDescent="0.35">
      <c r="A2613" s="3" t="s">
        <v>3211</v>
      </c>
      <c r="B2613" s="1" t="s">
        <v>2024</v>
      </c>
      <c r="C2613" s="1" t="s">
        <v>540</v>
      </c>
      <c r="D2613" s="1" t="s">
        <v>52</v>
      </c>
      <c r="E2613" s="1" t="s">
        <v>44</v>
      </c>
      <c r="F2613" s="2" t="s">
        <v>1341</v>
      </c>
      <c r="G2613" s="1">
        <v>15.696</v>
      </c>
      <c r="H2613" s="1">
        <v>3</v>
      </c>
      <c r="I2613" s="1">
        <v>5.1012000000000004</v>
      </c>
    </row>
    <row r="2614" spans="1:9" x14ac:dyDescent="0.35">
      <c r="A2614" s="3" t="s">
        <v>3211</v>
      </c>
      <c r="B2614" s="1" t="s">
        <v>2024</v>
      </c>
      <c r="C2614" s="1" t="s">
        <v>540</v>
      </c>
      <c r="D2614" s="1" t="s">
        <v>52</v>
      </c>
      <c r="E2614" s="1" t="s">
        <v>29</v>
      </c>
      <c r="F2614" s="2" t="s">
        <v>950</v>
      </c>
      <c r="G2614" s="1">
        <v>6.0960000000000001</v>
      </c>
      <c r="H2614" s="1">
        <v>3</v>
      </c>
      <c r="I2614" s="1">
        <v>-3.9624000000000001</v>
      </c>
    </row>
    <row r="2615" spans="1:9" x14ac:dyDescent="0.35">
      <c r="A2615" s="3" t="s">
        <v>3212</v>
      </c>
      <c r="B2615" s="1" t="s">
        <v>2296</v>
      </c>
      <c r="C2615" s="1" t="s">
        <v>17</v>
      </c>
      <c r="D2615" s="1" t="s">
        <v>18</v>
      </c>
      <c r="E2615" s="1" t="s">
        <v>14</v>
      </c>
      <c r="F2615" s="2" t="s">
        <v>1355</v>
      </c>
      <c r="G2615" s="1">
        <v>41.567999999999998</v>
      </c>
      <c r="H2615" s="1">
        <v>2</v>
      </c>
      <c r="I2615" s="1">
        <v>2.5979999999999999</v>
      </c>
    </row>
    <row r="2616" spans="1:9" x14ac:dyDescent="0.35">
      <c r="A2616" s="3" t="s">
        <v>3213</v>
      </c>
      <c r="B2616" s="1" t="s">
        <v>2297</v>
      </c>
      <c r="C2616" s="1" t="s">
        <v>17</v>
      </c>
      <c r="D2616" s="1" t="s">
        <v>18</v>
      </c>
      <c r="E2616" s="1" t="s">
        <v>14</v>
      </c>
      <c r="F2616" s="2" t="s">
        <v>692</v>
      </c>
      <c r="G2616" s="1">
        <v>230.28</v>
      </c>
      <c r="H2616" s="1">
        <v>3</v>
      </c>
      <c r="I2616" s="1">
        <v>23.027999999999999</v>
      </c>
    </row>
    <row r="2617" spans="1:9" x14ac:dyDescent="0.35">
      <c r="A2617" s="3" t="s">
        <v>3213</v>
      </c>
      <c r="B2617" s="1" t="s">
        <v>2297</v>
      </c>
      <c r="C2617" s="1" t="s">
        <v>17</v>
      </c>
      <c r="D2617" s="1" t="s">
        <v>18</v>
      </c>
      <c r="E2617" s="1" t="s">
        <v>35</v>
      </c>
      <c r="F2617" s="2" t="s">
        <v>90</v>
      </c>
      <c r="G2617" s="1">
        <v>18.288</v>
      </c>
      <c r="H2617" s="1">
        <v>6</v>
      </c>
      <c r="I2617" s="1">
        <v>5.7149999999999999</v>
      </c>
    </row>
    <row r="2618" spans="1:9" x14ac:dyDescent="0.35">
      <c r="A2618" s="3">
        <v>42739</v>
      </c>
      <c r="B2618" s="1" t="s">
        <v>1225</v>
      </c>
      <c r="C2618" s="1" t="s">
        <v>64</v>
      </c>
      <c r="D2618" s="1" t="s">
        <v>18</v>
      </c>
      <c r="E2618" s="1" t="s">
        <v>19</v>
      </c>
      <c r="F2618" s="2" t="s">
        <v>2298</v>
      </c>
      <c r="G2618" s="1">
        <v>5.78</v>
      </c>
      <c r="H2618" s="1">
        <v>2</v>
      </c>
      <c r="I2618" s="1">
        <v>2.7166000000000001</v>
      </c>
    </row>
    <row r="2619" spans="1:9" x14ac:dyDescent="0.35">
      <c r="A2619" s="3">
        <v>42739</v>
      </c>
      <c r="B2619" s="1" t="s">
        <v>1225</v>
      </c>
      <c r="C2619" s="1" t="s">
        <v>64</v>
      </c>
      <c r="D2619" s="1" t="s">
        <v>18</v>
      </c>
      <c r="E2619" s="1" t="s">
        <v>35</v>
      </c>
      <c r="F2619" s="2" t="s">
        <v>1174</v>
      </c>
      <c r="G2619" s="1">
        <v>121.68</v>
      </c>
      <c r="H2619" s="1">
        <v>13</v>
      </c>
      <c r="I2619" s="1">
        <v>38.024999999999999</v>
      </c>
    </row>
    <row r="2620" spans="1:9" x14ac:dyDescent="0.35">
      <c r="A2620" s="3" t="s">
        <v>3180</v>
      </c>
      <c r="B2620" s="1" t="s">
        <v>1735</v>
      </c>
      <c r="C2620" s="1" t="s">
        <v>330</v>
      </c>
      <c r="D2620" s="1" t="s">
        <v>331</v>
      </c>
      <c r="E2620" s="1" t="s">
        <v>31</v>
      </c>
      <c r="F2620" s="2" t="s">
        <v>713</v>
      </c>
      <c r="G2620" s="1">
        <v>4.17</v>
      </c>
      <c r="H2620" s="1">
        <v>3</v>
      </c>
      <c r="I2620" s="1">
        <v>1.0842000000000001</v>
      </c>
    </row>
    <row r="2621" spans="1:9" x14ac:dyDescent="0.35">
      <c r="A2621" s="3" t="s">
        <v>3180</v>
      </c>
      <c r="B2621" s="1" t="s">
        <v>1735</v>
      </c>
      <c r="C2621" s="1" t="s">
        <v>330</v>
      </c>
      <c r="D2621" s="1" t="s">
        <v>331</v>
      </c>
      <c r="E2621" s="1" t="s">
        <v>33</v>
      </c>
      <c r="F2621" s="2" t="s">
        <v>1712</v>
      </c>
      <c r="G2621" s="1">
        <v>67.040000000000006</v>
      </c>
      <c r="H2621" s="1">
        <v>4</v>
      </c>
      <c r="I2621" s="1">
        <v>6.7039999999999997</v>
      </c>
    </row>
    <row r="2622" spans="1:9" x14ac:dyDescent="0.35">
      <c r="A2622" s="3" t="s">
        <v>3180</v>
      </c>
      <c r="B2622" s="1" t="s">
        <v>1735</v>
      </c>
      <c r="C2622" s="1" t="s">
        <v>330</v>
      </c>
      <c r="D2622" s="1" t="s">
        <v>331</v>
      </c>
      <c r="E2622" s="1" t="s">
        <v>26</v>
      </c>
      <c r="F2622" s="2" t="s">
        <v>500</v>
      </c>
      <c r="G2622" s="1">
        <v>37.32</v>
      </c>
      <c r="H2622" s="1">
        <v>3</v>
      </c>
      <c r="I2622" s="1">
        <v>10.4496</v>
      </c>
    </row>
    <row r="2623" spans="1:9" x14ac:dyDescent="0.35">
      <c r="A2623" s="3" t="s">
        <v>3180</v>
      </c>
      <c r="B2623" s="1" t="s">
        <v>1735</v>
      </c>
      <c r="C2623" s="1" t="s">
        <v>330</v>
      </c>
      <c r="D2623" s="1" t="s">
        <v>331</v>
      </c>
      <c r="E2623" s="1" t="s">
        <v>19</v>
      </c>
      <c r="F2623" s="2" t="s">
        <v>1561</v>
      </c>
      <c r="G2623" s="1">
        <v>18.45</v>
      </c>
      <c r="H2623" s="1">
        <v>5</v>
      </c>
      <c r="I2623" s="1">
        <v>8.6715</v>
      </c>
    </row>
    <row r="2624" spans="1:9" x14ac:dyDescent="0.35">
      <c r="A2624" s="3">
        <v>41710</v>
      </c>
      <c r="B2624" s="1" t="s">
        <v>2299</v>
      </c>
      <c r="C2624" s="1" t="s">
        <v>2082</v>
      </c>
      <c r="D2624" s="1" t="s">
        <v>298</v>
      </c>
      <c r="E2624" s="1" t="s">
        <v>44</v>
      </c>
      <c r="F2624" s="2" t="s">
        <v>1977</v>
      </c>
      <c r="G2624" s="1">
        <v>25.92</v>
      </c>
      <c r="H2624" s="1">
        <v>4</v>
      </c>
      <c r="I2624" s="1">
        <v>12.441599999999999</v>
      </c>
    </row>
    <row r="2625" spans="1:9" x14ac:dyDescent="0.35">
      <c r="A2625" s="3" t="s">
        <v>3214</v>
      </c>
      <c r="B2625" s="1" t="s">
        <v>2300</v>
      </c>
      <c r="C2625" s="1" t="s">
        <v>135</v>
      </c>
      <c r="D2625" s="1" t="s">
        <v>136</v>
      </c>
      <c r="E2625" s="1" t="s">
        <v>579</v>
      </c>
      <c r="F2625" s="2" t="s">
        <v>2301</v>
      </c>
      <c r="G2625" s="1">
        <v>11199.968000000001</v>
      </c>
      <c r="H2625" s="1">
        <v>4</v>
      </c>
      <c r="I2625" s="1">
        <v>3919.9888000000001</v>
      </c>
    </row>
    <row r="2626" spans="1:9" x14ac:dyDescent="0.35">
      <c r="A2626" s="3" t="s">
        <v>3214</v>
      </c>
      <c r="B2626" s="1" t="s">
        <v>2300</v>
      </c>
      <c r="C2626" s="1" t="s">
        <v>135</v>
      </c>
      <c r="D2626" s="1" t="s">
        <v>136</v>
      </c>
      <c r="E2626" s="1" t="s">
        <v>33</v>
      </c>
      <c r="F2626" s="2" t="s">
        <v>1239</v>
      </c>
      <c r="G2626" s="1">
        <v>2399.6</v>
      </c>
      <c r="H2626" s="1">
        <v>8</v>
      </c>
      <c r="I2626" s="1">
        <v>647.89200000000005</v>
      </c>
    </row>
    <row r="2627" spans="1:9" x14ac:dyDescent="0.35">
      <c r="A2627" s="3" t="s">
        <v>3214</v>
      </c>
      <c r="B2627" s="1" t="s">
        <v>2300</v>
      </c>
      <c r="C2627" s="1" t="s">
        <v>135</v>
      </c>
      <c r="D2627" s="1" t="s">
        <v>136</v>
      </c>
      <c r="E2627" s="1" t="s">
        <v>87</v>
      </c>
      <c r="F2627" s="2" t="s">
        <v>264</v>
      </c>
      <c r="G2627" s="1">
        <v>63.9</v>
      </c>
      <c r="H2627" s="1">
        <v>5</v>
      </c>
      <c r="I2627" s="1">
        <v>28.754999999999999</v>
      </c>
    </row>
    <row r="2628" spans="1:9" x14ac:dyDescent="0.35">
      <c r="A2628" s="3" t="s">
        <v>3214</v>
      </c>
      <c r="B2628" s="1" t="s">
        <v>2300</v>
      </c>
      <c r="C2628" s="1" t="s">
        <v>135</v>
      </c>
      <c r="D2628" s="1" t="s">
        <v>136</v>
      </c>
      <c r="E2628" s="1" t="s">
        <v>33</v>
      </c>
      <c r="F2628" s="2" t="s">
        <v>910</v>
      </c>
      <c r="G2628" s="1">
        <v>52.99</v>
      </c>
      <c r="H2628" s="1">
        <v>1</v>
      </c>
      <c r="I2628" s="1">
        <v>0.52990000000000004</v>
      </c>
    </row>
    <row r="2629" spans="1:9" x14ac:dyDescent="0.35">
      <c r="A2629" s="3" t="s">
        <v>3165</v>
      </c>
      <c r="B2629" s="1" t="s">
        <v>474</v>
      </c>
      <c r="C2629" s="1" t="s">
        <v>162</v>
      </c>
      <c r="D2629" s="1" t="s">
        <v>250</v>
      </c>
      <c r="E2629" s="1" t="s">
        <v>81</v>
      </c>
      <c r="F2629" s="2" t="s">
        <v>818</v>
      </c>
      <c r="G2629" s="1">
        <v>60.863999999999997</v>
      </c>
      <c r="H2629" s="1">
        <v>4</v>
      </c>
      <c r="I2629" s="1">
        <v>9.1295999999999999</v>
      </c>
    </row>
    <row r="2630" spans="1:9" x14ac:dyDescent="0.35">
      <c r="A2630" s="3" t="s">
        <v>3165</v>
      </c>
      <c r="B2630" s="1" t="s">
        <v>474</v>
      </c>
      <c r="C2630" s="1" t="s">
        <v>162</v>
      </c>
      <c r="D2630" s="1" t="s">
        <v>250</v>
      </c>
      <c r="E2630" s="1" t="s">
        <v>338</v>
      </c>
      <c r="F2630" s="2" t="s">
        <v>2302</v>
      </c>
      <c r="G2630" s="1">
        <v>652.995</v>
      </c>
      <c r="H2630" s="1">
        <v>7</v>
      </c>
      <c r="I2630" s="1">
        <v>-935.95950000000005</v>
      </c>
    </row>
    <row r="2631" spans="1:9" x14ac:dyDescent="0.35">
      <c r="A2631" s="3" t="s">
        <v>3165</v>
      </c>
      <c r="B2631" s="1" t="s">
        <v>474</v>
      </c>
      <c r="C2631" s="1" t="s">
        <v>162</v>
      </c>
      <c r="D2631" s="1" t="s">
        <v>250</v>
      </c>
      <c r="E2631" s="1" t="s">
        <v>35</v>
      </c>
      <c r="F2631" s="2" t="s">
        <v>2303</v>
      </c>
      <c r="G2631" s="1">
        <v>11.22</v>
      </c>
      <c r="H2631" s="1">
        <v>10</v>
      </c>
      <c r="I2631" s="1">
        <v>-7.48</v>
      </c>
    </row>
    <row r="2632" spans="1:9" x14ac:dyDescent="0.35">
      <c r="A2632" s="3">
        <v>42286</v>
      </c>
      <c r="B2632" s="1" t="s">
        <v>1750</v>
      </c>
      <c r="C2632" s="1" t="s">
        <v>1897</v>
      </c>
      <c r="D2632" s="1" t="s">
        <v>322</v>
      </c>
      <c r="E2632" s="1" t="s">
        <v>44</v>
      </c>
      <c r="F2632" s="2" t="s">
        <v>2031</v>
      </c>
      <c r="G2632" s="1">
        <v>14.94</v>
      </c>
      <c r="H2632" s="1">
        <v>3</v>
      </c>
      <c r="I2632" s="1">
        <v>7.0217999999999998</v>
      </c>
    </row>
    <row r="2633" spans="1:9" x14ac:dyDescent="0.35">
      <c r="A2633" s="3" t="s">
        <v>3215</v>
      </c>
      <c r="B2633" s="1" t="s">
        <v>2304</v>
      </c>
      <c r="C2633" s="1" t="s">
        <v>47</v>
      </c>
      <c r="D2633" s="1" t="s">
        <v>48</v>
      </c>
      <c r="E2633" s="1" t="s">
        <v>29</v>
      </c>
      <c r="F2633" s="2" t="s">
        <v>1499</v>
      </c>
      <c r="G2633" s="1">
        <v>39.96</v>
      </c>
      <c r="H2633" s="1">
        <v>2</v>
      </c>
      <c r="I2633" s="1">
        <v>17.1828</v>
      </c>
    </row>
    <row r="2634" spans="1:9" x14ac:dyDescent="0.35">
      <c r="A2634" s="3" t="s">
        <v>3215</v>
      </c>
      <c r="B2634" s="1" t="s">
        <v>2304</v>
      </c>
      <c r="C2634" s="1" t="s">
        <v>47</v>
      </c>
      <c r="D2634" s="1" t="s">
        <v>48</v>
      </c>
      <c r="E2634" s="1" t="s">
        <v>14</v>
      </c>
      <c r="F2634" s="2" t="s">
        <v>2305</v>
      </c>
      <c r="G2634" s="1">
        <v>42.624000000000002</v>
      </c>
      <c r="H2634" s="1">
        <v>2</v>
      </c>
      <c r="I2634" s="1">
        <v>4.2624000000000004</v>
      </c>
    </row>
    <row r="2635" spans="1:9" x14ac:dyDescent="0.35">
      <c r="A2635" s="3" t="s">
        <v>3215</v>
      </c>
      <c r="B2635" s="1" t="s">
        <v>2304</v>
      </c>
      <c r="C2635" s="1" t="s">
        <v>47</v>
      </c>
      <c r="D2635" s="1" t="s">
        <v>48</v>
      </c>
      <c r="E2635" s="1" t="s">
        <v>14</v>
      </c>
      <c r="F2635" s="2" t="s">
        <v>341</v>
      </c>
      <c r="G2635" s="1">
        <v>220.96</v>
      </c>
      <c r="H2635" s="1">
        <v>1</v>
      </c>
      <c r="I2635" s="1">
        <v>24.858000000000001</v>
      </c>
    </row>
    <row r="2636" spans="1:9" x14ac:dyDescent="0.35">
      <c r="A2636" s="3">
        <v>42131</v>
      </c>
      <c r="B2636" s="1" t="s">
        <v>1921</v>
      </c>
      <c r="C2636" s="1" t="s">
        <v>796</v>
      </c>
      <c r="D2636" s="1" t="s">
        <v>43</v>
      </c>
      <c r="E2636" s="1" t="s">
        <v>29</v>
      </c>
      <c r="F2636" s="2" t="s">
        <v>2306</v>
      </c>
      <c r="G2636" s="1">
        <v>4.9279999999999999</v>
      </c>
      <c r="H2636" s="1">
        <v>2</v>
      </c>
      <c r="I2636" s="1">
        <v>0.73919999999999997</v>
      </c>
    </row>
    <row r="2637" spans="1:9" x14ac:dyDescent="0.35">
      <c r="A2637" s="3">
        <v>42131</v>
      </c>
      <c r="B2637" s="1" t="s">
        <v>1921</v>
      </c>
      <c r="C2637" s="1" t="s">
        <v>796</v>
      </c>
      <c r="D2637" s="1" t="s">
        <v>43</v>
      </c>
      <c r="E2637" s="1" t="s">
        <v>35</v>
      </c>
      <c r="F2637" s="2" t="s">
        <v>965</v>
      </c>
      <c r="G2637" s="1">
        <v>7.23</v>
      </c>
      <c r="H2637" s="1">
        <v>5</v>
      </c>
      <c r="I2637" s="1">
        <v>-5.7839999999999998</v>
      </c>
    </row>
    <row r="2638" spans="1:9" x14ac:dyDescent="0.35">
      <c r="A2638" s="3" t="s">
        <v>3216</v>
      </c>
      <c r="B2638" s="1" t="s">
        <v>2307</v>
      </c>
      <c r="C2638" s="1" t="s">
        <v>17</v>
      </c>
      <c r="D2638" s="1" t="s">
        <v>18</v>
      </c>
      <c r="E2638" s="1" t="s">
        <v>26</v>
      </c>
      <c r="F2638" s="2" t="s">
        <v>1315</v>
      </c>
      <c r="G2638" s="1">
        <v>323.10000000000002</v>
      </c>
      <c r="H2638" s="1">
        <v>2</v>
      </c>
      <c r="I2638" s="1">
        <v>61.389000000000003</v>
      </c>
    </row>
    <row r="2639" spans="1:9" x14ac:dyDescent="0.35">
      <c r="A2639" s="3">
        <v>43075</v>
      </c>
      <c r="B2639" s="1" t="s">
        <v>2308</v>
      </c>
      <c r="C2639" s="1" t="s">
        <v>135</v>
      </c>
      <c r="D2639" s="1" t="s">
        <v>136</v>
      </c>
      <c r="E2639" s="1" t="s">
        <v>44</v>
      </c>
      <c r="F2639" s="2" t="s">
        <v>2309</v>
      </c>
      <c r="G2639" s="1">
        <v>19.04</v>
      </c>
      <c r="H2639" s="1">
        <v>4</v>
      </c>
      <c r="I2639" s="1">
        <v>9.3295999999999992</v>
      </c>
    </row>
    <row r="2640" spans="1:9" x14ac:dyDescent="0.35">
      <c r="A2640" s="3">
        <v>43075</v>
      </c>
      <c r="B2640" s="1" t="s">
        <v>2308</v>
      </c>
      <c r="C2640" s="1" t="s">
        <v>135</v>
      </c>
      <c r="D2640" s="1" t="s">
        <v>136</v>
      </c>
      <c r="E2640" s="1" t="s">
        <v>35</v>
      </c>
      <c r="F2640" s="2" t="s">
        <v>928</v>
      </c>
      <c r="G2640" s="1">
        <v>13.128</v>
      </c>
      <c r="H2640" s="1">
        <v>3</v>
      </c>
      <c r="I2640" s="1">
        <v>4.2666000000000004</v>
      </c>
    </row>
    <row r="2641" spans="1:9" x14ac:dyDescent="0.35">
      <c r="A2641" s="3">
        <v>43075</v>
      </c>
      <c r="B2641" s="1" t="s">
        <v>2308</v>
      </c>
      <c r="C2641" s="1" t="s">
        <v>135</v>
      </c>
      <c r="D2641" s="1" t="s">
        <v>136</v>
      </c>
      <c r="E2641" s="1" t="s">
        <v>31</v>
      </c>
      <c r="F2641" s="2" t="s">
        <v>2310</v>
      </c>
      <c r="G2641" s="1">
        <v>64.14</v>
      </c>
      <c r="H2641" s="1">
        <v>3</v>
      </c>
      <c r="I2641" s="1">
        <v>16.676400000000001</v>
      </c>
    </row>
    <row r="2642" spans="1:9" x14ac:dyDescent="0.35">
      <c r="A2642" s="3">
        <v>43075</v>
      </c>
      <c r="B2642" s="1" t="s">
        <v>2308</v>
      </c>
      <c r="C2642" s="1" t="s">
        <v>135</v>
      </c>
      <c r="D2642" s="1" t="s">
        <v>136</v>
      </c>
      <c r="E2642" s="1" t="s">
        <v>14</v>
      </c>
      <c r="F2642" s="2" t="s">
        <v>842</v>
      </c>
      <c r="G2642" s="1">
        <v>858.24</v>
      </c>
      <c r="H2642" s="1">
        <v>4</v>
      </c>
      <c r="I2642" s="1">
        <v>143.04</v>
      </c>
    </row>
    <row r="2643" spans="1:9" x14ac:dyDescent="0.35">
      <c r="A2643" s="3" t="s">
        <v>3217</v>
      </c>
      <c r="B2643" s="1" t="s">
        <v>861</v>
      </c>
      <c r="C2643" s="1" t="s">
        <v>2311</v>
      </c>
      <c r="D2643" s="1" t="s">
        <v>797</v>
      </c>
      <c r="E2643" s="1" t="s">
        <v>81</v>
      </c>
      <c r="F2643" s="2" t="s">
        <v>1218</v>
      </c>
      <c r="G2643" s="1">
        <v>29.99</v>
      </c>
      <c r="H2643" s="1">
        <v>1</v>
      </c>
      <c r="I2643" s="1">
        <v>2.9990000000000001</v>
      </c>
    </row>
    <row r="2644" spans="1:9" x14ac:dyDescent="0.35">
      <c r="A2644" s="3" t="s">
        <v>3218</v>
      </c>
      <c r="B2644" s="1" t="s">
        <v>2036</v>
      </c>
      <c r="C2644" s="1" t="s">
        <v>228</v>
      </c>
      <c r="D2644" s="1" t="s">
        <v>106</v>
      </c>
      <c r="E2644" s="1" t="s">
        <v>44</v>
      </c>
      <c r="F2644" s="2" t="s">
        <v>1628</v>
      </c>
      <c r="G2644" s="1">
        <v>186.048</v>
      </c>
      <c r="H2644" s="1">
        <v>6</v>
      </c>
      <c r="I2644" s="1">
        <v>67.442400000000006</v>
      </c>
    </row>
    <row r="2645" spans="1:9" x14ac:dyDescent="0.35">
      <c r="A2645" s="3" t="s">
        <v>3219</v>
      </c>
      <c r="B2645" s="1" t="s">
        <v>1488</v>
      </c>
      <c r="C2645" s="1" t="s">
        <v>1912</v>
      </c>
      <c r="D2645" s="1" t="s">
        <v>43</v>
      </c>
      <c r="E2645" s="1" t="s">
        <v>33</v>
      </c>
      <c r="F2645" s="2" t="s">
        <v>929</v>
      </c>
      <c r="G2645" s="1">
        <v>36.792000000000002</v>
      </c>
      <c r="H2645" s="1">
        <v>1</v>
      </c>
      <c r="I2645" s="1">
        <v>4.1391</v>
      </c>
    </row>
    <row r="2646" spans="1:9" x14ac:dyDescent="0.35">
      <c r="A2646" s="3" t="s">
        <v>3219</v>
      </c>
      <c r="B2646" s="1" t="s">
        <v>1488</v>
      </c>
      <c r="C2646" s="1" t="s">
        <v>1912</v>
      </c>
      <c r="D2646" s="1" t="s">
        <v>43</v>
      </c>
      <c r="E2646" s="1" t="s">
        <v>29</v>
      </c>
      <c r="F2646" s="2" t="s">
        <v>732</v>
      </c>
      <c r="G2646" s="1">
        <v>18.623999999999999</v>
      </c>
      <c r="H2646" s="1">
        <v>8</v>
      </c>
      <c r="I2646" s="1">
        <v>6.2855999999999996</v>
      </c>
    </row>
    <row r="2647" spans="1:9" x14ac:dyDescent="0.35">
      <c r="A2647" s="3">
        <v>41829</v>
      </c>
      <c r="B2647" s="1" t="s">
        <v>1720</v>
      </c>
      <c r="C2647" s="1" t="s">
        <v>1897</v>
      </c>
      <c r="D2647" s="1" t="s">
        <v>322</v>
      </c>
      <c r="E2647" s="1" t="s">
        <v>29</v>
      </c>
      <c r="F2647" s="2" t="s">
        <v>2312</v>
      </c>
      <c r="G2647" s="1">
        <v>57.69</v>
      </c>
      <c r="H2647" s="1">
        <v>3</v>
      </c>
      <c r="I2647" s="1">
        <v>23.652899999999999</v>
      </c>
    </row>
    <row r="2648" spans="1:9" x14ac:dyDescent="0.35">
      <c r="A2648" s="3">
        <v>41829</v>
      </c>
      <c r="B2648" s="1" t="s">
        <v>1720</v>
      </c>
      <c r="C2648" s="1" t="s">
        <v>1897</v>
      </c>
      <c r="D2648" s="1" t="s">
        <v>322</v>
      </c>
      <c r="E2648" s="1" t="s">
        <v>35</v>
      </c>
      <c r="F2648" s="2" t="s">
        <v>2313</v>
      </c>
      <c r="G2648" s="1">
        <v>42.81</v>
      </c>
      <c r="H2648" s="1">
        <v>3</v>
      </c>
      <c r="I2648" s="1">
        <v>20.120699999999999</v>
      </c>
    </row>
    <row r="2649" spans="1:9" x14ac:dyDescent="0.35">
      <c r="A2649" s="3">
        <v>41829</v>
      </c>
      <c r="B2649" s="1" t="s">
        <v>1720</v>
      </c>
      <c r="C2649" s="1" t="s">
        <v>1897</v>
      </c>
      <c r="D2649" s="1" t="s">
        <v>322</v>
      </c>
      <c r="E2649" s="1" t="s">
        <v>44</v>
      </c>
      <c r="F2649" s="2" t="s">
        <v>2314</v>
      </c>
      <c r="G2649" s="1">
        <v>12.96</v>
      </c>
      <c r="H2649" s="1">
        <v>2</v>
      </c>
      <c r="I2649" s="1">
        <v>6.2207999999999997</v>
      </c>
    </row>
    <row r="2650" spans="1:9" x14ac:dyDescent="0.35">
      <c r="A2650" s="3">
        <v>41829</v>
      </c>
      <c r="B2650" s="1" t="s">
        <v>1720</v>
      </c>
      <c r="C2650" s="1" t="s">
        <v>1897</v>
      </c>
      <c r="D2650" s="1" t="s">
        <v>322</v>
      </c>
      <c r="E2650" s="1" t="s">
        <v>29</v>
      </c>
      <c r="F2650" s="2" t="s">
        <v>2266</v>
      </c>
      <c r="G2650" s="1">
        <v>821.88</v>
      </c>
      <c r="H2650" s="1">
        <v>6</v>
      </c>
      <c r="I2650" s="1">
        <v>213.68879999999999</v>
      </c>
    </row>
    <row r="2651" spans="1:9" x14ac:dyDescent="0.35">
      <c r="A2651" s="3">
        <v>41829</v>
      </c>
      <c r="B2651" s="1" t="s">
        <v>1720</v>
      </c>
      <c r="C2651" s="1" t="s">
        <v>1897</v>
      </c>
      <c r="D2651" s="1" t="s">
        <v>322</v>
      </c>
      <c r="E2651" s="1" t="s">
        <v>33</v>
      </c>
      <c r="F2651" s="2" t="s">
        <v>307</v>
      </c>
      <c r="G2651" s="1">
        <v>104.85</v>
      </c>
      <c r="H2651" s="1">
        <v>3</v>
      </c>
      <c r="I2651" s="1">
        <v>28.3095</v>
      </c>
    </row>
    <row r="2652" spans="1:9" x14ac:dyDescent="0.35">
      <c r="A2652" s="3" t="s">
        <v>3220</v>
      </c>
      <c r="B2652" s="1" t="s">
        <v>292</v>
      </c>
      <c r="C2652" s="1" t="s">
        <v>562</v>
      </c>
      <c r="D2652" s="1" t="s">
        <v>18</v>
      </c>
      <c r="E2652" s="1" t="s">
        <v>12</v>
      </c>
      <c r="F2652" s="2" t="s">
        <v>1512</v>
      </c>
      <c r="G2652" s="1">
        <v>424.95749999999998</v>
      </c>
      <c r="H2652" s="1">
        <v>5</v>
      </c>
      <c r="I2652" s="1">
        <v>19.998000000000001</v>
      </c>
    </row>
    <row r="2653" spans="1:9" x14ac:dyDescent="0.35">
      <c r="A2653" s="3" t="s">
        <v>3221</v>
      </c>
      <c r="B2653" s="1" t="s">
        <v>531</v>
      </c>
      <c r="C2653" s="1" t="s">
        <v>1617</v>
      </c>
      <c r="D2653" s="1" t="s">
        <v>61</v>
      </c>
      <c r="E2653" s="1" t="s">
        <v>35</v>
      </c>
      <c r="F2653" s="2" t="s">
        <v>581</v>
      </c>
      <c r="G2653" s="1">
        <v>10.776</v>
      </c>
      <c r="H2653" s="1">
        <v>3</v>
      </c>
      <c r="I2653" s="1">
        <v>3.5022000000000002</v>
      </c>
    </row>
    <row r="2654" spans="1:9" x14ac:dyDescent="0.35">
      <c r="A2654" s="3" t="s">
        <v>3221</v>
      </c>
      <c r="B2654" s="1" t="s">
        <v>531</v>
      </c>
      <c r="C2654" s="1" t="s">
        <v>1617</v>
      </c>
      <c r="D2654" s="1" t="s">
        <v>61</v>
      </c>
      <c r="E2654" s="1" t="s">
        <v>35</v>
      </c>
      <c r="F2654" s="2" t="s">
        <v>1209</v>
      </c>
      <c r="G2654" s="1">
        <v>11.784000000000001</v>
      </c>
      <c r="H2654" s="1">
        <v>3</v>
      </c>
      <c r="I2654" s="1">
        <v>4.2717000000000001</v>
      </c>
    </row>
    <row r="2655" spans="1:9" x14ac:dyDescent="0.35">
      <c r="A2655" s="3" t="s">
        <v>3221</v>
      </c>
      <c r="B2655" s="1" t="s">
        <v>531</v>
      </c>
      <c r="C2655" s="1" t="s">
        <v>1617</v>
      </c>
      <c r="D2655" s="1" t="s">
        <v>61</v>
      </c>
      <c r="E2655" s="1" t="s">
        <v>44</v>
      </c>
      <c r="F2655" s="2" t="s">
        <v>2315</v>
      </c>
      <c r="G2655" s="1">
        <v>164.88</v>
      </c>
      <c r="H2655" s="1">
        <v>3</v>
      </c>
      <c r="I2655" s="1">
        <v>80.791200000000003</v>
      </c>
    </row>
    <row r="2656" spans="1:9" x14ac:dyDescent="0.35">
      <c r="A2656" s="3" t="s">
        <v>3221</v>
      </c>
      <c r="B2656" s="1" t="s">
        <v>531</v>
      </c>
      <c r="C2656" s="1" t="s">
        <v>1617</v>
      </c>
      <c r="D2656" s="1" t="s">
        <v>61</v>
      </c>
      <c r="E2656" s="1" t="s">
        <v>12</v>
      </c>
      <c r="F2656" s="2" t="s">
        <v>2316</v>
      </c>
      <c r="G2656" s="1">
        <v>1292.94</v>
      </c>
      <c r="H2656" s="1">
        <v>3</v>
      </c>
      <c r="I2656" s="1">
        <v>77.576400000000007</v>
      </c>
    </row>
    <row r="2657" spans="1:9" x14ac:dyDescent="0.35">
      <c r="A2657" s="3" t="s">
        <v>3221</v>
      </c>
      <c r="B2657" s="1" t="s">
        <v>531</v>
      </c>
      <c r="C2657" s="1" t="s">
        <v>1617</v>
      </c>
      <c r="D2657" s="1" t="s">
        <v>61</v>
      </c>
      <c r="E2657" s="1" t="s">
        <v>35</v>
      </c>
      <c r="F2657" s="2" t="s">
        <v>2317</v>
      </c>
      <c r="G2657" s="1">
        <v>25.584</v>
      </c>
      <c r="H2657" s="1">
        <v>2</v>
      </c>
      <c r="I2657" s="1">
        <v>8.9543999999999997</v>
      </c>
    </row>
    <row r="2658" spans="1:9" x14ac:dyDescent="0.35">
      <c r="A2658" s="3" t="s">
        <v>3221</v>
      </c>
      <c r="B2658" s="1" t="s">
        <v>531</v>
      </c>
      <c r="C2658" s="1" t="s">
        <v>1617</v>
      </c>
      <c r="D2658" s="1" t="s">
        <v>61</v>
      </c>
      <c r="E2658" s="1" t="s">
        <v>26</v>
      </c>
      <c r="F2658" s="2" t="s">
        <v>948</v>
      </c>
      <c r="G2658" s="1">
        <v>261.74</v>
      </c>
      <c r="H2658" s="1">
        <v>2</v>
      </c>
      <c r="I2658" s="1">
        <v>65.435000000000002</v>
      </c>
    </row>
    <row r="2659" spans="1:9" x14ac:dyDescent="0.35">
      <c r="A2659" s="3" t="s">
        <v>3221</v>
      </c>
      <c r="B2659" s="1" t="s">
        <v>531</v>
      </c>
      <c r="C2659" s="1" t="s">
        <v>1617</v>
      </c>
      <c r="D2659" s="1" t="s">
        <v>61</v>
      </c>
      <c r="E2659" s="1" t="s">
        <v>19</v>
      </c>
      <c r="F2659" s="2" t="s">
        <v>1339</v>
      </c>
      <c r="G2659" s="1">
        <v>14.4</v>
      </c>
      <c r="H2659" s="1">
        <v>5</v>
      </c>
      <c r="I2659" s="1">
        <v>7.056</v>
      </c>
    </row>
    <row r="2660" spans="1:9" x14ac:dyDescent="0.35">
      <c r="A2660" s="3" t="s">
        <v>3222</v>
      </c>
      <c r="B2660" s="1" t="s">
        <v>55</v>
      </c>
      <c r="C2660" s="1" t="s">
        <v>64</v>
      </c>
      <c r="D2660" s="1" t="s">
        <v>18</v>
      </c>
      <c r="E2660" s="1" t="s">
        <v>87</v>
      </c>
      <c r="F2660" s="2" t="s">
        <v>294</v>
      </c>
      <c r="G2660" s="1">
        <v>10.86</v>
      </c>
      <c r="H2660" s="1">
        <v>3</v>
      </c>
      <c r="I2660" s="1">
        <v>5.1041999999999996</v>
      </c>
    </row>
    <row r="2661" spans="1:9" x14ac:dyDescent="0.35">
      <c r="A2661" s="3" t="s">
        <v>3223</v>
      </c>
      <c r="B2661" s="1" t="s">
        <v>1469</v>
      </c>
      <c r="C2661" s="1" t="s">
        <v>157</v>
      </c>
      <c r="D2661" s="1" t="s">
        <v>158</v>
      </c>
      <c r="E2661" s="1" t="s">
        <v>14</v>
      </c>
      <c r="F2661" s="2" t="s">
        <v>341</v>
      </c>
      <c r="G2661" s="1">
        <v>883.84</v>
      </c>
      <c r="H2661" s="1">
        <v>4</v>
      </c>
      <c r="I2661" s="1">
        <v>99.432000000000002</v>
      </c>
    </row>
    <row r="2662" spans="1:9" x14ac:dyDescent="0.35">
      <c r="A2662" s="3" t="s">
        <v>3224</v>
      </c>
      <c r="B2662" s="1" t="s">
        <v>1356</v>
      </c>
      <c r="C2662" s="1" t="s">
        <v>135</v>
      </c>
      <c r="D2662" s="1" t="s">
        <v>136</v>
      </c>
      <c r="E2662" s="1" t="s">
        <v>33</v>
      </c>
      <c r="F2662" s="2" t="s">
        <v>2318</v>
      </c>
      <c r="G2662" s="1">
        <v>1979.89</v>
      </c>
      <c r="H2662" s="1">
        <v>11</v>
      </c>
      <c r="I2662" s="1">
        <v>494.97250000000003</v>
      </c>
    </row>
    <row r="2663" spans="1:9" x14ac:dyDescent="0.35">
      <c r="A2663" s="3" t="s">
        <v>3224</v>
      </c>
      <c r="B2663" s="1" t="s">
        <v>1356</v>
      </c>
      <c r="C2663" s="1" t="s">
        <v>135</v>
      </c>
      <c r="D2663" s="1" t="s">
        <v>136</v>
      </c>
      <c r="E2663" s="1" t="s">
        <v>87</v>
      </c>
      <c r="F2663" s="2" t="s">
        <v>1495</v>
      </c>
      <c r="G2663" s="1">
        <v>79.959999999999994</v>
      </c>
      <c r="H2663" s="1">
        <v>2</v>
      </c>
      <c r="I2663" s="1">
        <v>35.981999999999999</v>
      </c>
    </row>
    <row r="2664" spans="1:9" x14ac:dyDescent="0.35">
      <c r="A2664" s="3" t="s">
        <v>3225</v>
      </c>
      <c r="B2664" s="1" t="s">
        <v>2319</v>
      </c>
      <c r="C2664" s="1" t="s">
        <v>162</v>
      </c>
      <c r="D2664" s="1" t="s">
        <v>298</v>
      </c>
      <c r="E2664" s="1" t="s">
        <v>35</v>
      </c>
      <c r="F2664" s="2" t="s">
        <v>472</v>
      </c>
      <c r="G2664" s="1">
        <v>8.76</v>
      </c>
      <c r="H2664" s="1">
        <v>2</v>
      </c>
      <c r="I2664" s="1">
        <v>4.2047999999999996</v>
      </c>
    </row>
    <row r="2665" spans="1:9" x14ac:dyDescent="0.35">
      <c r="A2665" s="3">
        <v>42374</v>
      </c>
      <c r="B2665" s="1" t="s">
        <v>1839</v>
      </c>
      <c r="C2665" s="1" t="s">
        <v>170</v>
      </c>
      <c r="D2665" s="1" t="s">
        <v>171</v>
      </c>
      <c r="E2665" s="1" t="s">
        <v>19</v>
      </c>
      <c r="F2665" s="2" t="s">
        <v>1124</v>
      </c>
      <c r="G2665" s="1">
        <v>3.984</v>
      </c>
      <c r="H2665" s="1">
        <v>1</v>
      </c>
      <c r="I2665" s="1">
        <v>1.2948</v>
      </c>
    </row>
    <row r="2666" spans="1:9" x14ac:dyDescent="0.35">
      <c r="A2666" s="3">
        <v>42374</v>
      </c>
      <c r="B2666" s="1" t="s">
        <v>1839</v>
      </c>
      <c r="C2666" s="1" t="s">
        <v>170</v>
      </c>
      <c r="D2666" s="1" t="s">
        <v>171</v>
      </c>
      <c r="E2666" s="1" t="s">
        <v>24</v>
      </c>
      <c r="F2666" s="2" t="s">
        <v>270</v>
      </c>
      <c r="G2666" s="1">
        <v>370.62</v>
      </c>
      <c r="H2666" s="1">
        <v>3</v>
      </c>
      <c r="I2666" s="1">
        <v>-142.071</v>
      </c>
    </row>
    <row r="2667" spans="1:9" x14ac:dyDescent="0.35">
      <c r="A2667" s="3">
        <v>42374</v>
      </c>
      <c r="B2667" s="1" t="s">
        <v>1839</v>
      </c>
      <c r="C2667" s="1" t="s">
        <v>170</v>
      </c>
      <c r="D2667" s="1" t="s">
        <v>171</v>
      </c>
      <c r="E2667" s="1" t="s">
        <v>35</v>
      </c>
      <c r="F2667" s="2" t="s">
        <v>1990</v>
      </c>
      <c r="G2667" s="1">
        <v>2.742</v>
      </c>
      <c r="H2667" s="1">
        <v>2</v>
      </c>
      <c r="I2667" s="1">
        <v>-2.0108000000000001</v>
      </c>
    </row>
    <row r="2668" spans="1:9" x14ac:dyDescent="0.35">
      <c r="A2668" s="3">
        <v>42379</v>
      </c>
      <c r="B2668" s="1" t="s">
        <v>2320</v>
      </c>
      <c r="C2668" s="1" t="s">
        <v>757</v>
      </c>
      <c r="D2668" s="1" t="s">
        <v>52</v>
      </c>
      <c r="E2668" s="1" t="s">
        <v>81</v>
      </c>
      <c r="F2668" s="2" t="s">
        <v>833</v>
      </c>
      <c r="G2668" s="1">
        <v>79.512</v>
      </c>
      <c r="H2668" s="1">
        <v>3</v>
      </c>
      <c r="I2668" s="1">
        <v>20.8719</v>
      </c>
    </row>
    <row r="2669" spans="1:9" x14ac:dyDescent="0.35">
      <c r="A2669" s="3">
        <v>42379</v>
      </c>
      <c r="B2669" s="1" t="s">
        <v>2320</v>
      </c>
      <c r="C2669" s="1" t="s">
        <v>757</v>
      </c>
      <c r="D2669" s="1" t="s">
        <v>52</v>
      </c>
      <c r="E2669" s="1" t="s">
        <v>44</v>
      </c>
      <c r="F2669" s="2" t="s">
        <v>94</v>
      </c>
      <c r="G2669" s="1">
        <v>28.352</v>
      </c>
      <c r="H2669" s="1">
        <v>1</v>
      </c>
      <c r="I2669" s="1">
        <v>9.5687999999999995</v>
      </c>
    </row>
    <row r="2670" spans="1:9" x14ac:dyDescent="0.35">
      <c r="A2670" s="3" t="s">
        <v>3226</v>
      </c>
      <c r="B2670" s="1" t="s">
        <v>2321</v>
      </c>
      <c r="C2670" s="1" t="s">
        <v>17</v>
      </c>
      <c r="D2670" s="1" t="s">
        <v>18</v>
      </c>
      <c r="E2670" s="1" t="s">
        <v>14</v>
      </c>
      <c r="F2670" s="2" t="s">
        <v>76</v>
      </c>
      <c r="G2670" s="1">
        <v>40.783999999999999</v>
      </c>
      <c r="H2670" s="1">
        <v>1</v>
      </c>
      <c r="I2670" s="1">
        <v>4.5881999999999996</v>
      </c>
    </row>
    <row r="2671" spans="1:9" x14ac:dyDescent="0.35">
      <c r="A2671" s="3" t="s">
        <v>3226</v>
      </c>
      <c r="B2671" s="1" t="s">
        <v>2321</v>
      </c>
      <c r="C2671" s="1" t="s">
        <v>17</v>
      </c>
      <c r="D2671" s="1" t="s">
        <v>18</v>
      </c>
      <c r="E2671" s="1" t="s">
        <v>37</v>
      </c>
      <c r="F2671" s="2" t="s">
        <v>2118</v>
      </c>
      <c r="G2671" s="1">
        <v>105.96</v>
      </c>
      <c r="H2671" s="1">
        <v>4</v>
      </c>
      <c r="I2671" s="1">
        <v>29.668800000000001</v>
      </c>
    </row>
    <row r="2672" spans="1:9" x14ac:dyDescent="0.35">
      <c r="A2672" s="3">
        <v>41891</v>
      </c>
      <c r="B2672" s="1" t="s">
        <v>2322</v>
      </c>
      <c r="C2672" s="1" t="s">
        <v>591</v>
      </c>
      <c r="D2672" s="1" t="s">
        <v>592</v>
      </c>
      <c r="E2672" s="1" t="s">
        <v>44</v>
      </c>
      <c r="F2672" s="2" t="s">
        <v>347</v>
      </c>
      <c r="G2672" s="1">
        <v>166.44</v>
      </c>
      <c r="H2672" s="1">
        <v>3</v>
      </c>
      <c r="I2672" s="1">
        <v>79.891199999999998</v>
      </c>
    </row>
    <row r="2673" spans="1:9" x14ac:dyDescent="0.35">
      <c r="A2673" s="3">
        <v>41891</v>
      </c>
      <c r="B2673" s="1" t="s">
        <v>2322</v>
      </c>
      <c r="C2673" s="1" t="s">
        <v>591</v>
      </c>
      <c r="D2673" s="1" t="s">
        <v>592</v>
      </c>
      <c r="E2673" s="1" t="s">
        <v>14</v>
      </c>
      <c r="F2673" s="2" t="s">
        <v>2323</v>
      </c>
      <c r="G2673" s="1">
        <v>785.88</v>
      </c>
      <c r="H2673" s="1">
        <v>6</v>
      </c>
      <c r="I2673" s="1">
        <v>212.1876</v>
      </c>
    </row>
    <row r="2674" spans="1:9" x14ac:dyDescent="0.35">
      <c r="A2674" s="3">
        <v>41891</v>
      </c>
      <c r="B2674" s="1" t="s">
        <v>2322</v>
      </c>
      <c r="C2674" s="1" t="s">
        <v>591</v>
      </c>
      <c r="D2674" s="1" t="s">
        <v>592</v>
      </c>
      <c r="E2674" s="1" t="s">
        <v>44</v>
      </c>
      <c r="F2674" s="2" t="s">
        <v>2324</v>
      </c>
      <c r="G2674" s="1">
        <v>26.2</v>
      </c>
      <c r="H2674" s="1">
        <v>2</v>
      </c>
      <c r="I2674" s="1">
        <v>12.837999999999999</v>
      </c>
    </row>
    <row r="2675" spans="1:9" x14ac:dyDescent="0.35">
      <c r="A2675" s="3">
        <v>41891</v>
      </c>
      <c r="B2675" s="1" t="s">
        <v>2322</v>
      </c>
      <c r="C2675" s="1" t="s">
        <v>591</v>
      </c>
      <c r="D2675" s="1" t="s">
        <v>592</v>
      </c>
      <c r="E2675" s="1" t="s">
        <v>26</v>
      </c>
      <c r="F2675" s="2" t="s">
        <v>2051</v>
      </c>
      <c r="G2675" s="1">
        <v>1325.85</v>
      </c>
      <c r="H2675" s="1">
        <v>5</v>
      </c>
      <c r="I2675" s="1">
        <v>238.65299999999999</v>
      </c>
    </row>
    <row r="2676" spans="1:9" x14ac:dyDescent="0.35">
      <c r="A2676" s="3">
        <v>42806</v>
      </c>
      <c r="B2676" s="1" t="s">
        <v>2325</v>
      </c>
      <c r="C2676" s="1" t="s">
        <v>461</v>
      </c>
      <c r="D2676" s="1" t="s">
        <v>18</v>
      </c>
      <c r="E2676" s="1" t="s">
        <v>44</v>
      </c>
      <c r="F2676" s="2" t="s">
        <v>2053</v>
      </c>
      <c r="G2676" s="1">
        <v>166.44</v>
      </c>
      <c r="H2676" s="1">
        <v>3</v>
      </c>
      <c r="I2676" s="1">
        <v>79.891199999999998</v>
      </c>
    </row>
    <row r="2677" spans="1:9" x14ac:dyDescent="0.35">
      <c r="A2677" s="3" t="s">
        <v>3227</v>
      </c>
      <c r="B2677" s="1" t="s">
        <v>577</v>
      </c>
      <c r="C2677" s="1" t="s">
        <v>1121</v>
      </c>
      <c r="D2677" s="1" t="s">
        <v>43</v>
      </c>
      <c r="E2677" s="1" t="s">
        <v>31</v>
      </c>
      <c r="F2677" s="2" t="s">
        <v>1526</v>
      </c>
      <c r="G2677" s="1">
        <v>8.76</v>
      </c>
      <c r="H2677" s="1">
        <v>5</v>
      </c>
      <c r="I2677" s="1">
        <v>0.76649999999999996</v>
      </c>
    </row>
    <row r="2678" spans="1:9" x14ac:dyDescent="0.35">
      <c r="A2678" s="3" t="s">
        <v>3227</v>
      </c>
      <c r="B2678" s="1" t="s">
        <v>577</v>
      </c>
      <c r="C2678" s="1" t="s">
        <v>1121</v>
      </c>
      <c r="D2678" s="1" t="s">
        <v>43</v>
      </c>
      <c r="E2678" s="1" t="s">
        <v>37</v>
      </c>
      <c r="F2678" s="2" t="s">
        <v>2176</v>
      </c>
      <c r="G2678" s="1">
        <v>43.584000000000003</v>
      </c>
      <c r="H2678" s="1">
        <v>1</v>
      </c>
      <c r="I2678" s="1">
        <v>4.3583999999999996</v>
      </c>
    </row>
    <row r="2679" spans="1:9" x14ac:dyDescent="0.35">
      <c r="A2679" s="3" t="s">
        <v>3228</v>
      </c>
      <c r="B2679" s="1" t="s">
        <v>2326</v>
      </c>
      <c r="C2679" s="1" t="s">
        <v>1551</v>
      </c>
      <c r="D2679" s="1" t="s">
        <v>229</v>
      </c>
      <c r="E2679" s="1" t="s">
        <v>35</v>
      </c>
      <c r="F2679" s="2" t="s">
        <v>1819</v>
      </c>
      <c r="G2679" s="1">
        <v>11.087999999999999</v>
      </c>
      <c r="H2679" s="1">
        <v>7</v>
      </c>
      <c r="I2679" s="1">
        <v>-8.1311999999999998</v>
      </c>
    </row>
    <row r="2680" spans="1:9" x14ac:dyDescent="0.35">
      <c r="A2680" s="3" t="s">
        <v>3228</v>
      </c>
      <c r="B2680" s="1" t="s">
        <v>2326</v>
      </c>
      <c r="C2680" s="1" t="s">
        <v>1551</v>
      </c>
      <c r="D2680" s="1" t="s">
        <v>229</v>
      </c>
      <c r="E2680" s="1" t="s">
        <v>35</v>
      </c>
      <c r="F2680" s="2" t="s">
        <v>1270</v>
      </c>
      <c r="G2680" s="1">
        <v>25.164000000000001</v>
      </c>
      <c r="H2680" s="1">
        <v>2</v>
      </c>
      <c r="I2680" s="1">
        <v>-16.776</v>
      </c>
    </row>
    <row r="2681" spans="1:9" x14ac:dyDescent="0.35">
      <c r="A2681" s="3" t="s">
        <v>3229</v>
      </c>
      <c r="B2681" s="1" t="s">
        <v>1516</v>
      </c>
      <c r="C2681" s="1" t="s">
        <v>167</v>
      </c>
      <c r="D2681" s="1" t="s">
        <v>120</v>
      </c>
      <c r="E2681" s="1" t="s">
        <v>35</v>
      </c>
      <c r="F2681" s="2" t="s">
        <v>1083</v>
      </c>
      <c r="G2681" s="1">
        <v>14.4</v>
      </c>
      <c r="H2681" s="1">
        <v>5</v>
      </c>
      <c r="I2681" s="1">
        <v>7.056</v>
      </c>
    </row>
    <row r="2682" spans="1:9" x14ac:dyDescent="0.35">
      <c r="A2682" s="3" t="s">
        <v>3229</v>
      </c>
      <c r="B2682" s="1" t="s">
        <v>1516</v>
      </c>
      <c r="C2682" s="1" t="s">
        <v>167</v>
      </c>
      <c r="D2682" s="1" t="s">
        <v>120</v>
      </c>
      <c r="E2682" s="1" t="s">
        <v>81</v>
      </c>
      <c r="F2682" s="2" t="s">
        <v>1207</v>
      </c>
      <c r="G2682" s="1">
        <v>619.95000000000005</v>
      </c>
      <c r="H2682" s="1">
        <v>5</v>
      </c>
      <c r="I2682" s="1">
        <v>111.59099999999999</v>
      </c>
    </row>
    <row r="2683" spans="1:9" x14ac:dyDescent="0.35">
      <c r="A2683" s="3" t="s">
        <v>3229</v>
      </c>
      <c r="B2683" s="1" t="s">
        <v>1516</v>
      </c>
      <c r="C2683" s="1" t="s">
        <v>167</v>
      </c>
      <c r="D2683" s="1" t="s">
        <v>120</v>
      </c>
      <c r="E2683" s="1" t="s">
        <v>35</v>
      </c>
      <c r="F2683" s="2" t="s">
        <v>2327</v>
      </c>
      <c r="G2683" s="1">
        <v>89.52</v>
      </c>
      <c r="H2683" s="1">
        <v>4</v>
      </c>
      <c r="I2683" s="1">
        <v>42.074399999999997</v>
      </c>
    </row>
    <row r="2684" spans="1:9" x14ac:dyDescent="0.35">
      <c r="A2684" s="3" t="s">
        <v>3229</v>
      </c>
      <c r="B2684" s="1" t="s">
        <v>1516</v>
      </c>
      <c r="C2684" s="1" t="s">
        <v>167</v>
      </c>
      <c r="D2684" s="1" t="s">
        <v>120</v>
      </c>
      <c r="E2684" s="1" t="s">
        <v>338</v>
      </c>
      <c r="F2684" s="2" t="s">
        <v>2328</v>
      </c>
      <c r="G2684" s="1">
        <v>350.97300000000001</v>
      </c>
      <c r="H2684" s="1">
        <v>3</v>
      </c>
      <c r="I2684" s="1">
        <v>152.0883</v>
      </c>
    </row>
    <row r="2685" spans="1:9" x14ac:dyDescent="0.35">
      <c r="A2685" s="3" t="s">
        <v>3229</v>
      </c>
      <c r="B2685" s="1" t="s">
        <v>1516</v>
      </c>
      <c r="C2685" s="1" t="s">
        <v>167</v>
      </c>
      <c r="D2685" s="1" t="s">
        <v>120</v>
      </c>
      <c r="E2685" s="1" t="s">
        <v>33</v>
      </c>
      <c r="F2685" s="2" t="s">
        <v>2329</v>
      </c>
      <c r="G2685" s="1">
        <v>164.99</v>
      </c>
      <c r="H2685" s="1">
        <v>1</v>
      </c>
      <c r="I2685" s="1">
        <v>49.497</v>
      </c>
    </row>
    <row r="2686" spans="1:9" x14ac:dyDescent="0.35">
      <c r="A2686" s="3" t="s">
        <v>3230</v>
      </c>
      <c r="B2686" s="1" t="s">
        <v>2022</v>
      </c>
      <c r="C2686" s="1" t="s">
        <v>17</v>
      </c>
      <c r="D2686" s="1" t="s">
        <v>18</v>
      </c>
      <c r="E2686" s="1" t="s">
        <v>35</v>
      </c>
      <c r="F2686" s="2" t="s">
        <v>2179</v>
      </c>
      <c r="G2686" s="1">
        <v>312.55200000000002</v>
      </c>
      <c r="H2686" s="1">
        <v>9</v>
      </c>
      <c r="I2686" s="1">
        <v>101.57940000000001</v>
      </c>
    </row>
    <row r="2687" spans="1:9" x14ac:dyDescent="0.35">
      <c r="A2687" s="3">
        <v>42530</v>
      </c>
      <c r="B2687" s="1" t="s">
        <v>205</v>
      </c>
      <c r="C2687" s="1" t="s">
        <v>1693</v>
      </c>
      <c r="D2687" s="1" t="s">
        <v>43</v>
      </c>
      <c r="E2687" s="1" t="s">
        <v>87</v>
      </c>
      <c r="F2687" s="2" t="s">
        <v>1495</v>
      </c>
      <c r="G2687" s="1">
        <v>95.951999999999998</v>
      </c>
      <c r="H2687" s="1">
        <v>3</v>
      </c>
      <c r="I2687" s="1">
        <v>29.984999999999999</v>
      </c>
    </row>
    <row r="2688" spans="1:9" x14ac:dyDescent="0.35">
      <c r="A2688" s="3">
        <v>42530</v>
      </c>
      <c r="B2688" s="1" t="s">
        <v>205</v>
      </c>
      <c r="C2688" s="1" t="s">
        <v>1693</v>
      </c>
      <c r="D2688" s="1" t="s">
        <v>43</v>
      </c>
      <c r="E2688" s="1" t="s">
        <v>35</v>
      </c>
      <c r="F2688" s="2" t="s">
        <v>1484</v>
      </c>
      <c r="G2688" s="1">
        <v>3.2040000000000002</v>
      </c>
      <c r="H2688" s="1">
        <v>2</v>
      </c>
      <c r="I2688" s="1">
        <v>-2.4563999999999999</v>
      </c>
    </row>
    <row r="2689" spans="1:9" x14ac:dyDescent="0.35">
      <c r="A2689" s="3">
        <v>42468</v>
      </c>
      <c r="B2689" s="1" t="s">
        <v>1014</v>
      </c>
      <c r="C2689" s="1" t="s">
        <v>655</v>
      </c>
      <c r="D2689" s="1" t="s">
        <v>106</v>
      </c>
      <c r="E2689" s="1" t="s">
        <v>35</v>
      </c>
      <c r="F2689" s="2" t="s">
        <v>2330</v>
      </c>
      <c r="G2689" s="1">
        <v>3.98</v>
      </c>
      <c r="H2689" s="1">
        <v>5</v>
      </c>
      <c r="I2689" s="1">
        <v>-6.5670000000000002</v>
      </c>
    </row>
    <row r="2690" spans="1:9" x14ac:dyDescent="0.35">
      <c r="A2690" s="3">
        <v>42349</v>
      </c>
      <c r="B2690" s="1" t="s">
        <v>1084</v>
      </c>
      <c r="C2690" s="1" t="s">
        <v>17</v>
      </c>
      <c r="D2690" s="1" t="s">
        <v>18</v>
      </c>
      <c r="E2690" s="1" t="s">
        <v>44</v>
      </c>
      <c r="F2690" s="2" t="s">
        <v>2331</v>
      </c>
      <c r="G2690" s="1">
        <v>15.7</v>
      </c>
      <c r="H2690" s="1">
        <v>5</v>
      </c>
      <c r="I2690" s="1">
        <v>7.0650000000000004</v>
      </c>
    </row>
    <row r="2691" spans="1:9" x14ac:dyDescent="0.35">
      <c r="A2691" s="3" t="s">
        <v>3231</v>
      </c>
      <c r="B2691" s="1" t="s">
        <v>630</v>
      </c>
      <c r="C2691" s="1" t="s">
        <v>154</v>
      </c>
      <c r="D2691" s="1" t="s">
        <v>106</v>
      </c>
      <c r="E2691" s="1" t="s">
        <v>31</v>
      </c>
      <c r="F2691" s="2" t="s">
        <v>1986</v>
      </c>
      <c r="G2691" s="1">
        <v>5.2480000000000002</v>
      </c>
      <c r="H2691" s="1">
        <v>4</v>
      </c>
      <c r="I2691" s="1">
        <v>1.64</v>
      </c>
    </row>
    <row r="2692" spans="1:9" x14ac:dyDescent="0.35">
      <c r="A2692" s="3">
        <v>42837</v>
      </c>
      <c r="B2692" s="1" t="s">
        <v>1372</v>
      </c>
      <c r="C2692" s="1" t="s">
        <v>74</v>
      </c>
      <c r="D2692" s="1" t="s">
        <v>75</v>
      </c>
      <c r="E2692" s="1" t="s">
        <v>35</v>
      </c>
      <c r="F2692" s="2" t="s">
        <v>578</v>
      </c>
      <c r="G2692" s="1">
        <v>5.3460000000000001</v>
      </c>
      <c r="H2692" s="1">
        <v>3</v>
      </c>
      <c r="I2692" s="1">
        <v>-4.4550000000000001</v>
      </c>
    </row>
    <row r="2693" spans="1:9" x14ac:dyDescent="0.35">
      <c r="A2693" s="3" t="s">
        <v>3232</v>
      </c>
      <c r="B2693" s="1" t="s">
        <v>345</v>
      </c>
      <c r="C2693" s="1" t="s">
        <v>2332</v>
      </c>
      <c r="D2693" s="1" t="s">
        <v>229</v>
      </c>
      <c r="E2693" s="1" t="s">
        <v>44</v>
      </c>
      <c r="F2693" s="2" t="s">
        <v>2333</v>
      </c>
      <c r="G2693" s="1">
        <v>15.48</v>
      </c>
      <c r="H2693" s="1">
        <v>3</v>
      </c>
      <c r="I2693" s="1">
        <v>5.6115000000000004</v>
      </c>
    </row>
    <row r="2694" spans="1:9" x14ac:dyDescent="0.35">
      <c r="A2694" s="3" t="s">
        <v>3232</v>
      </c>
      <c r="B2694" s="1" t="s">
        <v>345</v>
      </c>
      <c r="C2694" s="1" t="s">
        <v>2332</v>
      </c>
      <c r="D2694" s="1" t="s">
        <v>229</v>
      </c>
      <c r="E2694" s="1" t="s">
        <v>33</v>
      </c>
      <c r="F2694" s="2" t="s">
        <v>2334</v>
      </c>
      <c r="G2694" s="1">
        <v>108.57599999999999</v>
      </c>
      <c r="H2694" s="1">
        <v>3</v>
      </c>
      <c r="I2694" s="1">
        <v>8.1432000000000002</v>
      </c>
    </row>
    <row r="2695" spans="1:9" x14ac:dyDescent="0.35">
      <c r="A2695" s="3" t="s">
        <v>3233</v>
      </c>
      <c r="B2695" s="1" t="s">
        <v>1098</v>
      </c>
      <c r="C2695" s="1" t="s">
        <v>47</v>
      </c>
      <c r="D2695" s="1" t="s">
        <v>48</v>
      </c>
      <c r="E2695" s="1" t="s">
        <v>29</v>
      </c>
      <c r="F2695" s="2" t="s">
        <v>900</v>
      </c>
      <c r="G2695" s="1">
        <v>109.9</v>
      </c>
      <c r="H2695" s="1">
        <v>5</v>
      </c>
      <c r="I2695" s="1">
        <v>37.366</v>
      </c>
    </row>
    <row r="2696" spans="1:9" x14ac:dyDescent="0.35">
      <c r="A2696" s="3" t="s">
        <v>3234</v>
      </c>
      <c r="B2696" s="1" t="s">
        <v>1106</v>
      </c>
      <c r="C2696" s="1" t="s">
        <v>1055</v>
      </c>
      <c r="D2696" s="1" t="s">
        <v>23</v>
      </c>
      <c r="E2696" s="1" t="s">
        <v>29</v>
      </c>
      <c r="F2696" s="2" t="s">
        <v>2312</v>
      </c>
      <c r="G2696" s="1">
        <v>15.384</v>
      </c>
      <c r="H2696" s="1">
        <v>1</v>
      </c>
      <c r="I2696" s="1">
        <v>4.0382999999999996</v>
      </c>
    </row>
    <row r="2697" spans="1:9" x14ac:dyDescent="0.35">
      <c r="A2697" s="3">
        <v>42553</v>
      </c>
      <c r="B2697" s="1" t="s">
        <v>2335</v>
      </c>
      <c r="C2697" s="1" t="s">
        <v>1114</v>
      </c>
      <c r="D2697" s="1" t="s">
        <v>250</v>
      </c>
      <c r="E2697" s="1" t="s">
        <v>44</v>
      </c>
      <c r="F2697" s="2" t="s">
        <v>768</v>
      </c>
      <c r="G2697" s="1">
        <v>30.352</v>
      </c>
      <c r="H2697" s="1">
        <v>2</v>
      </c>
      <c r="I2697" s="1">
        <v>10.623200000000001</v>
      </c>
    </row>
    <row r="2698" spans="1:9" x14ac:dyDescent="0.35">
      <c r="A2698" s="3" t="s">
        <v>3235</v>
      </c>
      <c r="B2698" s="1" t="s">
        <v>2141</v>
      </c>
      <c r="C2698" s="1" t="s">
        <v>719</v>
      </c>
      <c r="D2698" s="1" t="s">
        <v>23</v>
      </c>
      <c r="E2698" s="1" t="s">
        <v>338</v>
      </c>
      <c r="F2698" s="2" t="s">
        <v>2336</v>
      </c>
      <c r="G2698" s="1">
        <v>821.3</v>
      </c>
      <c r="H2698" s="1">
        <v>4</v>
      </c>
      <c r="I2698" s="1">
        <v>-16.425999999999998</v>
      </c>
    </row>
    <row r="2699" spans="1:9" x14ac:dyDescent="0.35">
      <c r="A2699" s="3" t="s">
        <v>3235</v>
      </c>
      <c r="B2699" s="1" t="s">
        <v>2141</v>
      </c>
      <c r="C2699" s="1" t="s">
        <v>719</v>
      </c>
      <c r="D2699" s="1" t="s">
        <v>23</v>
      </c>
      <c r="E2699" s="1" t="s">
        <v>338</v>
      </c>
      <c r="F2699" s="2" t="s">
        <v>2337</v>
      </c>
      <c r="G2699" s="1">
        <v>22638.48</v>
      </c>
      <c r="H2699" s="1">
        <v>6</v>
      </c>
      <c r="I2699" s="1">
        <v>-1811.0784000000001</v>
      </c>
    </row>
    <row r="2700" spans="1:9" x14ac:dyDescent="0.35">
      <c r="A2700" s="3" t="s">
        <v>3235</v>
      </c>
      <c r="B2700" s="1" t="s">
        <v>2141</v>
      </c>
      <c r="C2700" s="1" t="s">
        <v>719</v>
      </c>
      <c r="D2700" s="1" t="s">
        <v>23</v>
      </c>
      <c r="E2700" s="1" t="s">
        <v>44</v>
      </c>
      <c r="F2700" s="2" t="s">
        <v>284</v>
      </c>
      <c r="G2700" s="1">
        <v>21.376000000000001</v>
      </c>
      <c r="H2700" s="1">
        <v>4</v>
      </c>
      <c r="I2700" s="1">
        <v>7.4816000000000003</v>
      </c>
    </row>
    <row r="2701" spans="1:9" x14ac:dyDescent="0.35">
      <c r="A2701" s="3" t="s">
        <v>3235</v>
      </c>
      <c r="B2701" s="1" t="s">
        <v>2141</v>
      </c>
      <c r="C2701" s="1" t="s">
        <v>719</v>
      </c>
      <c r="D2701" s="1" t="s">
        <v>23</v>
      </c>
      <c r="E2701" s="1" t="s">
        <v>31</v>
      </c>
      <c r="F2701" s="2" t="s">
        <v>2338</v>
      </c>
      <c r="G2701" s="1">
        <v>8.016</v>
      </c>
      <c r="H2701" s="1">
        <v>3</v>
      </c>
      <c r="I2701" s="1">
        <v>1.002</v>
      </c>
    </row>
    <row r="2702" spans="1:9" x14ac:dyDescent="0.35">
      <c r="A2702" s="3" t="s">
        <v>3235</v>
      </c>
      <c r="B2702" s="1" t="s">
        <v>2141</v>
      </c>
      <c r="C2702" s="1" t="s">
        <v>719</v>
      </c>
      <c r="D2702" s="1" t="s">
        <v>23</v>
      </c>
      <c r="E2702" s="1" t="s">
        <v>29</v>
      </c>
      <c r="F2702" s="2" t="s">
        <v>2312</v>
      </c>
      <c r="G2702" s="1">
        <v>30.768000000000001</v>
      </c>
      <c r="H2702" s="1">
        <v>2</v>
      </c>
      <c r="I2702" s="1">
        <v>8.0765999999999991</v>
      </c>
    </row>
    <row r="2703" spans="1:9" x14ac:dyDescent="0.35">
      <c r="A2703" s="3" t="s">
        <v>3235</v>
      </c>
      <c r="B2703" s="1" t="s">
        <v>2141</v>
      </c>
      <c r="C2703" s="1" t="s">
        <v>719</v>
      </c>
      <c r="D2703" s="1" t="s">
        <v>23</v>
      </c>
      <c r="E2703" s="1" t="s">
        <v>137</v>
      </c>
      <c r="F2703" s="2" t="s">
        <v>281</v>
      </c>
      <c r="G2703" s="1">
        <v>18.936</v>
      </c>
      <c r="H2703" s="1">
        <v>3</v>
      </c>
      <c r="I2703" s="1">
        <v>5.9175000000000004</v>
      </c>
    </row>
    <row r="2704" spans="1:9" x14ac:dyDescent="0.35">
      <c r="A2704" s="3" t="s">
        <v>3235</v>
      </c>
      <c r="B2704" s="1" t="s">
        <v>2141</v>
      </c>
      <c r="C2704" s="1" t="s">
        <v>719</v>
      </c>
      <c r="D2704" s="1" t="s">
        <v>23</v>
      </c>
      <c r="E2704" s="1" t="s">
        <v>29</v>
      </c>
      <c r="F2704" s="2" t="s">
        <v>1926</v>
      </c>
      <c r="G2704" s="1">
        <v>122.352</v>
      </c>
      <c r="H2704" s="1">
        <v>3</v>
      </c>
      <c r="I2704" s="1">
        <v>15.294</v>
      </c>
    </row>
    <row r="2705" spans="1:9" x14ac:dyDescent="0.35">
      <c r="A2705" s="3" t="s">
        <v>3236</v>
      </c>
      <c r="B2705" s="1" t="s">
        <v>993</v>
      </c>
      <c r="C2705" s="1" t="s">
        <v>1875</v>
      </c>
      <c r="D2705" s="1" t="s">
        <v>1217</v>
      </c>
      <c r="E2705" s="1" t="s">
        <v>44</v>
      </c>
      <c r="F2705" s="2" t="s">
        <v>2339</v>
      </c>
      <c r="G2705" s="1">
        <v>116.28</v>
      </c>
      <c r="H2705" s="1">
        <v>3</v>
      </c>
      <c r="I2705" s="1">
        <v>56.977200000000003</v>
      </c>
    </row>
    <row r="2706" spans="1:9" x14ac:dyDescent="0.35">
      <c r="A2706" s="3">
        <v>43046</v>
      </c>
      <c r="B2706" s="1" t="s">
        <v>1994</v>
      </c>
      <c r="C2706" s="1" t="s">
        <v>135</v>
      </c>
      <c r="D2706" s="1" t="s">
        <v>136</v>
      </c>
      <c r="E2706" s="1" t="s">
        <v>81</v>
      </c>
      <c r="F2706" s="2" t="s">
        <v>371</v>
      </c>
      <c r="G2706" s="1">
        <v>132.6</v>
      </c>
      <c r="H2706" s="1">
        <v>6</v>
      </c>
      <c r="I2706" s="1">
        <v>17.238</v>
      </c>
    </row>
    <row r="2707" spans="1:9" x14ac:dyDescent="0.35">
      <c r="A2707" s="3" t="s">
        <v>3237</v>
      </c>
      <c r="B2707" s="1" t="s">
        <v>1581</v>
      </c>
      <c r="C2707" s="1" t="s">
        <v>330</v>
      </c>
      <c r="D2707" s="1" t="s">
        <v>331</v>
      </c>
      <c r="E2707" s="1" t="s">
        <v>289</v>
      </c>
      <c r="F2707" s="2" t="s">
        <v>1780</v>
      </c>
      <c r="G2707" s="1">
        <v>16.68</v>
      </c>
      <c r="H2707" s="1">
        <v>2</v>
      </c>
      <c r="I2707" s="1">
        <v>4.3368000000000002</v>
      </c>
    </row>
    <row r="2708" spans="1:9" x14ac:dyDescent="0.35">
      <c r="A2708" s="3" t="s">
        <v>3237</v>
      </c>
      <c r="B2708" s="1" t="s">
        <v>1581</v>
      </c>
      <c r="C2708" s="1" t="s">
        <v>330</v>
      </c>
      <c r="D2708" s="1" t="s">
        <v>331</v>
      </c>
      <c r="E2708" s="1" t="s">
        <v>44</v>
      </c>
      <c r="F2708" s="2" t="s">
        <v>2340</v>
      </c>
      <c r="G2708" s="1">
        <v>19.440000000000001</v>
      </c>
      <c r="H2708" s="1">
        <v>3</v>
      </c>
      <c r="I2708" s="1">
        <v>9.3312000000000008</v>
      </c>
    </row>
    <row r="2709" spans="1:9" x14ac:dyDescent="0.35">
      <c r="A2709" s="3" t="s">
        <v>3237</v>
      </c>
      <c r="B2709" s="1" t="s">
        <v>1581</v>
      </c>
      <c r="C2709" s="1" t="s">
        <v>330</v>
      </c>
      <c r="D2709" s="1" t="s">
        <v>331</v>
      </c>
      <c r="E2709" s="1" t="s">
        <v>44</v>
      </c>
      <c r="F2709" s="2" t="s">
        <v>2341</v>
      </c>
      <c r="G2709" s="1">
        <v>192.16</v>
      </c>
      <c r="H2709" s="1">
        <v>4</v>
      </c>
      <c r="I2709" s="1">
        <v>92.236800000000002</v>
      </c>
    </row>
    <row r="2710" spans="1:9" x14ac:dyDescent="0.35">
      <c r="A2710" s="3" t="s">
        <v>3238</v>
      </c>
      <c r="B2710" s="1" t="s">
        <v>901</v>
      </c>
      <c r="C2710" s="1" t="s">
        <v>17</v>
      </c>
      <c r="D2710" s="1" t="s">
        <v>18</v>
      </c>
      <c r="E2710" s="1" t="s">
        <v>29</v>
      </c>
      <c r="F2710" s="2" t="s">
        <v>2342</v>
      </c>
      <c r="G2710" s="1">
        <v>227.36</v>
      </c>
      <c r="H2710" s="1">
        <v>7</v>
      </c>
      <c r="I2710" s="1">
        <v>81.849599999999995</v>
      </c>
    </row>
    <row r="2711" spans="1:9" x14ac:dyDescent="0.35">
      <c r="A2711" s="3" t="s">
        <v>3238</v>
      </c>
      <c r="B2711" s="1" t="s">
        <v>901</v>
      </c>
      <c r="C2711" s="1" t="s">
        <v>17</v>
      </c>
      <c r="D2711" s="1" t="s">
        <v>18</v>
      </c>
      <c r="E2711" s="1" t="s">
        <v>338</v>
      </c>
      <c r="F2711" s="2" t="s">
        <v>1918</v>
      </c>
      <c r="G2711" s="1">
        <v>1919.9760000000001</v>
      </c>
      <c r="H2711" s="1">
        <v>3</v>
      </c>
      <c r="I2711" s="1">
        <v>215.9973</v>
      </c>
    </row>
    <row r="2712" spans="1:9" x14ac:dyDescent="0.35">
      <c r="A2712" s="3">
        <v>42320</v>
      </c>
      <c r="B2712" s="1" t="s">
        <v>1723</v>
      </c>
      <c r="C2712" s="1" t="s">
        <v>719</v>
      </c>
      <c r="D2712" s="1" t="s">
        <v>23</v>
      </c>
      <c r="E2712" s="1" t="s">
        <v>35</v>
      </c>
      <c r="F2712" s="2" t="s">
        <v>749</v>
      </c>
      <c r="G2712" s="1">
        <v>12.827999999999999</v>
      </c>
      <c r="H2712" s="1">
        <v>2</v>
      </c>
      <c r="I2712" s="1">
        <v>-8.9795999999999996</v>
      </c>
    </row>
    <row r="2713" spans="1:9" x14ac:dyDescent="0.35">
      <c r="A2713" s="3">
        <v>42988</v>
      </c>
      <c r="B2713" s="1" t="s">
        <v>1577</v>
      </c>
      <c r="C2713" s="1" t="s">
        <v>536</v>
      </c>
      <c r="D2713" s="1" t="s">
        <v>250</v>
      </c>
      <c r="E2713" s="1" t="s">
        <v>29</v>
      </c>
      <c r="F2713" s="2" t="s">
        <v>1082</v>
      </c>
      <c r="G2713" s="1">
        <v>45.887999999999998</v>
      </c>
      <c r="H2713" s="1">
        <v>4</v>
      </c>
      <c r="I2713" s="1">
        <v>9.1776</v>
      </c>
    </row>
    <row r="2714" spans="1:9" x14ac:dyDescent="0.35">
      <c r="A2714" s="3" t="s">
        <v>3239</v>
      </c>
      <c r="B2714" s="1" t="s">
        <v>1134</v>
      </c>
      <c r="C2714" s="1" t="s">
        <v>141</v>
      </c>
      <c r="D2714" s="1" t="s">
        <v>136</v>
      </c>
      <c r="E2714" s="1" t="s">
        <v>31</v>
      </c>
      <c r="F2714" s="2" t="s">
        <v>342</v>
      </c>
      <c r="G2714" s="1">
        <v>60.12</v>
      </c>
      <c r="H2714" s="1">
        <v>9</v>
      </c>
      <c r="I2714" s="1">
        <v>22.244399999999999</v>
      </c>
    </row>
    <row r="2715" spans="1:9" x14ac:dyDescent="0.35">
      <c r="A2715" s="3" t="s">
        <v>3240</v>
      </c>
      <c r="B2715" s="1" t="s">
        <v>282</v>
      </c>
      <c r="C2715" s="1" t="s">
        <v>261</v>
      </c>
      <c r="D2715" s="1" t="s">
        <v>43</v>
      </c>
      <c r="E2715" s="1" t="s">
        <v>33</v>
      </c>
      <c r="F2715" s="2" t="s">
        <v>2343</v>
      </c>
      <c r="G2715" s="1">
        <v>302.37599999999998</v>
      </c>
      <c r="H2715" s="1">
        <v>3</v>
      </c>
      <c r="I2715" s="1">
        <v>37.796999999999997</v>
      </c>
    </row>
    <row r="2716" spans="1:9" x14ac:dyDescent="0.35">
      <c r="A2716" s="3">
        <v>42016</v>
      </c>
      <c r="B2716" s="1" t="s">
        <v>1644</v>
      </c>
      <c r="C2716" s="1" t="s">
        <v>47</v>
      </c>
      <c r="D2716" s="1" t="s">
        <v>48</v>
      </c>
      <c r="E2716" s="1" t="s">
        <v>31</v>
      </c>
      <c r="F2716" s="2" t="s">
        <v>1782</v>
      </c>
      <c r="G2716" s="1">
        <v>13.9</v>
      </c>
      <c r="H2716" s="1">
        <v>5</v>
      </c>
      <c r="I2716" s="1">
        <v>5.56</v>
      </c>
    </row>
    <row r="2717" spans="1:9" x14ac:dyDescent="0.35">
      <c r="A2717" s="3">
        <v>41741</v>
      </c>
      <c r="B2717" s="1" t="s">
        <v>1577</v>
      </c>
      <c r="C2717" s="1" t="s">
        <v>135</v>
      </c>
      <c r="D2717" s="1" t="s">
        <v>136</v>
      </c>
      <c r="E2717" s="1" t="s">
        <v>33</v>
      </c>
      <c r="F2717" s="2" t="s">
        <v>2344</v>
      </c>
      <c r="G2717" s="1">
        <v>129.97999999999999</v>
      </c>
      <c r="H2717" s="1">
        <v>2</v>
      </c>
      <c r="I2717" s="1">
        <v>62.3904</v>
      </c>
    </row>
    <row r="2718" spans="1:9" x14ac:dyDescent="0.35">
      <c r="A2718" s="3" t="s">
        <v>3241</v>
      </c>
      <c r="B2718" s="1" t="s">
        <v>2345</v>
      </c>
      <c r="C2718" s="1" t="s">
        <v>249</v>
      </c>
      <c r="D2718" s="1" t="s">
        <v>604</v>
      </c>
      <c r="E2718" s="1" t="s">
        <v>81</v>
      </c>
      <c r="F2718" s="2" t="s">
        <v>670</v>
      </c>
      <c r="G2718" s="1">
        <v>71.98</v>
      </c>
      <c r="H2718" s="1">
        <v>2</v>
      </c>
      <c r="I2718" s="1">
        <v>15.1158</v>
      </c>
    </row>
    <row r="2719" spans="1:9" x14ac:dyDescent="0.35">
      <c r="A2719" s="3">
        <v>41829</v>
      </c>
      <c r="B2719" s="1" t="s">
        <v>2113</v>
      </c>
      <c r="C2719" s="1" t="s">
        <v>135</v>
      </c>
      <c r="D2719" s="1" t="s">
        <v>136</v>
      </c>
      <c r="E2719" s="1" t="s">
        <v>33</v>
      </c>
      <c r="F2719" s="2" t="s">
        <v>2346</v>
      </c>
      <c r="G2719" s="1">
        <v>377.97</v>
      </c>
      <c r="H2719" s="1">
        <v>3</v>
      </c>
      <c r="I2719" s="1">
        <v>109.6113</v>
      </c>
    </row>
    <row r="2720" spans="1:9" x14ac:dyDescent="0.35">
      <c r="A2720" s="3" t="s">
        <v>3202</v>
      </c>
      <c r="B2720" s="1" t="s">
        <v>1248</v>
      </c>
      <c r="C2720" s="1" t="s">
        <v>799</v>
      </c>
      <c r="D2720" s="1" t="s">
        <v>18</v>
      </c>
      <c r="E2720" s="1" t="s">
        <v>26</v>
      </c>
      <c r="F2720" s="2" t="s">
        <v>1400</v>
      </c>
      <c r="G2720" s="1">
        <v>124.36</v>
      </c>
      <c r="H2720" s="1">
        <v>2</v>
      </c>
      <c r="I2720" s="1">
        <v>33.577199999999998</v>
      </c>
    </row>
    <row r="2721" spans="1:9" x14ac:dyDescent="0.35">
      <c r="A2721" s="3">
        <v>41802</v>
      </c>
      <c r="B2721" s="1" t="s">
        <v>671</v>
      </c>
      <c r="C2721" s="1" t="s">
        <v>93</v>
      </c>
      <c r="D2721" s="1" t="s">
        <v>52</v>
      </c>
      <c r="E2721" s="1" t="s">
        <v>29</v>
      </c>
      <c r="F2721" s="2" t="s">
        <v>996</v>
      </c>
      <c r="G2721" s="1">
        <v>23.975999999999999</v>
      </c>
      <c r="H2721" s="1">
        <v>3</v>
      </c>
      <c r="I2721" s="1">
        <v>-14.3856</v>
      </c>
    </row>
    <row r="2722" spans="1:9" x14ac:dyDescent="0.35">
      <c r="A2722" s="3">
        <v>41740</v>
      </c>
      <c r="B2722" s="1" t="s">
        <v>113</v>
      </c>
      <c r="C2722" s="1" t="s">
        <v>1032</v>
      </c>
      <c r="D2722" s="1" t="s">
        <v>43</v>
      </c>
      <c r="E2722" s="1" t="s">
        <v>137</v>
      </c>
      <c r="F2722" s="2" t="s">
        <v>423</v>
      </c>
      <c r="G2722" s="1">
        <v>8.3759999999999994</v>
      </c>
      <c r="H2722" s="1">
        <v>3</v>
      </c>
      <c r="I2722" s="1">
        <v>2.7222</v>
      </c>
    </row>
    <row r="2723" spans="1:9" x14ac:dyDescent="0.35">
      <c r="A2723" s="3">
        <v>41740</v>
      </c>
      <c r="B2723" s="1" t="s">
        <v>113</v>
      </c>
      <c r="C2723" s="1" t="s">
        <v>1032</v>
      </c>
      <c r="D2723" s="1" t="s">
        <v>43</v>
      </c>
      <c r="E2723" s="1" t="s">
        <v>37</v>
      </c>
      <c r="F2723" s="2" t="s">
        <v>1572</v>
      </c>
      <c r="G2723" s="1">
        <v>58.24</v>
      </c>
      <c r="H2723" s="1">
        <v>5</v>
      </c>
      <c r="I2723" s="1">
        <v>5.0960000000000001</v>
      </c>
    </row>
    <row r="2724" spans="1:9" x14ac:dyDescent="0.35">
      <c r="A2724" s="3" t="s">
        <v>3242</v>
      </c>
      <c r="B2724" s="1" t="s">
        <v>1720</v>
      </c>
      <c r="C2724" s="1" t="s">
        <v>1247</v>
      </c>
      <c r="D2724" s="1" t="s">
        <v>163</v>
      </c>
      <c r="E2724" s="1" t="s">
        <v>26</v>
      </c>
      <c r="F2724" s="2" t="s">
        <v>1246</v>
      </c>
      <c r="G2724" s="1">
        <v>81.2</v>
      </c>
      <c r="H2724" s="1">
        <v>5</v>
      </c>
      <c r="I2724" s="1">
        <v>12.18</v>
      </c>
    </row>
    <row r="2725" spans="1:9" x14ac:dyDescent="0.35">
      <c r="A2725" s="3">
        <v>41739</v>
      </c>
      <c r="B2725" s="1" t="s">
        <v>2347</v>
      </c>
      <c r="C2725" s="1" t="s">
        <v>964</v>
      </c>
      <c r="D2725" s="1" t="s">
        <v>18</v>
      </c>
      <c r="E2725" s="1" t="s">
        <v>19</v>
      </c>
      <c r="F2725" s="2" t="s">
        <v>514</v>
      </c>
      <c r="G2725" s="1">
        <v>14.45</v>
      </c>
      <c r="H2725" s="1">
        <v>5</v>
      </c>
      <c r="I2725" s="1">
        <v>6.7915000000000001</v>
      </c>
    </row>
    <row r="2726" spans="1:9" x14ac:dyDescent="0.35">
      <c r="A2726" s="3">
        <v>41739</v>
      </c>
      <c r="B2726" s="1" t="s">
        <v>2347</v>
      </c>
      <c r="C2726" s="1" t="s">
        <v>964</v>
      </c>
      <c r="D2726" s="1" t="s">
        <v>18</v>
      </c>
      <c r="E2726" s="1" t="s">
        <v>35</v>
      </c>
      <c r="F2726" s="2" t="s">
        <v>1643</v>
      </c>
      <c r="G2726" s="1">
        <v>95.647999999999996</v>
      </c>
      <c r="H2726" s="1">
        <v>2</v>
      </c>
      <c r="I2726" s="1">
        <v>31.085599999999999</v>
      </c>
    </row>
    <row r="2727" spans="1:9" x14ac:dyDescent="0.35">
      <c r="A2727" s="3">
        <v>42927</v>
      </c>
      <c r="B2727" s="1" t="s">
        <v>851</v>
      </c>
      <c r="C2727" s="1" t="s">
        <v>74</v>
      </c>
      <c r="D2727" s="1" t="s">
        <v>75</v>
      </c>
      <c r="E2727" s="1" t="s">
        <v>33</v>
      </c>
      <c r="F2727" s="2" t="s">
        <v>2000</v>
      </c>
      <c r="G2727" s="1">
        <v>359.97</v>
      </c>
      <c r="H2727" s="1">
        <v>5</v>
      </c>
      <c r="I2727" s="1">
        <v>-71.994</v>
      </c>
    </row>
    <row r="2728" spans="1:9" x14ac:dyDescent="0.35">
      <c r="A2728" s="3">
        <v>42927</v>
      </c>
      <c r="B2728" s="1" t="s">
        <v>851</v>
      </c>
      <c r="C2728" s="1" t="s">
        <v>74</v>
      </c>
      <c r="D2728" s="1" t="s">
        <v>75</v>
      </c>
      <c r="E2728" s="1" t="s">
        <v>24</v>
      </c>
      <c r="F2728" s="2" t="s">
        <v>2221</v>
      </c>
      <c r="G2728" s="1">
        <v>350.35199999999998</v>
      </c>
      <c r="H2728" s="1">
        <v>4</v>
      </c>
      <c r="I2728" s="1">
        <v>-140.14080000000001</v>
      </c>
    </row>
    <row r="2729" spans="1:9" x14ac:dyDescent="0.35">
      <c r="A2729" s="3" t="s">
        <v>3180</v>
      </c>
      <c r="B2729" s="1" t="s">
        <v>366</v>
      </c>
      <c r="C2729" s="1" t="s">
        <v>1256</v>
      </c>
      <c r="D2729" s="1" t="s">
        <v>250</v>
      </c>
      <c r="E2729" s="1" t="s">
        <v>35</v>
      </c>
      <c r="F2729" s="2" t="s">
        <v>928</v>
      </c>
      <c r="G2729" s="1">
        <v>1.641</v>
      </c>
      <c r="H2729" s="1">
        <v>1</v>
      </c>
      <c r="I2729" s="1">
        <v>-1.3128</v>
      </c>
    </row>
    <row r="2730" spans="1:9" x14ac:dyDescent="0.35">
      <c r="A2730" s="3" t="s">
        <v>3180</v>
      </c>
      <c r="B2730" s="1" t="s">
        <v>366</v>
      </c>
      <c r="C2730" s="1" t="s">
        <v>1256</v>
      </c>
      <c r="D2730" s="1" t="s">
        <v>250</v>
      </c>
      <c r="E2730" s="1" t="s">
        <v>33</v>
      </c>
      <c r="F2730" s="2" t="s">
        <v>2206</v>
      </c>
      <c r="G2730" s="1">
        <v>629.95799999999997</v>
      </c>
      <c r="H2730" s="1">
        <v>7</v>
      </c>
      <c r="I2730" s="1">
        <v>94.493700000000004</v>
      </c>
    </row>
    <row r="2731" spans="1:9" x14ac:dyDescent="0.35">
      <c r="A2731" s="3" t="s">
        <v>3243</v>
      </c>
      <c r="B2731" s="1" t="s">
        <v>2348</v>
      </c>
      <c r="C2731" s="1" t="s">
        <v>47</v>
      </c>
      <c r="D2731" s="1" t="s">
        <v>48</v>
      </c>
      <c r="E2731" s="1" t="s">
        <v>31</v>
      </c>
      <c r="F2731" s="2" t="s">
        <v>319</v>
      </c>
      <c r="G2731" s="1">
        <v>6.63</v>
      </c>
      <c r="H2731" s="1">
        <v>3</v>
      </c>
      <c r="I2731" s="1">
        <v>1.7901</v>
      </c>
    </row>
    <row r="2732" spans="1:9" x14ac:dyDescent="0.35">
      <c r="A2732" s="3" t="s">
        <v>3243</v>
      </c>
      <c r="B2732" s="1" t="s">
        <v>2348</v>
      </c>
      <c r="C2732" s="1" t="s">
        <v>47</v>
      </c>
      <c r="D2732" s="1" t="s">
        <v>48</v>
      </c>
      <c r="E2732" s="1" t="s">
        <v>81</v>
      </c>
      <c r="F2732" s="2" t="s">
        <v>1145</v>
      </c>
      <c r="G2732" s="1">
        <v>799.96</v>
      </c>
      <c r="H2732" s="1">
        <v>4</v>
      </c>
      <c r="I2732" s="1">
        <v>343.9828</v>
      </c>
    </row>
    <row r="2733" spans="1:9" x14ac:dyDescent="0.35">
      <c r="A2733" s="3" t="s">
        <v>3243</v>
      </c>
      <c r="B2733" s="1" t="s">
        <v>2348</v>
      </c>
      <c r="C2733" s="1" t="s">
        <v>47</v>
      </c>
      <c r="D2733" s="1" t="s">
        <v>48</v>
      </c>
      <c r="E2733" s="1" t="s">
        <v>29</v>
      </c>
      <c r="F2733" s="2" t="s">
        <v>441</v>
      </c>
      <c r="G2733" s="1">
        <v>107.53</v>
      </c>
      <c r="H2733" s="1">
        <v>1</v>
      </c>
      <c r="I2733" s="1">
        <v>21.506</v>
      </c>
    </row>
    <row r="2734" spans="1:9" x14ac:dyDescent="0.35">
      <c r="A2734" s="3">
        <v>41677</v>
      </c>
      <c r="B2734" s="1" t="s">
        <v>79</v>
      </c>
      <c r="C2734" s="1" t="s">
        <v>973</v>
      </c>
      <c r="D2734" s="1" t="s">
        <v>388</v>
      </c>
      <c r="E2734" s="1" t="s">
        <v>33</v>
      </c>
      <c r="F2734" s="2" t="s">
        <v>1196</v>
      </c>
      <c r="G2734" s="1">
        <v>73.98</v>
      </c>
      <c r="H2734" s="1">
        <v>2</v>
      </c>
      <c r="I2734" s="1">
        <v>19.974599999999999</v>
      </c>
    </row>
    <row r="2735" spans="1:9" x14ac:dyDescent="0.35">
      <c r="A2735" s="3">
        <v>41677</v>
      </c>
      <c r="B2735" s="1" t="s">
        <v>79</v>
      </c>
      <c r="C2735" s="1" t="s">
        <v>973</v>
      </c>
      <c r="D2735" s="1" t="s">
        <v>388</v>
      </c>
      <c r="E2735" s="1" t="s">
        <v>31</v>
      </c>
      <c r="F2735" s="2" t="s">
        <v>1360</v>
      </c>
      <c r="G2735" s="1">
        <v>5.58</v>
      </c>
      <c r="H2735" s="1">
        <v>1</v>
      </c>
      <c r="I2735" s="1">
        <v>2.1762000000000001</v>
      </c>
    </row>
    <row r="2736" spans="1:9" x14ac:dyDescent="0.35">
      <c r="A2736" s="3" t="s">
        <v>3244</v>
      </c>
      <c r="B2736" s="1" t="s">
        <v>1981</v>
      </c>
      <c r="C2736" s="1" t="s">
        <v>2349</v>
      </c>
      <c r="D2736" s="1" t="s">
        <v>331</v>
      </c>
      <c r="E2736" s="1" t="s">
        <v>44</v>
      </c>
      <c r="F2736" s="2" t="s">
        <v>94</v>
      </c>
      <c r="G2736" s="1">
        <v>49.12</v>
      </c>
      <c r="H2736" s="1">
        <v>4</v>
      </c>
      <c r="I2736" s="1">
        <v>23.086400000000001</v>
      </c>
    </row>
    <row r="2737" spans="1:9" x14ac:dyDescent="0.35">
      <c r="A2737" s="3" t="s">
        <v>3171</v>
      </c>
      <c r="B2737" s="1" t="s">
        <v>446</v>
      </c>
      <c r="C2737" s="1" t="s">
        <v>303</v>
      </c>
      <c r="D2737" s="1" t="s">
        <v>124</v>
      </c>
      <c r="E2737" s="1" t="s">
        <v>33</v>
      </c>
      <c r="F2737" s="2" t="s">
        <v>2350</v>
      </c>
      <c r="G2737" s="1">
        <v>377.97</v>
      </c>
      <c r="H2737" s="1">
        <v>3</v>
      </c>
      <c r="I2737" s="1">
        <v>94.492500000000007</v>
      </c>
    </row>
    <row r="2738" spans="1:9" x14ac:dyDescent="0.35">
      <c r="A2738" s="3" t="s">
        <v>3171</v>
      </c>
      <c r="B2738" s="1" t="s">
        <v>446</v>
      </c>
      <c r="C2738" s="1" t="s">
        <v>303</v>
      </c>
      <c r="D2738" s="1" t="s">
        <v>124</v>
      </c>
      <c r="E2738" s="1" t="s">
        <v>44</v>
      </c>
      <c r="F2738" s="2" t="s">
        <v>1169</v>
      </c>
      <c r="G2738" s="1">
        <v>42.28</v>
      </c>
      <c r="H2738" s="1">
        <v>7</v>
      </c>
      <c r="I2738" s="1">
        <v>19.871600000000001</v>
      </c>
    </row>
    <row r="2739" spans="1:9" x14ac:dyDescent="0.35">
      <c r="A2739" s="3" t="s">
        <v>3171</v>
      </c>
      <c r="B2739" s="1" t="s">
        <v>446</v>
      </c>
      <c r="C2739" s="1" t="s">
        <v>303</v>
      </c>
      <c r="D2739" s="1" t="s">
        <v>124</v>
      </c>
      <c r="E2739" s="1" t="s">
        <v>12</v>
      </c>
      <c r="F2739" s="2" t="s">
        <v>1512</v>
      </c>
      <c r="G2739" s="1">
        <v>299.97000000000003</v>
      </c>
      <c r="H2739" s="1">
        <v>3</v>
      </c>
      <c r="I2739" s="1">
        <v>56.994300000000003</v>
      </c>
    </row>
    <row r="2740" spans="1:9" x14ac:dyDescent="0.35">
      <c r="A2740" s="3" t="s">
        <v>3171</v>
      </c>
      <c r="B2740" s="1" t="s">
        <v>446</v>
      </c>
      <c r="C2740" s="1" t="s">
        <v>303</v>
      </c>
      <c r="D2740" s="1" t="s">
        <v>124</v>
      </c>
      <c r="E2740" s="1" t="s">
        <v>33</v>
      </c>
      <c r="F2740" s="2" t="s">
        <v>1393</v>
      </c>
      <c r="G2740" s="1">
        <v>89.98</v>
      </c>
      <c r="H2740" s="1">
        <v>2</v>
      </c>
      <c r="I2740" s="1">
        <v>43.190399999999997</v>
      </c>
    </row>
    <row r="2741" spans="1:9" x14ac:dyDescent="0.35">
      <c r="A2741" s="3" t="s">
        <v>3192</v>
      </c>
      <c r="B2741" s="1" t="s">
        <v>1753</v>
      </c>
      <c r="C2741" s="1" t="s">
        <v>2351</v>
      </c>
      <c r="D2741" s="1" t="s">
        <v>182</v>
      </c>
      <c r="E2741" s="1" t="s">
        <v>289</v>
      </c>
      <c r="F2741" s="2" t="s">
        <v>2352</v>
      </c>
      <c r="G2741" s="1">
        <v>477.24</v>
      </c>
      <c r="H2741" s="1">
        <v>4</v>
      </c>
      <c r="I2741" s="1">
        <v>9.5448000000000004</v>
      </c>
    </row>
    <row r="2742" spans="1:9" x14ac:dyDescent="0.35">
      <c r="A2742" s="3" t="s">
        <v>3192</v>
      </c>
      <c r="B2742" s="1" t="s">
        <v>1753</v>
      </c>
      <c r="C2742" s="1" t="s">
        <v>2351</v>
      </c>
      <c r="D2742" s="1" t="s">
        <v>182</v>
      </c>
      <c r="E2742" s="1" t="s">
        <v>81</v>
      </c>
      <c r="F2742" s="2" t="s">
        <v>2353</v>
      </c>
      <c r="G2742" s="1">
        <v>25.98</v>
      </c>
      <c r="H2742" s="1">
        <v>2</v>
      </c>
      <c r="I2742" s="1">
        <v>1.5588</v>
      </c>
    </row>
    <row r="2743" spans="1:9" x14ac:dyDescent="0.35">
      <c r="A2743" s="3" t="s">
        <v>3245</v>
      </c>
      <c r="B2743" s="1" t="s">
        <v>906</v>
      </c>
      <c r="C2743" s="1" t="s">
        <v>303</v>
      </c>
      <c r="D2743" s="1" t="s">
        <v>250</v>
      </c>
      <c r="E2743" s="1" t="s">
        <v>87</v>
      </c>
      <c r="F2743" s="2" t="s">
        <v>332</v>
      </c>
      <c r="G2743" s="1">
        <v>46.72</v>
      </c>
      <c r="H2743" s="1">
        <v>5</v>
      </c>
      <c r="I2743" s="1">
        <v>17.52</v>
      </c>
    </row>
    <row r="2744" spans="1:9" x14ac:dyDescent="0.35">
      <c r="A2744" s="3">
        <v>41740</v>
      </c>
      <c r="B2744" s="1" t="s">
        <v>2354</v>
      </c>
      <c r="C2744" s="1" t="s">
        <v>461</v>
      </c>
      <c r="D2744" s="1" t="s">
        <v>18</v>
      </c>
      <c r="E2744" s="1" t="s">
        <v>29</v>
      </c>
      <c r="F2744" s="2" t="s">
        <v>2286</v>
      </c>
      <c r="G2744" s="1">
        <v>35.340000000000003</v>
      </c>
      <c r="H2744" s="1">
        <v>2</v>
      </c>
      <c r="I2744" s="1">
        <v>13.4292</v>
      </c>
    </row>
    <row r="2745" spans="1:9" x14ac:dyDescent="0.35">
      <c r="A2745" s="3" t="s">
        <v>3246</v>
      </c>
      <c r="B2745" s="1" t="s">
        <v>180</v>
      </c>
      <c r="C2745" s="1" t="s">
        <v>64</v>
      </c>
      <c r="D2745" s="1" t="s">
        <v>18</v>
      </c>
      <c r="E2745" s="1" t="s">
        <v>29</v>
      </c>
      <c r="F2745" s="2" t="s">
        <v>1047</v>
      </c>
      <c r="G2745" s="1">
        <v>257.64</v>
      </c>
      <c r="H2745" s="1">
        <v>6</v>
      </c>
      <c r="I2745" s="1">
        <v>100.4796</v>
      </c>
    </row>
    <row r="2746" spans="1:9" x14ac:dyDescent="0.35">
      <c r="A2746" s="3" t="s">
        <v>3246</v>
      </c>
      <c r="B2746" s="1" t="s">
        <v>180</v>
      </c>
      <c r="C2746" s="1" t="s">
        <v>64</v>
      </c>
      <c r="D2746" s="1" t="s">
        <v>18</v>
      </c>
      <c r="E2746" s="1" t="s">
        <v>33</v>
      </c>
      <c r="F2746" s="2" t="s">
        <v>160</v>
      </c>
      <c r="G2746" s="1">
        <v>125.976</v>
      </c>
      <c r="H2746" s="1">
        <v>3</v>
      </c>
      <c r="I2746" s="1">
        <v>47.241</v>
      </c>
    </row>
    <row r="2747" spans="1:9" x14ac:dyDescent="0.35">
      <c r="A2747" s="3">
        <v>42924</v>
      </c>
      <c r="B2747" s="1" t="s">
        <v>954</v>
      </c>
      <c r="C2747" s="1" t="s">
        <v>719</v>
      </c>
      <c r="D2747" s="1" t="s">
        <v>43</v>
      </c>
      <c r="E2747" s="1" t="s">
        <v>81</v>
      </c>
      <c r="F2747" s="2" t="s">
        <v>748</v>
      </c>
      <c r="G2747" s="1">
        <v>79.992000000000004</v>
      </c>
      <c r="H2747" s="1">
        <v>1</v>
      </c>
      <c r="I2747" s="1">
        <v>21.997800000000002</v>
      </c>
    </row>
    <row r="2748" spans="1:9" x14ac:dyDescent="0.35">
      <c r="A2748" s="3">
        <v>41978</v>
      </c>
      <c r="B2748" s="1" t="s">
        <v>1493</v>
      </c>
      <c r="C2748" s="1" t="s">
        <v>306</v>
      </c>
      <c r="D2748" s="1" t="s">
        <v>592</v>
      </c>
      <c r="E2748" s="1" t="s">
        <v>24</v>
      </c>
      <c r="F2748" s="2" t="s">
        <v>1063</v>
      </c>
      <c r="G2748" s="1">
        <v>700.05600000000004</v>
      </c>
      <c r="H2748" s="1">
        <v>3</v>
      </c>
      <c r="I2748" s="1">
        <v>-130.0104</v>
      </c>
    </row>
    <row r="2749" spans="1:9" x14ac:dyDescent="0.35">
      <c r="A2749" s="3" t="s">
        <v>3145</v>
      </c>
      <c r="B2749" s="1" t="s">
        <v>1450</v>
      </c>
      <c r="C2749" s="1" t="s">
        <v>2355</v>
      </c>
      <c r="D2749" s="1" t="s">
        <v>52</v>
      </c>
      <c r="E2749" s="1" t="s">
        <v>81</v>
      </c>
      <c r="F2749" s="2" t="s">
        <v>2356</v>
      </c>
      <c r="G2749" s="1">
        <v>27.167999999999999</v>
      </c>
      <c r="H2749" s="1">
        <v>4</v>
      </c>
      <c r="I2749" s="1">
        <v>-1.3584000000000001</v>
      </c>
    </row>
    <row r="2750" spans="1:9" x14ac:dyDescent="0.35">
      <c r="A2750" s="3">
        <v>42106</v>
      </c>
      <c r="B2750" s="1" t="s">
        <v>2357</v>
      </c>
      <c r="C2750" s="1" t="s">
        <v>2267</v>
      </c>
      <c r="D2750" s="1" t="s">
        <v>23</v>
      </c>
      <c r="E2750" s="1" t="s">
        <v>35</v>
      </c>
      <c r="F2750" s="2" t="s">
        <v>2183</v>
      </c>
      <c r="G2750" s="1">
        <v>8.2260000000000009</v>
      </c>
      <c r="H2750" s="1">
        <v>3</v>
      </c>
      <c r="I2750" s="1">
        <v>-6.0324</v>
      </c>
    </row>
    <row r="2751" spans="1:9" x14ac:dyDescent="0.35">
      <c r="A2751" s="3">
        <v>41857</v>
      </c>
      <c r="B2751" s="1" t="s">
        <v>899</v>
      </c>
      <c r="C2751" s="1" t="s">
        <v>47</v>
      </c>
      <c r="D2751" s="1" t="s">
        <v>48</v>
      </c>
      <c r="E2751" s="1" t="s">
        <v>14</v>
      </c>
      <c r="F2751" s="2" t="s">
        <v>2358</v>
      </c>
      <c r="G2751" s="1">
        <v>585.55200000000002</v>
      </c>
      <c r="H2751" s="1">
        <v>3</v>
      </c>
      <c r="I2751" s="1">
        <v>73.194000000000003</v>
      </c>
    </row>
    <row r="2752" spans="1:9" x14ac:dyDescent="0.35">
      <c r="A2752" s="3">
        <v>41859</v>
      </c>
      <c r="B2752" s="1" t="s">
        <v>2205</v>
      </c>
      <c r="C2752" s="1" t="s">
        <v>2359</v>
      </c>
      <c r="D2752" s="1" t="s">
        <v>18</v>
      </c>
      <c r="E2752" s="1" t="s">
        <v>26</v>
      </c>
      <c r="F2752" s="2" t="s">
        <v>2360</v>
      </c>
      <c r="G2752" s="1">
        <v>423.28</v>
      </c>
      <c r="H2752" s="1">
        <v>11</v>
      </c>
      <c r="I2752" s="1">
        <v>110.0528</v>
      </c>
    </row>
    <row r="2753" spans="1:9" x14ac:dyDescent="0.35">
      <c r="A2753" s="3" t="s">
        <v>3247</v>
      </c>
      <c r="B2753" s="1" t="s">
        <v>1839</v>
      </c>
      <c r="C2753" s="1" t="s">
        <v>17</v>
      </c>
      <c r="D2753" s="1" t="s">
        <v>18</v>
      </c>
      <c r="E2753" s="1" t="s">
        <v>14</v>
      </c>
      <c r="F2753" s="2" t="s">
        <v>1925</v>
      </c>
      <c r="G2753" s="1">
        <v>225.29599999999999</v>
      </c>
      <c r="H2753" s="1">
        <v>2</v>
      </c>
      <c r="I2753" s="1">
        <v>22.529599999999999</v>
      </c>
    </row>
    <row r="2754" spans="1:9" x14ac:dyDescent="0.35">
      <c r="A2754" s="3" t="s">
        <v>3248</v>
      </c>
      <c r="B2754" s="1" t="s">
        <v>2361</v>
      </c>
      <c r="C2754" s="1" t="s">
        <v>64</v>
      </c>
      <c r="D2754" s="1" t="s">
        <v>18</v>
      </c>
      <c r="E2754" s="1" t="s">
        <v>31</v>
      </c>
      <c r="F2754" s="2" t="s">
        <v>1782</v>
      </c>
      <c r="G2754" s="1">
        <v>5.56</v>
      </c>
      <c r="H2754" s="1">
        <v>2</v>
      </c>
      <c r="I2754" s="1">
        <v>2.2240000000000002</v>
      </c>
    </row>
    <row r="2755" spans="1:9" x14ac:dyDescent="0.35">
      <c r="A2755" s="3" t="s">
        <v>3248</v>
      </c>
      <c r="B2755" s="1" t="s">
        <v>2361</v>
      </c>
      <c r="C2755" s="1" t="s">
        <v>64</v>
      </c>
      <c r="D2755" s="1" t="s">
        <v>18</v>
      </c>
      <c r="E2755" s="1" t="s">
        <v>81</v>
      </c>
      <c r="F2755" s="2" t="s">
        <v>1095</v>
      </c>
      <c r="G2755" s="1">
        <v>323.37</v>
      </c>
      <c r="H2755" s="1">
        <v>3</v>
      </c>
      <c r="I2755" s="1">
        <v>129.34800000000001</v>
      </c>
    </row>
    <row r="2756" spans="1:9" x14ac:dyDescent="0.35">
      <c r="A2756" s="3" t="s">
        <v>3248</v>
      </c>
      <c r="B2756" s="1" t="s">
        <v>2361</v>
      </c>
      <c r="C2756" s="1" t="s">
        <v>64</v>
      </c>
      <c r="D2756" s="1" t="s">
        <v>18</v>
      </c>
      <c r="E2756" s="1" t="s">
        <v>33</v>
      </c>
      <c r="F2756" s="2" t="s">
        <v>2289</v>
      </c>
      <c r="G2756" s="1">
        <v>783.96</v>
      </c>
      <c r="H2756" s="1">
        <v>5</v>
      </c>
      <c r="I2756" s="1">
        <v>68.596500000000006</v>
      </c>
    </row>
    <row r="2757" spans="1:9" x14ac:dyDescent="0.35">
      <c r="A2757" s="3" t="s">
        <v>3248</v>
      </c>
      <c r="B2757" s="1" t="s">
        <v>2361</v>
      </c>
      <c r="C2757" s="1" t="s">
        <v>64</v>
      </c>
      <c r="D2757" s="1" t="s">
        <v>18</v>
      </c>
      <c r="E2757" s="1" t="s">
        <v>37</v>
      </c>
      <c r="F2757" s="2" t="s">
        <v>2257</v>
      </c>
      <c r="G2757" s="1">
        <v>1447.65</v>
      </c>
      <c r="H2757" s="1">
        <v>5</v>
      </c>
      <c r="I2757" s="1">
        <v>419.81849999999997</v>
      </c>
    </row>
    <row r="2758" spans="1:9" x14ac:dyDescent="0.35">
      <c r="A2758" s="3" t="s">
        <v>3248</v>
      </c>
      <c r="B2758" s="1" t="s">
        <v>2361</v>
      </c>
      <c r="C2758" s="1" t="s">
        <v>64</v>
      </c>
      <c r="D2758" s="1" t="s">
        <v>18</v>
      </c>
      <c r="E2758" s="1" t="s">
        <v>44</v>
      </c>
      <c r="F2758" s="2" t="s">
        <v>2201</v>
      </c>
      <c r="G2758" s="1">
        <v>11.96</v>
      </c>
      <c r="H2758" s="1">
        <v>2</v>
      </c>
      <c r="I2758" s="1">
        <v>5.8604000000000003</v>
      </c>
    </row>
    <row r="2759" spans="1:9" x14ac:dyDescent="0.35">
      <c r="A2759" s="3">
        <v>42680</v>
      </c>
      <c r="B2759" s="1" t="s">
        <v>1123</v>
      </c>
      <c r="C2759" s="1" t="s">
        <v>135</v>
      </c>
      <c r="D2759" s="1" t="s">
        <v>136</v>
      </c>
      <c r="E2759" s="1" t="s">
        <v>81</v>
      </c>
      <c r="F2759" s="2" t="s">
        <v>1154</v>
      </c>
      <c r="G2759" s="1">
        <v>239.97</v>
      </c>
      <c r="H2759" s="1">
        <v>3</v>
      </c>
      <c r="I2759" s="1">
        <v>71.991</v>
      </c>
    </row>
    <row r="2760" spans="1:9" x14ac:dyDescent="0.35">
      <c r="A2760" s="3">
        <v>42677</v>
      </c>
      <c r="B2760" s="1" t="s">
        <v>2362</v>
      </c>
      <c r="C2760" s="1" t="s">
        <v>249</v>
      </c>
      <c r="D2760" s="1" t="s">
        <v>604</v>
      </c>
      <c r="E2760" s="1" t="s">
        <v>29</v>
      </c>
      <c r="F2760" s="2" t="s">
        <v>2312</v>
      </c>
      <c r="G2760" s="1">
        <v>76.92</v>
      </c>
      <c r="H2760" s="1">
        <v>4</v>
      </c>
      <c r="I2760" s="1">
        <v>31.537199999999999</v>
      </c>
    </row>
    <row r="2761" spans="1:9" x14ac:dyDescent="0.35">
      <c r="A2761" s="3">
        <v>42677</v>
      </c>
      <c r="B2761" s="1" t="s">
        <v>2362</v>
      </c>
      <c r="C2761" s="1" t="s">
        <v>249</v>
      </c>
      <c r="D2761" s="1" t="s">
        <v>604</v>
      </c>
      <c r="E2761" s="1" t="s">
        <v>26</v>
      </c>
      <c r="F2761" s="2" t="s">
        <v>1327</v>
      </c>
      <c r="G2761" s="1">
        <v>481.32</v>
      </c>
      <c r="H2761" s="1">
        <v>4</v>
      </c>
      <c r="I2761" s="1">
        <v>125.14319999999999</v>
      </c>
    </row>
    <row r="2762" spans="1:9" x14ac:dyDescent="0.35">
      <c r="A2762" s="3" t="s">
        <v>3247</v>
      </c>
      <c r="B2762" s="1" t="s">
        <v>2363</v>
      </c>
      <c r="C2762" s="1" t="s">
        <v>1571</v>
      </c>
      <c r="D2762" s="1" t="s">
        <v>61</v>
      </c>
      <c r="E2762" s="1" t="s">
        <v>44</v>
      </c>
      <c r="F2762" s="2" t="s">
        <v>681</v>
      </c>
      <c r="G2762" s="1">
        <v>48.4</v>
      </c>
      <c r="H2762" s="1">
        <v>5</v>
      </c>
      <c r="I2762" s="1">
        <v>23.231999999999999</v>
      </c>
    </row>
    <row r="2763" spans="1:9" x14ac:dyDescent="0.35">
      <c r="A2763" s="3">
        <v>43079</v>
      </c>
      <c r="B2763" s="1" t="s">
        <v>318</v>
      </c>
      <c r="C2763" s="1" t="s">
        <v>64</v>
      </c>
      <c r="D2763" s="1" t="s">
        <v>18</v>
      </c>
      <c r="E2763" s="1" t="s">
        <v>81</v>
      </c>
      <c r="F2763" s="2" t="s">
        <v>2364</v>
      </c>
      <c r="G2763" s="1">
        <v>0.99</v>
      </c>
      <c r="H2763" s="1">
        <v>1</v>
      </c>
      <c r="I2763" s="1">
        <v>0.43559999999999999</v>
      </c>
    </row>
    <row r="2764" spans="1:9" x14ac:dyDescent="0.35">
      <c r="A2764" s="3">
        <v>43079</v>
      </c>
      <c r="B2764" s="1" t="s">
        <v>318</v>
      </c>
      <c r="C2764" s="1" t="s">
        <v>64</v>
      </c>
      <c r="D2764" s="1" t="s">
        <v>18</v>
      </c>
      <c r="E2764" s="1" t="s">
        <v>35</v>
      </c>
      <c r="F2764" s="2" t="s">
        <v>1654</v>
      </c>
      <c r="G2764" s="1">
        <v>101.84</v>
      </c>
      <c r="H2764" s="1">
        <v>5</v>
      </c>
      <c r="I2764" s="1">
        <v>36.917000000000002</v>
      </c>
    </row>
    <row r="2765" spans="1:9" x14ac:dyDescent="0.35">
      <c r="A2765" s="3" t="s">
        <v>3249</v>
      </c>
      <c r="B2765" s="1" t="s">
        <v>1721</v>
      </c>
      <c r="C2765" s="1" t="s">
        <v>74</v>
      </c>
      <c r="D2765" s="1" t="s">
        <v>75</v>
      </c>
      <c r="E2765" s="1" t="s">
        <v>35</v>
      </c>
      <c r="F2765" s="2" t="s">
        <v>2365</v>
      </c>
      <c r="G2765" s="1">
        <v>10.332000000000001</v>
      </c>
      <c r="H2765" s="1">
        <v>3</v>
      </c>
      <c r="I2765" s="1">
        <v>-7.5768000000000004</v>
      </c>
    </row>
    <row r="2766" spans="1:9" x14ac:dyDescent="0.35">
      <c r="A2766" s="3" t="s">
        <v>3249</v>
      </c>
      <c r="B2766" s="1" t="s">
        <v>1721</v>
      </c>
      <c r="C2766" s="1" t="s">
        <v>74</v>
      </c>
      <c r="D2766" s="1" t="s">
        <v>75</v>
      </c>
      <c r="E2766" s="1" t="s">
        <v>35</v>
      </c>
      <c r="F2766" s="2" t="s">
        <v>656</v>
      </c>
      <c r="G2766" s="1">
        <v>31.155000000000001</v>
      </c>
      <c r="H2766" s="1">
        <v>5</v>
      </c>
      <c r="I2766" s="1">
        <v>-23.8855</v>
      </c>
    </row>
    <row r="2767" spans="1:9" x14ac:dyDescent="0.35">
      <c r="A2767" s="3" t="s">
        <v>3249</v>
      </c>
      <c r="B2767" s="1" t="s">
        <v>1721</v>
      </c>
      <c r="C2767" s="1" t="s">
        <v>74</v>
      </c>
      <c r="D2767" s="1" t="s">
        <v>75</v>
      </c>
      <c r="E2767" s="1" t="s">
        <v>26</v>
      </c>
      <c r="F2767" s="2" t="s">
        <v>2366</v>
      </c>
      <c r="G2767" s="1">
        <v>8.9280000000000008</v>
      </c>
      <c r="H2767" s="1">
        <v>2</v>
      </c>
      <c r="I2767" s="1">
        <v>0.66959999999999997</v>
      </c>
    </row>
    <row r="2768" spans="1:9" x14ac:dyDescent="0.35">
      <c r="A2768" s="3" t="s">
        <v>3250</v>
      </c>
      <c r="B2768" s="1" t="s">
        <v>1293</v>
      </c>
      <c r="C2768" s="1" t="s">
        <v>74</v>
      </c>
      <c r="D2768" s="1" t="s">
        <v>75</v>
      </c>
      <c r="E2768" s="1" t="s">
        <v>37</v>
      </c>
      <c r="F2768" s="2" t="s">
        <v>2367</v>
      </c>
      <c r="G2768" s="1">
        <v>34.384</v>
      </c>
      <c r="H2768" s="1">
        <v>1</v>
      </c>
      <c r="I2768" s="1">
        <v>3.8681999999999999</v>
      </c>
    </row>
    <row r="2769" spans="1:9" x14ac:dyDescent="0.35">
      <c r="A2769" s="3" t="s">
        <v>3250</v>
      </c>
      <c r="B2769" s="1" t="s">
        <v>1293</v>
      </c>
      <c r="C2769" s="1" t="s">
        <v>74</v>
      </c>
      <c r="D2769" s="1" t="s">
        <v>75</v>
      </c>
      <c r="E2769" s="1" t="s">
        <v>37</v>
      </c>
      <c r="F2769" s="2" t="s">
        <v>457</v>
      </c>
      <c r="G2769" s="1">
        <v>1924.16</v>
      </c>
      <c r="H2769" s="1">
        <v>8</v>
      </c>
      <c r="I2769" s="1">
        <v>312.67599999999999</v>
      </c>
    </row>
    <row r="2770" spans="1:9" x14ac:dyDescent="0.35">
      <c r="A2770" s="3">
        <v>42039</v>
      </c>
      <c r="B2770" s="1" t="s">
        <v>2368</v>
      </c>
      <c r="C2770" s="1" t="s">
        <v>399</v>
      </c>
      <c r="D2770" s="1" t="s">
        <v>52</v>
      </c>
      <c r="E2770" s="1" t="s">
        <v>37</v>
      </c>
      <c r="F2770" s="2" t="s">
        <v>2369</v>
      </c>
      <c r="G2770" s="1">
        <v>32.192</v>
      </c>
      <c r="H2770" s="1">
        <v>2</v>
      </c>
      <c r="I2770" s="1">
        <v>-80.48</v>
      </c>
    </row>
    <row r="2771" spans="1:9" x14ac:dyDescent="0.35">
      <c r="A2771" s="3">
        <v>42039</v>
      </c>
      <c r="B2771" s="1" t="s">
        <v>2368</v>
      </c>
      <c r="C2771" s="1" t="s">
        <v>399</v>
      </c>
      <c r="D2771" s="1" t="s">
        <v>52</v>
      </c>
      <c r="E2771" s="1" t="s">
        <v>81</v>
      </c>
      <c r="F2771" s="2" t="s">
        <v>1760</v>
      </c>
      <c r="G2771" s="1">
        <v>50.12</v>
      </c>
      <c r="H2771" s="1">
        <v>7</v>
      </c>
      <c r="I2771" s="1">
        <v>-0.62649999999999995</v>
      </c>
    </row>
    <row r="2772" spans="1:9" x14ac:dyDescent="0.35">
      <c r="A2772" s="3">
        <v>42039</v>
      </c>
      <c r="B2772" s="1" t="s">
        <v>2368</v>
      </c>
      <c r="C2772" s="1" t="s">
        <v>399</v>
      </c>
      <c r="D2772" s="1" t="s">
        <v>52</v>
      </c>
      <c r="E2772" s="1" t="s">
        <v>81</v>
      </c>
      <c r="F2772" s="2" t="s">
        <v>2038</v>
      </c>
      <c r="G2772" s="1">
        <v>47.975999999999999</v>
      </c>
      <c r="H2772" s="1">
        <v>3</v>
      </c>
      <c r="I2772" s="1">
        <v>1.7990999999999999</v>
      </c>
    </row>
    <row r="2773" spans="1:9" x14ac:dyDescent="0.35">
      <c r="A2773" s="3">
        <v>42438</v>
      </c>
      <c r="B2773" s="1" t="s">
        <v>1343</v>
      </c>
      <c r="C2773" s="1" t="s">
        <v>2370</v>
      </c>
      <c r="D2773" s="1" t="s">
        <v>57</v>
      </c>
      <c r="E2773" s="1" t="s">
        <v>26</v>
      </c>
      <c r="F2773" s="2" t="s">
        <v>702</v>
      </c>
      <c r="G2773" s="1">
        <v>54.5</v>
      </c>
      <c r="H2773" s="1">
        <v>5</v>
      </c>
      <c r="I2773" s="1">
        <v>14.17</v>
      </c>
    </row>
    <row r="2774" spans="1:9" x14ac:dyDescent="0.35">
      <c r="A2774" s="3">
        <v>43020</v>
      </c>
      <c r="B2774" s="1" t="s">
        <v>1901</v>
      </c>
      <c r="C2774" s="1" t="s">
        <v>22</v>
      </c>
      <c r="D2774" s="1" t="s">
        <v>23</v>
      </c>
      <c r="E2774" s="1" t="s">
        <v>29</v>
      </c>
      <c r="F2774" s="2" t="s">
        <v>449</v>
      </c>
      <c r="G2774" s="1">
        <v>19.103999999999999</v>
      </c>
      <c r="H2774" s="1">
        <v>3</v>
      </c>
      <c r="I2774" s="1">
        <v>5.7312000000000003</v>
      </c>
    </row>
    <row r="2775" spans="1:9" x14ac:dyDescent="0.35">
      <c r="A2775" s="3" t="s">
        <v>3251</v>
      </c>
      <c r="B2775" s="1" t="s">
        <v>1309</v>
      </c>
      <c r="C2775" s="1" t="s">
        <v>429</v>
      </c>
      <c r="D2775" s="1" t="s">
        <v>120</v>
      </c>
      <c r="E2775" s="1" t="s">
        <v>35</v>
      </c>
      <c r="F2775" s="2" t="s">
        <v>209</v>
      </c>
      <c r="G2775" s="1">
        <v>49.44</v>
      </c>
      <c r="H2775" s="1">
        <v>3</v>
      </c>
      <c r="I2775" s="1">
        <v>24.2256</v>
      </c>
    </row>
    <row r="2776" spans="1:9" x14ac:dyDescent="0.35">
      <c r="A2776" s="3">
        <v>43050</v>
      </c>
      <c r="B2776" s="1" t="s">
        <v>1870</v>
      </c>
      <c r="C2776" s="1" t="s">
        <v>162</v>
      </c>
      <c r="D2776" s="1" t="s">
        <v>250</v>
      </c>
      <c r="E2776" s="1" t="s">
        <v>44</v>
      </c>
      <c r="F2776" s="2" t="s">
        <v>890</v>
      </c>
      <c r="G2776" s="1">
        <v>10.368</v>
      </c>
      <c r="H2776" s="1">
        <v>2</v>
      </c>
      <c r="I2776" s="1">
        <v>3.6288</v>
      </c>
    </row>
    <row r="2777" spans="1:9" x14ac:dyDescent="0.35">
      <c r="A2777" s="3" t="s">
        <v>3252</v>
      </c>
      <c r="B2777" s="1" t="s">
        <v>169</v>
      </c>
      <c r="C2777" s="1" t="s">
        <v>461</v>
      </c>
      <c r="D2777" s="1" t="s">
        <v>18</v>
      </c>
      <c r="E2777" s="1" t="s">
        <v>26</v>
      </c>
      <c r="F2777" s="2" t="s">
        <v>467</v>
      </c>
      <c r="G2777" s="1">
        <v>154.44</v>
      </c>
      <c r="H2777" s="1">
        <v>3</v>
      </c>
      <c r="I2777" s="1">
        <v>1.5444</v>
      </c>
    </row>
    <row r="2778" spans="1:9" x14ac:dyDescent="0.35">
      <c r="A2778" s="3" t="s">
        <v>3253</v>
      </c>
      <c r="B2778" s="1" t="s">
        <v>218</v>
      </c>
      <c r="C2778" s="1" t="s">
        <v>518</v>
      </c>
      <c r="D2778" s="1" t="s">
        <v>229</v>
      </c>
      <c r="E2778" s="1" t="s">
        <v>37</v>
      </c>
      <c r="F2778" s="2" t="s">
        <v>1559</v>
      </c>
      <c r="G2778" s="1">
        <v>60.984000000000002</v>
      </c>
      <c r="H2778" s="1">
        <v>7</v>
      </c>
      <c r="I2778" s="1">
        <v>4.5738000000000003</v>
      </c>
    </row>
    <row r="2779" spans="1:9" x14ac:dyDescent="0.35">
      <c r="A2779" s="3" t="s">
        <v>3254</v>
      </c>
      <c r="B2779" s="1" t="s">
        <v>1253</v>
      </c>
      <c r="C2779" s="1" t="s">
        <v>2371</v>
      </c>
      <c r="D2779" s="1" t="s">
        <v>18</v>
      </c>
      <c r="E2779" s="1" t="s">
        <v>12</v>
      </c>
      <c r="F2779" s="2" t="s">
        <v>1869</v>
      </c>
      <c r="G2779" s="1">
        <v>195.46600000000001</v>
      </c>
      <c r="H2779" s="1">
        <v>2</v>
      </c>
      <c r="I2779" s="1">
        <v>-13.797599999999999</v>
      </c>
    </row>
    <row r="2780" spans="1:9" x14ac:dyDescent="0.35">
      <c r="A2780" s="3" t="s">
        <v>3255</v>
      </c>
      <c r="B2780" s="1" t="s">
        <v>661</v>
      </c>
      <c r="C2780" s="1" t="s">
        <v>2372</v>
      </c>
      <c r="D2780" s="1" t="s">
        <v>23</v>
      </c>
      <c r="E2780" s="1" t="s">
        <v>29</v>
      </c>
      <c r="F2780" s="2" t="s">
        <v>645</v>
      </c>
      <c r="G2780" s="1">
        <v>23.68</v>
      </c>
      <c r="H2780" s="1">
        <v>8</v>
      </c>
      <c r="I2780" s="1">
        <v>6.2160000000000002</v>
      </c>
    </row>
    <row r="2781" spans="1:9" x14ac:dyDescent="0.35">
      <c r="A2781" s="3" t="s">
        <v>3255</v>
      </c>
      <c r="B2781" s="1" t="s">
        <v>661</v>
      </c>
      <c r="C2781" s="1" t="s">
        <v>2372</v>
      </c>
      <c r="D2781" s="1" t="s">
        <v>23</v>
      </c>
      <c r="E2781" s="1" t="s">
        <v>81</v>
      </c>
      <c r="F2781" s="2" t="s">
        <v>2373</v>
      </c>
      <c r="G2781" s="1">
        <v>2.3759999999999999</v>
      </c>
      <c r="H2781" s="1">
        <v>3</v>
      </c>
      <c r="I2781" s="1">
        <v>0.74250000000000005</v>
      </c>
    </row>
    <row r="2782" spans="1:9" x14ac:dyDescent="0.35">
      <c r="A2782" s="3">
        <v>42891</v>
      </c>
      <c r="B2782" s="1" t="s">
        <v>2325</v>
      </c>
      <c r="C2782" s="1" t="s">
        <v>135</v>
      </c>
      <c r="D2782" s="1" t="s">
        <v>136</v>
      </c>
      <c r="E2782" s="1" t="s">
        <v>19</v>
      </c>
      <c r="F2782" s="2" t="s">
        <v>415</v>
      </c>
      <c r="G2782" s="1">
        <v>59.2</v>
      </c>
      <c r="H2782" s="1">
        <v>4</v>
      </c>
      <c r="I2782" s="1">
        <v>29.6</v>
      </c>
    </row>
    <row r="2783" spans="1:9" x14ac:dyDescent="0.35">
      <c r="A2783" s="3" t="s">
        <v>3256</v>
      </c>
      <c r="B2783" s="1" t="s">
        <v>2320</v>
      </c>
      <c r="C2783" s="1" t="s">
        <v>454</v>
      </c>
      <c r="D2783" s="1" t="s">
        <v>115</v>
      </c>
      <c r="E2783" s="1" t="s">
        <v>31</v>
      </c>
      <c r="F2783" s="2" t="s">
        <v>430</v>
      </c>
      <c r="G2783" s="1">
        <v>22</v>
      </c>
      <c r="H2783" s="1">
        <v>10</v>
      </c>
      <c r="I2783" s="1">
        <v>9.68</v>
      </c>
    </row>
    <row r="2784" spans="1:9" x14ac:dyDescent="0.35">
      <c r="A2784" s="3">
        <v>42685</v>
      </c>
      <c r="B2784" s="1" t="s">
        <v>1580</v>
      </c>
      <c r="C2784" s="1" t="s">
        <v>429</v>
      </c>
      <c r="D2784" s="1" t="s">
        <v>120</v>
      </c>
      <c r="E2784" s="1" t="s">
        <v>33</v>
      </c>
      <c r="F2784" s="2" t="s">
        <v>1609</v>
      </c>
      <c r="G2784" s="1">
        <v>257.98</v>
      </c>
      <c r="H2784" s="1">
        <v>2</v>
      </c>
      <c r="I2784" s="1">
        <v>74.8142</v>
      </c>
    </row>
    <row r="2785" spans="1:9" x14ac:dyDescent="0.35">
      <c r="A2785" s="3">
        <v>42501</v>
      </c>
      <c r="B2785" s="1" t="s">
        <v>634</v>
      </c>
      <c r="C2785" s="1" t="s">
        <v>74</v>
      </c>
      <c r="D2785" s="1" t="s">
        <v>75</v>
      </c>
      <c r="E2785" s="1" t="s">
        <v>33</v>
      </c>
      <c r="F2785" s="2" t="s">
        <v>2374</v>
      </c>
      <c r="G2785" s="1">
        <v>23.988</v>
      </c>
      <c r="H2785" s="1">
        <v>2</v>
      </c>
      <c r="I2785" s="1">
        <v>-15.992000000000001</v>
      </c>
    </row>
    <row r="2786" spans="1:9" x14ac:dyDescent="0.35">
      <c r="A2786" s="3">
        <v>42623</v>
      </c>
      <c r="B2786" s="1" t="s">
        <v>699</v>
      </c>
      <c r="C2786" s="1" t="s">
        <v>141</v>
      </c>
      <c r="D2786" s="1" t="s">
        <v>250</v>
      </c>
      <c r="E2786" s="1" t="s">
        <v>33</v>
      </c>
      <c r="F2786" s="2" t="s">
        <v>1898</v>
      </c>
      <c r="G2786" s="1">
        <v>23.975999999999999</v>
      </c>
      <c r="H2786" s="1">
        <v>4</v>
      </c>
      <c r="I2786" s="1">
        <v>-15.5844</v>
      </c>
    </row>
    <row r="2787" spans="1:9" x14ac:dyDescent="0.35">
      <c r="A2787" s="3" t="s">
        <v>3257</v>
      </c>
      <c r="B2787" s="1" t="s">
        <v>1844</v>
      </c>
      <c r="C2787" s="1" t="s">
        <v>17</v>
      </c>
      <c r="D2787" s="1" t="s">
        <v>18</v>
      </c>
      <c r="E2787" s="1" t="s">
        <v>14</v>
      </c>
      <c r="F2787" s="2" t="s">
        <v>891</v>
      </c>
      <c r="G2787" s="1">
        <v>601.53599999999994</v>
      </c>
      <c r="H2787" s="1">
        <v>4</v>
      </c>
      <c r="I2787" s="1">
        <v>0</v>
      </c>
    </row>
    <row r="2788" spans="1:9" x14ac:dyDescent="0.35">
      <c r="A2788" s="3" t="s">
        <v>3257</v>
      </c>
      <c r="B2788" s="1" t="s">
        <v>1844</v>
      </c>
      <c r="C2788" s="1" t="s">
        <v>17</v>
      </c>
      <c r="D2788" s="1" t="s">
        <v>18</v>
      </c>
      <c r="E2788" s="1" t="s">
        <v>137</v>
      </c>
      <c r="F2788" s="2" t="s">
        <v>2375</v>
      </c>
      <c r="G2788" s="1">
        <v>7.9</v>
      </c>
      <c r="H2788" s="1">
        <v>2</v>
      </c>
      <c r="I2788" s="1">
        <v>2.528</v>
      </c>
    </row>
    <row r="2789" spans="1:9" x14ac:dyDescent="0.35">
      <c r="A2789" s="3">
        <v>41682</v>
      </c>
      <c r="B2789" s="1" t="s">
        <v>1960</v>
      </c>
      <c r="C2789" s="1" t="s">
        <v>2376</v>
      </c>
      <c r="D2789" s="1" t="s">
        <v>52</v>
      </c>
      <c r="E2789" s="1" t="s">
        <v>29</v>
      </c>
      <c r="F2789" s="2" t="s">
        <v>548</v>
      </c>
      <c r="G2789" s="1">
        <v>58.36</v>
      </c>
      <c r="H2789" s="1">
        <v>5</v>
      </c>
      <c r="I2789" s="1">
        <v>-24.803000000000001</v>
      </c>
    </row>
    <row r="2790" spans="1:9" x14ac:dyDescent="0.35">
      <c r="A2790" s="3">
        <v>41682</v>
      </c>
      <c r="B2790" s="1" t="s">
        <v>1960</v>
      </c>
      <c r="C2790" s="1" t="s">
        <v>2376</v>
      </c>
      <c r="D2790" s="1" t="s">
        <v>52</v>
      </c>
      <c r="E2790" s="1" t="s">
        <v>31</v>
      </c>
      <c r="F2790" s="2" t="s">
        <v>293</v>
      </c>
      <c r="G2790" s="1">
        <v>16.463999999999999</v>
      </c>
      <c r="H2790" s="1">
        <v>7</v>
      </c>
      <c r="I2790" s="1">
        <v>1.4406000000000001</v>
      </c>
    </row>
    <row r="2791" spans="1:9" x14ac:dyDescent="0.35">
      <c r="A2791" s="3">
        <v>41682</v>
      </c>
      <c r="B2791" s="1" t="s">
        <v>1960</v>
      </c>
      <c r="C2791" s="1" t="s">
        <v>2376</v>
      </c>
      <c r="D2791" s="1" t="s">
        <v>52</v>
      </c>
      <c r="E2791" s="1" t="s">
        <v>29</v>
      </c>
      <c r="F2791" s="2" t="s">
        <v>996</v>
      </c>
      <c r="G2791" s="1">
        <v>39.96</v>
      </c>
      <c r="H2791" s="1">
        <v>5</v>
      </c>
      <c r="I2791" s="1">
        <v>-23.975999999999999</v>
      </c>
    </row>
    <row r="2792" spans="1:9" x14ac:dyDescent="0.35">
      <c r="A2792" s="3" t="s">
        <v>3258</v>
      </c>
      <c r="B2792" s="1" t="s">
        <v>1170</v>
      </c>
      <c r="C2792" s="1" t="s">
        <v>1138</v>
      </c>
      <c r="D2792" s="1" t="s">
        <v>70</v>
      </c>
      <c r="E2792" s="1" t="s">
        <v>37</v>
      </c>
      <c r="F2792" s="2" t="s">
        <v>220</v>
      </c>
      <c r="G2792" s="1">
        <v>25.96</v>
      </c>
      <c r="H2792" s="1">
        <v>2</v>
      </c>
      <c r="I2792" s="1">
        <v>7.5284000000000004</v>
      </c>
    </row>
    <row r="2793" spans="1:9" x14ac:dyDescent="0.35">
      <c r="A2793" s="3" t="s">
        <v>3258</v>
      </c>
      <c r="B2793" s="1" t="s">
        <v>1170</v>
      </c>
      <c r="C2793" s="1" t="s">
        <v>1138</v>
      </c>
      <c r="D2793" s="1" t="s">
        <v>70</v>
      </c>
      <c r="E2793" s="1" t="s">
        <v>37</v>
      </c>
      <c r="F2793" s="2" t="s">
        <v>1991</v>
      </c>
      <c r="G2793" s="1">
        <v>36.270000000000003</v>
      </c>
      <c r="H2793" s="1">
        <v>3</v>
      </c>
      <c r="I2793" s="1">
        <v>10.881</v>
      </c>
    </row>
    <row r="2794" spans="1:9" x14ac:dyDescent="0.35">
      <c r="A2794" s="3" t="s">
        <v>3258</v>
      </c>
      <c r="B2794" s="1" t="s">
        <v>1170</v>
      </c>
      <c r="C2794" s="1" t="s">
        <v>1138</v>
      </c>
      <c r="D2794" s="1" t="s">
        <v>70</v>
      </c>
      <c r="E2794" s="1" t="s">
        <v>44</v>
      </c>
      <c r="F2794" s="2" t="s">
        <v>1389</v>
      </c>
      <c r="G2794" s="1">
        <v>6.48</v>
      </c>
      <c r="H2794" s="1">
        <v>1</v>
      </c>
      <c r="I2794" s="1">
        <v>3.1103999999999998</v>
      </c>
    </row>
    <row r="2795" spans="1:9" x14ac:dyDescent="0.35">
      <c r="A2795" s="3">
        <v>41977</v>
      </c>
      <c r="B2795" s="1" t="s">
        <v>2293</v>
      </c>
      <c r="C2795" s="1" t="s">
        <v>2377</v>
      </c>
      <c r="D2795" s="1" t="s">
        <v>18</v>
      </c>
      <c r="E2795" s="1" t="s">
        <v>33</v>
      </c>
      <c r="F2795" s="2" t="s">
        <v>1162</v>
      </c>
      <c r="G2795" s="1">
        <v>1075.088</v>
      </c>
      <c r="H2795" s="1">
        <v>14</v>
      </c>
      <c r="I2795" s="1">
        <v>94.0702</v>
      </c>
    </row>
    <row r="2796" spans="1:9" x14ac:dyDescent="0.35">
      <c r="A2796" s="3">
        <v>41977</v>
      </c>
      <c r="B2796" s="1" t="s">
        <v>2293</v>
      </c>
      <c r="C2796" s="1" t="s">
        <v>2377</v>
      </c>
      <c r="D2796" s="1" t="s">
        <v>18</v>
      </c>
      <c r="E2796" s="1" t="s">
        <v>33</v>
      </c>
      <c r="F2796" s="2" t="s">
        <v>1395</v>
      </c>
      <c r="G2796" s="1">
        <v>438.36799999999999</v>
      </c>
      <c r="H2796" s="1">
        <v>4</v>
      </c>
      <c r="I2796" s="1">
        <v>38.357199999999999</v>
      </c>
    </row>
    <row r="2797" spans="1:9" x14ac:dyDescent="0.35">
      <c r="A2797" s="3">
        <v>41977</v>
      </c>
      <c r="B2797" s="1" t="s">
        <v>2293</v>
      </c>
      <c r="C2797" s="1" t="s">
        <v>2377</v>
      </c>
      <c r="D2797" s="1" t="s">
        <v>18</v>
      </c>
      <c r="E2797" s="1" t="s">
        <v>35</v>
      </c>
      <c r="F2797" s="2" t="s">
        <v>905</v>
      </c>
      <c r="G2797" s="1">
        <v>18.088000000000001</v>
      </c>
      <c r="H2797" s="1">
        <v>7</v>
      </c>
      <c r="I2797" s="1">
        <v>6.5568999999999997</v>
      </c>
    </row>
    <row r="2798" spans="1:9" x14ac:dyDescent="0.35">
      <c r="A2798" s="3">
        <v>41977</v>
      </c>
      <c r="B2798" s="1" t="s">
        <v>2293</v>
      </c>
      <c r="C2798" s="1" t="s">
        <v>2377</v>
      </c>
      <c r="D2798" s="1" t="s">
        <v>18</v>
      </c>
      <c r="E2798" s="1" t="s">
        <v>12</v>
      </c>
      <c r="F2798" s="2" t="s">
        <v>780</v>
      </c>
      <c r="G2798" s="1">
        <v>308.49900000000002</v>
      </c>
      <c r="H2798" s="1">
        <v>3</v>
      </c>
      <c r="I2798" s="1">
        <v>-18.146999999999998</v>
      </c>
    </row>
    <row r="2799" spans="1:9" x14ac:dyDescent="0.35">
      <c r="A2799" s="3" t="s">
        <v>3259</v>
      </c>
      <c r="B2799" s="1" t="s">
        <v>1744</v>
      </c>
      <c r="C2799" s="1" t="s">
        <v>2100</v>
      </c>
      <c r="D2799" s="1" t="s">
        <v>797</v>
      </c>
      <c r="E2799" s="1" t="s">
        <v>31</v>
      </c>
      <c r="F2799" s="2" t="s">
        <v>2005</v>
      </c>
      <c r="G2799" s="1">
        <v>13.36</v>
      </c>
      <c r="H2799" s="1">
        <v>4</v>
      </c>
      <c r="I2799" s="1">
        <v>4.1416000000000004</v>
      </c>
    </row>
    <row r="2800" spans="1:9" x14ac:dyDescent="0.35">
      <c r="A2800" s="3" t="s">
        <v>3259</v>
      </c>
      <c r="B2800" s="1" t="s">
        <v>1744</v>
      </c>
      <c r="C2800" s="1" t="s">
        <v>2100</v>
      </c>
      <c r="D2800" s="1" t="s">
        <v>797</v>
      </c>
      <c r="E2800" s="1" t="s">
        <v>44</v>
      </c>
      <c r="F2800" s="2" t="s">
        <v>1189</v>
      </c>
      <c r="G2800" s="1">
        <v>39.96</v>
      </c>
      <c r="H2800" s="1">
        <v>2</v>
      </c>
      <c r="I2800" s="1">
        <v>18.781199999999998</v>
      </c>
    </row>
    <row r="2801" spans="1:9" x14ac:dyDescent="0.35">
      <c r="A2801" s="3" t="s">
        <v>3259</v>
      </c>
      <c r="B2801" s="1" t="s">
        <v>1744</v>
      </c>
      <c r="C2801" s="1" t="s">
        <v>2100</v>
      </c>
      <c r="D2801" s="1" t="s">
        <v>797</v>
      </c>
      <c r="E2801" s="1" t="s">
        <v>35</v>
      </c>
      <c r="F2801" s="2" t="s">
        <v>1223</v>
      </c>
      <c r="G2801" s="1">
        <v>145.85</v>
      </c>
      <c r="H2801" s="1">
        <v>5</v>
      </c>
      <c r="I2801" s="1">
        <v>70.007999999999996</v>
      </c>
    </row>
    <row r="2802" spans="1:9" x14ac:dyDescent="0.35">
      <c r="A2802" s="3" t="s">
        <v>3260</v>
      </c>
      <c r="B2802" s="1" t="s">
        <v>1214</v>
      </c>
      <c r="C2802" s="1" t="s">
        <v>672</v>
      </c>
      <c r="D2802" s="1" t="s">
        <v>23</v>
      </c>
      <c r="E2802" s="1" t="s">
        <v>33</v>
      </c>
      <c r="F2802" s="2" t="s">
        <v>847</v>
      </c>
      <c r="G2802" s="1">
        <v>783.96</v>
      </c>
      <c r="H2802" s="1">
        <v>5</v>
      </c>
      <c r="I2802" s="1">
        <v>78.396000000000001</v>
      </c>
    </row>
    <row r="2803" spans="1:9" x14ac:dyDescent="0.35">
      <c r="A2803" s="3">
        <v>42015</v>
      </c>
      <c r="B2803" s="1" t="s">
        <v>1179</v>
      </c>
      <c r="C2803" s="1" t="s">
        <v>909</v>
      </c>
      <c r="D2803" s="1" t="s">
        <v>212</v>
      </c>
      <c r="E2803" s="1" t="s">
        <v>31</v>
      </c>
      <c r="F2803" s="2" t="s">
        <v>91</v>
      </c>
      <c r="G2803" s="1">
        <v>7.88</v>
      </c>
      <c r="H2803" s="1">
        <v>1</v>
      </c>
      <c r="I2803" s="1">
        <v>1.7729999999999999</v>
      </c>
    </row>
    <row r="2804" spans="1:9" x14ac:dyDescent="0.35">
      <c r="A2804" s="3">
        <v>42805</v>
      </c>
      <c r="B2804" s="1" t="s">
        <v>2378</v>
      </c>
      <c r="C2804" s="1" t="s">
        <v>2349</v>
      </c>
      <c r="D2804" s="1" t="s">
        <v>331</v>
      </c>
      <c r="E2804" s="1" t="s">
        <v>29</v>
      </c>
      <c r="F2804" s="2" t="s">
        <v>215</v>
      </c>
      <c r="G2804" s="1">
        <v>41.37</v>
      </c>
      <c r="H2804" s="1">
        <v>3</v>
      </c>
      <c r="I2804" s="1">
        <v>17.375399999999999</v>
      </c>
    </row>
    <row r="2805" spans="1:9" x14ac:dyDescent="0.35">
      <c r="A2805" s="3">
        <v>42343</v>
      </c>
      <c r="B2805" s="1" t="s">
        <v>1692</v>
      </c>
      <c r="C2805" s="1" t="s">
        <v>64</v>
      </c>
      <c r="D2805" s="1" t="s">
        <v>18</v>
      </c>
      <c r="E2805" s="1" t="s">
        <v>44</v>
      </c>
      <c r="F2805" s="2" t="s">
        <v>1864</v>
      </c>
      <c r="G2805" s="1">
        <v>12.84</v>
      </c>
      <c r="H2805" s="1">
        <v>3</v>
      </c>
      <c r="I2805" s="1">
        <v>5.7779999999999996</v>
      </c>
    </row>
    <row r="2806" spans="1:9" x14ac:dyDescent="0.35">
      <c r="A2806" s="3">
        <v>42343</v>
      </c>
      <c r="B2806" s="1" t="s">
        <v>1692</v>
      </c>
      <c r="C2806" s="1" t="s">
        <v>64</v>
      </c>
      <c r="D2806" s="1" t="s">
        <v>18</v>
      </c>
      <c r="E2806" s="1" t="s">
        <v>44</v>
      </c>
      <c r="F2806" s="2" t="s">
        <v>2379</v>
      </c>
      <c r="G2806" s="1">
        <v>25.68</v>
      </c>
      <c r="H2806" s="1">
        <v>6</v>
      </c>
      <c r="I2806" s="1">
        <v>11.555999999999999</v>
      </c>
    </row>
    <row r="2807" spans="1:9" x14ac:dyDescent="0.35">
      <c r="A2807" s="3">
        <v>42194</v>
      </c>
      <c r="B2807" s="1" t="s">
        <v>901</v>
      </c>
      <c r="C2807" s="1" t="s">
        <v>1766</v>
      </c>
      <c r="D2807" s="1" t="s">
        <v>52</v>
      </c>
      <c r="E2807" s="1" t="s">
        <v>14</v>
      </c>
      <c r="F2807" s="2" t="s">
        <v>2109</v>
      </c>
      <c r="G2807" s="1">
        <v>47.515999999999998</v>
      </c>
      <c r="H2807" s="1">
        <v>2</v>
      </c>
      <c r="I2807" s="1">
        <v>-2.0364</v>
      </c>
    </row>
    <row r="2808" spans="1:9" x14ac:dyDescent="0.35">
      <c r="A2808" s="3" t="s">
        <v>3261</v>
      </c>
      <c r="B2808" s="1" t="s">
        <v>2380</v>
      </c>
      <c r="C2808" s="1" t="s">
        <v>47</v>
      </c>
      <c r="D2808" s="1" t="s">
        <v>48</v>
      </c>
      <c r="E2808" s="1" t="s">
        <v>137</v>
      </c>
      <c r="F2808" s="2" t="s">
        <v>2006</v>
      </c>
      <c r="G2808" s="1">
        <v>9.42</v>
      </c>
      <c r="H2808" s="1">
        <v>2</v>
      </c>
      <c r="I2808" s="1">
        <v>0.47099999999999997</v>
      </c>
    </row>
    <row r="2809" spans="1:9" x14ac:dyDescent="0.35">
      <c r="A2809" s="3" t="s">
        <v>3261</v>
      </c>
      <c r="B2809" s="1" t="s">
        <v>2380</v>
      </c>
      <c r="C2809" s="1" t="s">
        <v>47</v>
      </c>
      <c r="D2809" s="1" t="s">
        <v>48</v>
      </c>
      <c r="E2809" s="1" t="s">
        <v>44</v>
      </c>
      <c r="F2809" s="2" t="s">
        <v>2381</v>
      </c>
      <c r="G2809" s="1">
        <v>12.96</v>
      </c>
      <c r="H2809" s="1">
        <v>2</v>
      </c>
      <c r="I2809" s="1">
        <v>6.2207999999999997</v>
      </c>
    </row>
    <row r="2810" spans="1:9" x14ac:dyDescent="0.35">
      <c r="A2810" s="3" t="s">
        <v>3261</v>
      </c>
      <c r="B2810" s="1" t="s">
        <v>2380</v>
      </c>
      <c r="C2810" s="1" t="s">
        <v>47</v>
      </c>
      <c r="D2810" s="1" t="s">
        <v>48</v>
      </c>
      <c r="E2810" s="1" t="s">
        <v>12</v>
      </c>
      <c r="F2810" s="2" t="s">
        <v>2232</v>
      </c>
      <c r="G2810" s="1">
        <v>704.9</v>
      </c>
      <c r="H2810" s="1">
        <v>5</v>
      </c>
      <c r="I2810" s="1">
        <v>56.392000000000003</v>
      </c>
    </row>
    <row r="2811" spans="1:9" x14ac:dyDescent="0.35">
      <c r="A2811" s="3" t="s">
        <v>3261</v>
      </c>
      <c r="B2811" s="1" t="s">
        <v>2380</v>
      </c>
      <c r="C2811" s="1" t="s">
        <v>47</v>
      </c>
      <c r="D2811" s="1" t="s">
        <v>48</v>
      </c>
      <c r="E2811" s="1" t="s">
        <v>14</v>
      </c>
      <c r="F2811" s="2" t="s">
        <v>1886</v>
      </c>
      <c r="G2811" s="1">
        <v>561.56799999999998</v>
      </c>
      <c r="H2811" s="1">
        <v>2</v>
      </c>
      <c r="I2811" s="1">
        <v>28.078399999999998</v>
      </c>
    </row>
    <row r="2812" spans="1:9" x14ac:dyDescent="0.35">
      <c r="A2812" s="3" t="s">
        <v>3262</v>
      </c>
      <c r="B2812" s="1" t="s">
        <v>1733</v>
      </c>
      <c r="C2812" s="1" t="s">
        <v>1147</v>
      </c>
      <c r="D2812" s="1" t="s">
        <v>57</v>
      </c>
      <c r="E2812" s="1" t="s">
        <v>44</v>
      </c>
      <c r="F2812" s="2" t="s">
        <v>687</v>
      </c>
      <c r="G2812" s="1">
        <v>179.82</v>
      </c>
      <c r="H2812" s="1">
        <v>9</v>
      </c>
      <c r="I2812" s="1">
        <v>84.5154</v>
      </c>
    </row>
    <row r="2813" spans="1:9" x14ac:dyDescent="0.35">
      <c r="A2813" s="3" t="s">
        <v>3262</v>
      </c>
      <c r="B2813" s="1" t="s">
        <v>1733</v>
      </c>
      <c r="C2813" s="1" t="s">
        <v>1147</v>
      </c>
      <c r="D2813" s="1" t="s">
        <v>57</v>
      </c>
      <c r="E2813" s="1" t="s">
        <v>29</v>
      </c>
      <c r="F2813" s="2" t="s">
        <v>2382</v>
      </c>
      <c r="G2813" s="1">
        <v>185.58</v>
      </c>
      <c r="H2813" s="1">
        <v>6</v>
      </c>
      <c r="I2813" s="1">
        <v>76.087800000000001</v>
      </c>
    </row>
    <row r="2814" spans="1:9" x14ac:dyDescent="0.35">
      <c r="A2814" s="3" t="s">
        <v>3262</v>
      </c>
      <c r="B2814" s="1" t="s">
        <v>1733</v>
      </c>
      <c r="C2814" s="1" t="s">
        <v>1147</v>
      </c>
      <c r="D2814" s="1" t="s">
        <v>57</v>
      </c>
      <c r="E2814" s="1" t="s">
        <v>24</v>
      </c>
      <c r="F2814" s="2" t="s">
        <v>1244</v>
      </c>
      <c r="G2814" s="1">
        <v>214.11</v>
      </c>
      <c r="H2814" s="1">
        <v>3</v>
      </c>
      <c r="I2814" s="1">
        <v>36.398699999999998</v>
      </c>
    </row>
    <row r="2815" spans="1:9" x14ac:dyDescent="0.35">
      <c r="A2815" s="3" t="s">
        <v>3262</v>
      </c>
      <c r="B2815" s="1" t="s">
        <v>1733</v>
      </c>
      <c r="C2815" s="1" t="s">
        <v>1147</v>
      </c>
      <c r="D2815" s="1" t="s">
        <v>57</v>
      </c>
      <c r="E2815" s="1" t="s">
        <v>81</v>
      </c>
      <c r="F2815" s="2" t="s">
        <v>2140</v>
      </c>
      <c r="G2815" s="1">
        <v>999.96</v>
      </c>
      <c r="H2815" s="1">
        <v>4</v>
      </c>
      <c r="I2815" s="1">
        <v>229.99080000000001</v>
      </c>
    </row>
    <row r="2816" spans="1:9" x14ac:dyDescent="0.35">
      <c r="A2816" s="3" t="s">
        <v>3262</v>
      </c>
      <c r="B2816" s="1" t="s">
        <v>1733</v>
      </c>
      <c r="C2816" s="1" t="s">
        <v>1147</v>
      </c>
      <c r="D2816" s="1" t="s">
        <v>57</v>
      </c>
      <c r="E2816" s="1" t="s">
        <v>24</v>
      </c>
      <c r="F2816" s="2" t="s">
        <v>997</v>
      </c>
      <c r="G2816" s="1">
        <v>653.54999999999995</v>
      </c>
      <c r="H2816" s="1">
        <v>3</v>
      </c>
      <c r="I2816" s="1">
        <v>111.1035</v>
      </c>
    </row>
    <row r="2817" spans="1:9" x14ac:dyDescent="0.35">
      <c r="A2817" s="3">
        <v>42013</v>
      </c>
      <c r="B2817" s="1" t="s">
        <v>2383</v>
      </c>
      <c r="C2817" s="1" t="s">
        <v>306</v>
      </c>
      <c r="D2817" s="1" t="s">
        <v>592</v>
      </c>
      <c r="E2817" s="1" t="s">
        <v>35</v>
      </c>
      <c r="F2817" s="2" t="s">
        <v>1232</v>
      </c>
      <c r="G2817" s="1">
        <v>114.6</v>
      </c>
      <c r="H2817" s="1">
        <v>5</v>
      </c>
      <c r="I2817" s="1">
        <v>51.57</v>
      </c>
    </row>
    <row r="2818" spans="1:9" x14ac:dyDescent="0.35">
      <c r="A2818" s="3">
        <v>42013</v>
      </c>
      <c r="B2818" s="1" t="s">
        <v>2383</v>
      </c>
      <c r="C2818" s="1" t="s">
        <v>306</v>
      </c>
      <c r="D2818" s="1" t="s">
        <v>592</v>
      </c>
      <c r="E2818" s="1" t="s">
        <v>14</v>
      </c>
      <c r="F2818" s="2" t="s">
        <v>348</v>
      </c>
      <c r="G2818" s="1">
        <v>60.74</v>
      </c>
      <c r="H2818" s="1">
        <v>1</v>
      </c>
      <c r="I2818" s="1">
        <v>15.185</v>
      </c>
    </row>
    <row r="2819" spans="1:9" x14ac:dyDescent="0.35">
      <c r="A2819" s="3">
        <v>42013</v>
      </c>
      <c r="B2819" s="1" t="s">
        <v>2383</v>
      </c>
      <c r="C2819" s="1" t="s">
        <v>306</v>
      </c>
      <c r="D2819" s="1" t="s">
        <v>592</v>
      </c>
      <c r="E2819" s="1" t="s">
        <v>29</v>
      </c>
      <c r="F2819" s="2" t="s">
        <v>2145</v>
      </c>
      <c r="G2819" s="1">
        <v>124.36</v>
      </c>
      <c r="H2819" s="1">
        <v>2</v>
      </c>
      <c r="I2819" s="1">
        <v>27.359200000000001</v>
      </c>
    </row>
    <row r="2820" spans="1:9" x14ac:dyDescent="0.35">
      <c r="A2820" s="3">
        <v>42013</v>
      </c>
      <c r="B2820" s="1" t="s">
        <v>2383</v>
      </c>
      <c r="C2820" s="1" t="s">
        <v>306</v>
      </c>
      <c r="D2820" s="1" t="s">
        <v>592</v>
      </c>
      <c r="E2820" s="1" t="s">
        <v>26</v>
      </c>
      <c r="F2820" s="2" t="s">
        <v>489</v>
      </c>
      <c r="G2820" s="1">
        <v>1088.76</v>
      </c>
      <c r="H2820" s="1">
        <v>6</v>
      </c>
      <c r="I2820" s="1">
        <v>315.74040000000002</v>
      </c>
    </row>
    <row r="2821" spans="1:9" x14ac:dyDescent="0.35">
      <c r="A2821" s="3">
        <v>42495</v>
      </c>
      <c r="B2821" s="1" t="s">
        <v>2384</v>
      </c>
      <c r="C2821" s="1" t="s">
        <v>1413</v>
      </c>
      <c r="D2821" s="1" t="s">
        <v>18</v>
      </c>
      <c r="E2821" s="1" t="s">
        <v>35</v>
      </c>
      <c r="F2821" s="2" t="s">
        <v>2215</v>
      </c>
      <c r="G2821" s="1">
        <v>6.72</v>
      </c>
      <c r="H2821" s="1">
        <v>5</v>
      </c>
      <c r="I2821" s="1">
        <v>2.3519999999999999</v>
      </c>
    </row>
    <row r="2822" spans="1:9" x14ac:dyDescent="0.35">
      <c r="A2822" s="3">
        <v>42495</v>
      </c>
      <c r="B2822" s="1" t="s">
        <v>2384</v>
      </c>
      <c r="C2822" s="1" t="s">
        <v>1413</v>
      </c>
      <c r="D2822" s="1" t="s">
        <v>18</v>
      </c>
      <c r="E2822" s="1" t="s">
        <v>24</v>
      </c>
      <c r="F2822" s="2" t="s">
        <v>431</v>
      </c>
      <c r="G2822" s="1">
        <v>298.77600000000001</v>
      </c>
      <c r="H2822" s="1">
        <v>3</v>
      </c>
      <c r="I2822" s="1">
        <v>7.4694000000000003</v>
      </c>
    </row>
    <row r="2823" spans="1:9" x14ac:dyDescent="0.35">
      <c r="A2823" s="3" t="s">
        <v>3263</v>
      </c>
      <c r="B2823" s="1" t="s">
        <v>1371</v>
      </c>
      <c r="C2823" s="1" t="s">
        <v>871</v>
      </c>
      <c r="D2823" s="1" t="s">
        <v>18</v>
      </c>
      <c r="E2823" s="1" t="s">
        <v>33</v>
      </c>
      <c r="F2823" s="2" t="s">
        <v>420</v>
      </c>
      <c r="G2823" s="1">
        <v>302.37599999999998</v>
      </c>
      <c r="H2823" s="1">
        <v>3</v>
      </c>
      <c r="I2823" s="1">
        <v>22.6782</v>
      </c>
    </row>
    <row r="2824" spans="1:9" x14ac:dyDescent="0.35">
      <c r="A2824" s="3" t="s">
        <v>3179</v>
      </c>
      <c r="B2824" s="1" t="s">
        <v>1527</v>
      </c>
      <c r="C2824" s="1" t="s">
        <v>540</v>
      </c>
      <c r="D2824" s="1" t="s">
        <v>52</v>
      </c>
      <c r="E2824" s="1" t="s">
        <v>31</v>
      </c>
      <c r="F2824" s="2" t="s">
        <v>586</v>
      </c>
      <c r="G2824" s="1">
        <v>8.9280000000000008</v>
      </c>
      <c r="H2824" s="1">
        <v>2</v>
      </c>
      <c r="I2824" s="1">
        <v>0.55800000000000005</v>
      </c>
    </row>
    <row r="2825" spans="1:9" x14ac:dyDescent="0.35">
      <c r="A2825" s="3" t="s">
        <v>3179</v>
      </c>
      <c r="B2825" s="1" t="s">
        <v>1527</v>
      </c>
      <c r="C2825" s="1" t="s">
        <v>540</v>
      </c>
      <c r="D2825" s="1" t="s">
        <v>52</v>
      </c>
      <c r="E2825" s="1" t="s">
        <v>26</v>
      </c>
      <c r="F2825" s="2" t="s">
        <v>1791</v>
      </c>
      <c r="G2825" s="1">
        <v>47.584000000000003</v>
      </c>
      <c r="H2825" s="1">
        <v>2</v>
      </c>
      <c r="I2825" s="1">
        <v>-2.9740000000000002</v>
      </c>
    </row>
    <row r="2826" spans="1:9" x14ac:dyDescent="0.35">
      <c r="A2826" s="3" t="s">
        <v>3264</v>
      </c>
      <c r="B2826" s="1" t="s">
        <v>778</v>
      </c>
      <c r="C2826" s="1" t="s">
        <v>93</v>
      </c>
      <c r="D2826" s="1" t="s">
        <v>52</v>
      </c>
      <c r="E2826" s="1" t="s">
        <v>44</v>
      </c>
      <c r="F2826" s="2" t="s">
        <v>2385</v>
      </c>
      <c r="G2826" s="1">
        <v>33.792000000000002</v>
      </c>
      <c r="H2826" s="1">
        <v>8</v>
      </c>
      <c r="I2826" s="1">
        <v>10.56</v>
      </c>
    </row>
    <row r="2827" spans="1:9" x14ac:dyDescent="0.35">
      <c r="A2827" s="3" t="s">
        <v>3264</v>
      </c>
      <c r="B2827" s="1" t="s">
        <v>778</v>
      </c>
      <c r="C2827" s="1" t="s">
        <v>93</v>
      </c>
      <c r="D2827" s="1" t="s">
        <v>52</v>
      </c>
      <c r="E2827" s="1" t="s">
        <v>12</v>
      </c>
      <c r="F2827" s="2" t="s">
        <v>1036</v>
      </c>
      <c r="G2827" s="1">
        <v>300.53280000000001</v>
      </c>
      <c r="H2827" s="1">
        <v>2</v>
      </c>
      <c r="I2827" s="1">
        <v>-97.231200000000001</v>
      </c>
    </row>
    <row r="2828" spans="1:9" x14ac:dyDescent="0.35">
      <c r="A2828" s="3" t="s">
        <v>3264</v>
      </c>
      <c r="B2828" s="1" t="s">
        <v>778</v>
      </c>
      <c r="C2828" s="1" t="s">
        <v>93</v>
      </c>
      <c r="D2828" s="1" t="s">
        <v>52</v>
      </c>
      <c r="E2828" s="1" t="s">
        <v>35</v>
      </c>
      <c r="F2828" s="2" t="s">
        <v>2127</v>
      </c>
      <c r="G2828" s="1">
        <v>2.7240000000000002</v>
      </c>
      <c r="H2828" s="1">
        <v>2</v>
      </c>
      <c r="I2828" s="1">
        <v>-4.3583999999999996</v>
      </c>
    </row>
    <row r="2829" spans="1:9" x14ac:dyDescent="0.35">
      <c r="A2829" s="3" t="s">
        <v>3264</v>
      </c>
      <c r="B2829" s="1" t="s">
        <v>778</v>
      </c>
      <c r="C2829" s="1" t="s">
        <v>93</v>
      </c>
      <c r="D2829" s="1" t="s">
        <v>52</v>
      </c>
      <c r="E2829" s="1" t="s">
        <v>87</v>
      </c>
      <c r="F2829" s="2" t="s">
        <v>88</v>
      </c>
      <c r="G2829" s="1">
        <v>3.2639999999999998</v>
      </c>
      <c r="H2829" s="1">
        <v>2</v>
      </c>
      <c r="I2829" s="1">
        <v>1.1015999999999999</v>
      </c>
    </row>
    <row r="2830" spans="1:9" x14ac:dyDescent="0.35">
      <c r="A2830" s="3" t="s">
        <v>3265</v>
      </c>
      <c r="B2830" s="1" t="s">
        <v>333</v>
      </c>
      <c r="C2830" s="1" t="s">
        <v>1114</v>
      </c>
      <c r="D2830" s="1" t="s">
        <v>250</v>
      </c>
      <c r="E2830" s="1" t="s">
        <v>44</v>
      </c>
      <c r="F2830" s="2" t="s">
        <v>2386</v>
      </c>
      <c r="G2830" s="1">
        <v>108.336</v>
      </c>
      <c r="H2830" s="1">
        <v>6</v>
      </c>
      <c r="I2830" s="1">
        <v>37.9176</v>
      </c>
    </row>
    <row r="2831" spans="1:9" x14ac:dyDescent="0.35">
      <c r="A2831" s="3" t="s">
        <v>3265</v>
      </c>
      <c r="B2831" s="1" t="s">
        <v>333</v>
      </c>
      <c r="C2831" s="1" t="s">
        <v>1114</v>
      </c>
      <c r="D2831" s="1" t="s">
        <v>250</v>
      </c>
      <c r="E2831" s="1" t="s">
        <v>26</v>
      </c>
      <c r="F2831" s="2" t="s">
        <v>27</v>
      </c>
      <c r="G2831" s="1">
        <v>55.92</v>
      </c>
      <c r="H2831" s="1">
        <v>5</v>
      </c>
      <c r="I2831" s="1">
        <v>6.2910000000000004</v>
      </c>
    </row>
    <row r="2832" spans="1:9" x14ac:dyDescent="0.35">
      <c r="A2832" s="3" t="s">
        <v>3265</v>
      </c>
      <c r="B2832" s="1" t="s">
        <v>333</v>
      </c>
      <c r="C2832" s="1" t="s">
        <v>1114</v>
      </c>
      <c r="D2832" s="1" t="s">
        <v>250</v>
      </c>
      <c r="E2832" s="1" t="s">
        <v>44</v>
      </c>
      <c r="F2832" s="2" t="s">
        <v>2387</v>
      </c>
      <c r="G2832" s="1">
        <v>78.304000000000002</v>
      </c>
      <c r="H2832" s="1">
        <v>2</v>
      </c>
      <c r="I2832" s="1">
        <v>29.364000000000001</v>
      </c>
    </row>
    <row r="2833" spans="1:9" x14ac:dyDescent="0.35">
      <c r="A2833" s="3">
        <v>41650</v>
      </c>
      <c r="B2833" s="1" t="s">
        <v>1602</v>
      </c>
      <c r="C2833" s="1" t="s">
        <v>211</v>
      </c>
      <c r="D2833" s="1" t="s">
        <v>212</v>
      </c>
      <c r="E2833" s="1" t="s">
        <v>26</v>
      </c>
      <c r="F2833" s="2" t="s">
        <v>2388</v>
      </c>
      <c r="G2833" s="1">
        <v>443.92</v>
      </c>
      <c r="H2833" s="1">
        <v>5</v>
      </c>
      <c r="I2833" s="1">
        <v>-94.332999999999998</v>
      </c>
    </row>
    <row r="2834" spans="1:9" x14ac:dyDescent="0.35">
      <c r="A2834" s="3">
        <v>41650</v>
      </c>
      <c r="B2834" s="1" t="s">
        <v>1602</v>
      </c>
      <c r="C2834" s="1" t="s">
        <v>211</v>
      </c>
      <c r="D2834" s="1" t="s">
        <v>212</v>
      </c>
      <c r="E2834" s="1" t="s">
        <v>33</v>
      </c>
      <c r="F2834" s="2" t="s">
        <v>2344</v>
      </c>
      <c r="G2834" s="1">
        <v>155.976</v>
      </c>
      <c r="H2834" s="1">
        <v>3</v>
      </c>
      <c r="I2834" s="1">
        <v>54.5916</v>
      </c>
    </row>
    <row r="2835" spans="1:9" x14ac:dyDescent="0.35">
      <c r="A2835" s="3" t="s">
        <v>3266</v>
      </c>
      <c r="B2835" s="1" t="s">
        <v>2389</v>
      </c>
      <c r="C2835" s="1" t="s">
        <v>2351</v>
      </c>
      <c r="D2835" s="1" t="s">
        <v>182</v>
      </c>
      <c r="E2835" s="1" t="s">
        <v>31</v>
      </c>
      <c r="F2835" s="2" t="s">
        <v>319</v>
      </c>
      <c r="G2835" s="1">
        <v>15.47</v>
      </c>
      <c r="H2835" s="1">
        <v>7</v>
      </c>
      <c r="I2835" s="1">
        <v>4.1768999999999998</v>
      </c>
    </row>
    <row r="2836" spans="1:9" x14ac:dyDescent="0.35">
      <c r="A2836" s="3" t="s">
        <v>3266</v>
      </c>
      <c r="B2836" s="1" t="s">
        <v>2389</v>
      </c>
      <c r="C2836" s="1" t="s">
        <v>2351</v>
      </c>
      <c r="D2836" s="1" t="s">
        <v>182</v>
      </c>
      <c r="E2836" s="1" t="s">
        <v>35</v>
      </c>
      <c r="F2836" s="2" t="s">
        <v>369</v>
      </c>
      <c r="G2836" s="1">
        <v>7.16</v>
      </c>
      <c r="H2836" s="1">
        <v>2</v>
      </c>
      <c r="I2836" s="1">
        <v>3.4367999999999999</v>
      </c>
    </row>
    <row r="2837" spans="1:9" x14ac:dyDescent="0.35">
      <c r="A2837" s="3">
        <v>43050</v>
      </c>
      <c r="B2837" s="1" t="s">
        <v>1179</v>
      </c>
      <c r="C2837" s="1" t="s">
        <v>17</v>
      </c>
      <c r="D2837" s="1" t="s">
        <v>18</v>
      </c>
      <c r="E2837" s="1" t="s">
        <v>37</v>
      </c>
      <c r="F2837" s="2" t="s">
        <v>1559</v>
      </c>
      <c r="G2837" s="1">
        <v>10.89</v>
      </c>
      <c r="H2837" s="1">
        <v>1</v>
      </c>
      <c r="I2837" s="1">
        <v>2.8313999999999999</v>
      </c>
    </row>
    <row r="2838" spans="1:9" x14ac:dyDescent="0.35">
      <c r="A2838" s="3">
        <v>43050</v>
      </c>
      <c r="B2838" s="1" t="s">
        <v>1179</v>
      </c>
      <c r="C2838" s="1" t="s">
        <v>17</v>
      </c>
      <c r="D2838" s="1" t="s">
        <v>18</v>
      </c>
      <c r="E2838" s="1" t="s">
        <v>44</v>
      </c>
      <c r="F2838" s="2" t="s">
        <v>2390</v>
      </c>
      <c r="G2838" s="1">
        <v>19.440000000000001</v>
      </c>
      <c r="H2838" s="1">
        <v>3</v>
      </c>
      <c r="I2838" s="1">
        <v>9.3312000000000008</v>
      </c>
    </row>
    <row r="2839" spans="1:9" x14ac:dyDescent="0.35">
      <c r="A2839" s="3">
        <v>43050</v>
      </c>
      <c r="B2839" s="1" t="s">
        <v>1179</v>
      </c>
      <c r="C2839" s="1" t="s">
        <v>17</v>
      </c>
      <c r="D2839" s="1" t="s">
        <v>18</v>
      </c>
      <c r="E2839" s="1" t="s">
        <v>35</v>
      </c>
      <c r="F2839" s="2" t="s">
        <v>1672</v>
      </c>
      <c r="G2839" s="1">
        <v>121.6</v>
      </c>
      <c r="H2839" s="1">
        <v>5</v>
      </c>
      <c r="I2839" s="1">
        <v>39.520000000000003</v>
      </c>
    </row>
    <row r="2840" spans="1:9" x14ac:dyDescent="0.35">
      <c r="A2840" s="3">
        <v>42619</v>
      </c>
      <c r="B2840" s="1" t="s">
        <v>2325</v>
      </c>
      <c r="C2840" s="1" t="s">
        <v>2267</v>
      </c>
      <c r="D2840" s="1" t="s">
        <v>23</v>
      </c>
      <c r="E2840" s="1" t="s">
        <v>338</v>
      </c>
      <c r="F2840" s="2" t="s">
        <v>1592</v>
      </c>
      <c r="G2840" s="1">
        <v>695.7</v>
      </c>
      <c r="H2840" s="1">
        <v>2</v>
      </c>
      <c r="I2840" s="1">
        <v>-27.827999999999999</v>
      </c>
    </row>
    <row r="2841" spans="1:9" x14ac:dyDescent="0.35">
      <c r="A2841" s="3">
        <v>42072</v>
      </c>
      <c r="B2841" s="1" t="s">
        <v>349</v>
      </c>
      <c r="C2841" s="1" t="s">
        <v>135</v>
      </c>
      <c r="D2841" s="1" t="s">
        <v>136</v>
      </c>
      <c r="E2841" s="1" t="s">
        <v>26</v>
      </c>
      <c r="F2841" s="2" t="s">
        <v>1327</v>
      </c>
      <c r="G2841" s="1">
        <v>120.33</v>
      </c>
      <c r="H2841" s="1">
        <v>1</v>
      </c>
      <c r="I2841" s="1">
        <v>31.285799999999998</v>
      </c>
    </row>
    <row r="2842" spans="1:9" x14ac:dyDescent="0.35">
      <c r="A2842" s="3" t="s">
        <v>3267</v>
      </c>
      <c r="B2842" s="1" t="s">
        <v>1048</v>
      </c>
      <c r="C2842" s="1" t="s">
        <v>2009</v>
      </c>
      <c r="D2842" s="1" t="s">
        <v>163</v>
      </c>
      <c r="E2842" s="1" t="s">
        <v>14</v>
      </c>
      <c r="F2842" s="2" t="s">
        <v>836</v>
      </c>
      <c r="G2842" s="1">
        <v>1139.92</v>
      </c>
      <c r="H2842" s="1">
        <v>4</v>
      </c>
      <c r="I2842" s="1">
        <v>284.98</v>
      </c>
    </row>
    <row r="2843" spans="1:9" x14ac:dyDescent="0.35">
      <c r="A2843" s="3" t="s">
        <v>3268</v>
      </c>
      <c r="B2843" s="1" t="s">
        <v>845</v>
      </c>
      <c r="C2843" s="1" t="s">
        <v>796</v>
      </c>
      <c r="D2843" s="1" t="s">
        <v>43</v>
      </c>
      <c r="E2843" s="1" t="s">
        <v>44</v>
      </c>
      <c r="F2843" s="2" t="s">
        <v>1422</v>
      </c>
      <c r="G2843" s="1">
        <v>229.54400000000001</v>
      </c>
      <c r="H2843" s="1">
        <v>7</v>
      </c>
      <c r="I2843" s="1">
        <v>83.209699999999998</v>
      </c>
    </row>
    <row r="2844" spans="1:9" x14ac:dyDescent="0.35">
      <c r="A2844" s="3" t="s">
        <v>3269</v>
      </c>
      <c r="B2844" s="1" t="s">
        <v>2391</v>
      </c>
      <c r="C2844" s="1" t="s">
        <v>785</v>
      </c>
      <c r="D2844" s="1" t="s">
        <v>52</v>
      </c>
      <c r="E2844" s="1" t="s">
        <v>26</v>
      </c>
      <c r="F2844" s="2" t="s">
        <v>789</v>
      </c>
      <c r="G2844" s="1">
        <v>143.72800000000001</v>
      </c>
      <c r="H2844" s="1">
        <v>2</v>
      </c>
      <c r="I2844" s="1">
        <v>-32.338799999999999</v>
      </c>
    </row>
    <row r="2845" spans="1:9" x14ac:dyDescent="0.35">
      <c r="A2845" s="3" t="s">
        <v>3270</v>
      </c>
      <c r="B2845" s="1" t="s">
        <v>28</v>
      </c>
      <c r="C2845" s="1" t="s">
        <v>74</v>
      </c>
      <c r="D2845" s="1" t="s">
        <v>75</v>
      </c>
      <c r="E2845" s="1" t="s">
        <v>81</v>
      </c>
      <c r="F2845" s="2" t="s">
        <v>2273</v>
      </c>
      <c r="G2845" s="1">
        <v>36.048000000000002</v>
      </c>
      <c r="H2845" s="1">
        <v>3</v>
      </c>
      <c r="I2845" s="1">
        <v>-0.9012</v>
      </c>
    </row>
    <row r="2846" spans="1:9" x14ac:dyDescent="0.35">
      <c r="A2846" s="3" t="s">
        <v>3271</v>
      </c>
      <c r="B2846" s="1" t="s">
        <v>1496</v>
      </c>
      <c r="C2846" s="1" t="s">
        <v>2277</v>
      </c>
      <c r="D2846" s="1" t="s">
        <v>106</v>
      </c>
      <c r="E2846" s="1" t="s">
        <v>14</v>
      </c>
      <c r="F2846" s="2" t="s">
        <v>946</v>
      </c>
      <c r="G2846" s="1">
        <v>845.48800000000006</v>
      </c>
      <c r="H2846" s="1">
        <v>8</v>
      </c>
      <c r="I2846" s="1">
        <v>-12.0784</v>
      </c>
    </row>
    <row r="2847" spans="1:9" x14ac:dyDescent="0.35">
      <c r="A2847" s="3" t="s">
        <v>3272</v>
      </c>
      <c r="B2847" s="1" t="s">
        <v>774</v>
      </c>
      <c r="C2847" s="1" t="s">
        <v>1739</v>
      </c>
      <c r="D2847" s="1" t="s">
        <v>592</v>
      </c>
      <c r="E2847" s="1" t="s">
        <v>31</v>
      </c>
      <c r="F2847" s="2" t="s">
        <v>427</v>
      </c>
      <c r="G2847" s="1">
        <v>50.94</v>
      </c>
      <c r="H2847" s="1">
        <v>3</v>
      </c>
      <c r="I2847" s="1">
        <v>14.263199999999999</v>
      </c>
    </row>
    <row r="2848" spans="1:9" x14ac:dyDescent="0.35">
      <c r="A2848" s="3">
        <v>43017</v>
      </c>
      <c r="B2848" s="1" t="s">
        <v>1374</v>
      </c>
      <c r="C2848" s="1" t="s">
        <v>154</v>
      </c>
      <c r="D2848" s="1" t="s">
        <v>106</v>
      </c>
      <c r="E2848" s="1" t="s">
        <v>35</v>
      </c>
      <c r="F2848" s="2" t="s">
        <v>815</v>
      </c>
      <c r="G2848" s="1">
        <v>762.59400000000005</v>
      </c>
      <c r="H2848" s="1">
        <v>3</v>
      </c>
      <c r="I2848" s="1">
        <v>-1143.8910000000001</v>
      </c>
    </row>
    <row r="2849" spans="1:9" x14ac:dyDescent="0.35">
      <c r="A2849" s="3">
        <v>42951</v>
      </c>
      <c r="B2849" s="1" t="s">
        <v>2392</v>
      </c>
      <c r="C2849" s="1" t="s">
        <v>1416</v>
      </c>
      <c r="D2849" s="1" t="s">
        <v>604</v>
      </c>
      <c r="E2849" s="1" t="s">
        <v>29</v>
      </c>
      <c r="F2849" s="2" t="s">
        <v>2393</v>
      </c>
      <c r="G2849" s="1">
        <v>56.28</v>
      </c>
      <c r="H2849" s="1">
        <v>6</v>
      </c>
      <c r="I2849" s="1">
        <v>15.7584</v>
      </c>
    </row>
    <row r="2850" spans="1:9" x14ac:dyDescent="0.35">
      <c r="A2850" s="3">
        <v>42951</v>
      </c>
      <c r="B2850" s="1" t="s">
        <v>2392</v>
      </c>
      <c r="C2850" s="1" t="s">
        <v>1416</v>
      </c>
      <c r="D2850" s="1" t="s">
        <v>604</v>
      </c>
      <c r="E2850" s="1" t="s">
        <v>35</v>
      </c>
      <c r="F2850" s="2" t="s">
        <v>1956</v>
      </c>
      <c r="G2850" s="1">
        <v>2690.97</v>
      </c>
      <c r="H2850" s="1">
        <v>3</v>
      </c>
      <c r="I2850" s="1">
        <v>1264.7559000000001</v>
      </c>
    </row>
    <row r="2851" spans="1:9" x14ac:dyDescent="0.35">
      <c r="A2851" s="3" t="s">
        <v>3273</v>
      </c>
      <c r="B2851" s="1" t="s">
        <v>1197</v>
      </c>
      <c r="C2851" s="1" t="s">
        <v>1039</v>
      </c>
      <c r="D2851" s="1" t="s">
        <v>23</v>
      </c>
      <c r="E2851" s="1" t="s">
        <v>35</v>
      </c>
      <c r="F2851" s="2" t="s">
        <v>1459</v>
      </c>
      <c r="G2851" s="1">
        <v>7.4340000000000002</v>
      </c>
      <c r="H2851" s="1">
        <v>6</v>
      </c>
      <c r="I2851" s="1">
        <v>-5.6993999999999998</v>
      </c>
    </row>
    <row r="2852" spans="1:9" x14ac:dyDescent="0.35">
      <c r="A2852" s="3">
        <v>42406</v>
      </c>
      <c r="B2852" s="1" t="s">
        <v>1266</v>
      </c>
      <c r="C2852" s="1" t="s">
        <v>74</v>
      </c>
      <c r="D2852" s="1" t="s">
        <v>75</v>
      </c>
      <c r="E2852" s="1" t="s">
        <v>26</v>
      </c>
      <c r="F2852" s="2" t="s">
        <v>829</v>
      </c>
      <c r="G2852" s="1">
        <v>64.784000000000006</v>
      </c>
      <c r="H2852" s="1">
        <v>1</v>
      </c>
      <c r="I2852" s="1">
        <v>-12.956799999999999</v>
      </c>
    </row>
    <row r="2853" spans="1:9" x14ac:dyDescent="0.35">
      <c r="A2853" s="3" t="s">
        <v>3274</v>
      </c>
      <c r="B2853" s="1" t="s">
        <v>2394</v>
      </c>
      <c r="C2853" s="1" t="s">
        <v>249</v>
      </c>
      <c r="D2853" s="1" t="s">
        <v>129</v>
      </c>
      <c r="E2853" s="1" t="s">
        <v>44</v>
      </c>
      <c r="F2853" s="2" t="s">
        <v>1260</v>
      </c>
      <c r="G2853" s="1">
        <v>28.16</v>
      </c>
      <c r="H2853" s="1">
        <v>4</v>
      </c>
      <c r="I2853" s="1">
        <v>13.235200000000001</v>
      </c>
    </row>
    <row r="2854" spans="1:9" x14ac:dyDescent="0.35">
      <c r="A2854" s="3" t="s">
        <v>3275</v>
      </c>
      <c r="B2854" s="1" t="s">
        <v>2158</v>
      </c>
      <c r="C2854" s="1" t="s">
        <v>1061</v>
      </c>
      <c r="D2854" s="1" t="s">
        <v>136</v>
      </c>
      <c r="E2854" s="1" t="s">
        <v>29</v>
      </c>
      <c r="F2854" s="2" t="s">
        <v>2395</v>
      </c>
      <c r="G2854" s="1">
        <v>14.98</v>
      </c>
      <c r="H2854" s="1">
        <v>1</v>
      </c>
      <c r="I2854" s="1">
        <v>6.8907999999999996</v>
      </c>
    </row>
    <row r="2855" spans="1:9" x14ac:dyDescent="0.35">
      <c r="A2855" s="3" t="s">
        <v>3275</v>
      </c>
      <c r="B2855" s="1" t="s">
        <v>2158</v>
      </c>
      <c r="C2855" s="1" t="s">
        <v>1061</v>
      </c>
      <c r="D2855" s="1" t="s">
        <v>136</v>
      </c>
      <c r="E2855" s="1" t="s">
        <v>29</v>
      </c>
      <c r="F2855" s="2" t="s">
        <v>950</v>
      </c>
      <c r="G2855" s="1">
        <v>20.32</v>
      </c>
      <c r="H2855" s="1">
        <v>4</v>
      </c>
      <c r="I2855" s="1">
        <v>6.9088000000000003</v>
      </c>
    </row>
    <row r="2856" spans="1:9" x14ac:dyDescent="0.35">
      <c r="A2856" s="3" t="s">
        <v>3276</v>
      </c>
      <c r="B2856" s="1" t="s">
        <v>2207</v>
      </c>
      <c r="C2856" s="1" t="s">
        <v>306</v>
      </c>
      <c r="D2856" s="1" t="s">
        <v>592</v>
      </c>
      <c r="E2856" s="1" t="s">
        <v>26</v>
      </c>
      <c r="F2856" s="2" t="s">
        <v>1731</v>
      </c>
      <c r="G2856" s="1">
        <v>40.29</v>
      </c>
      <c r="H2856" s="1">
        <v>3</v>
      </c>
      <c r="I2856" s="1">
        <v>10.4754</v>
      </c>
    </row>
    <row r="2857" spans="1:9" x14ac:dyDescent="0.35">
      <c r="A2857" s="3" t="s">
        <v>3277</v>
      </c>
      <c r="B2857" s="1" t="s">
        <v>733</v>
      </c>
      <c r="C2857" s="1" t="s">
        <v>2161</v>
      </c>
      <c r="D2857" s="1" t="s">
        <v>2162</v>
      </c>
      <c r="E2857" s="1" t="s">
        <v>19</v>
      </c>
      <c r="F2857" s="2" t="s">
        <v>2298</v>
      </c>
      <c r="G2857" s="1">
        <v>20.23</v>
      </c>
      <c r="H2857" s="1">
        <v>7</v>
      </c>
      <c r="I2857" s="1">
        <v>9.5081000000000007</v>
      </c>
    </row>
    <row r="2858" spans="1:9" x14ac:dyDescent="0.35">
      <c r="A2858" s="3" t="s">
        <v>3278</v>
      </c>
      <c r="B2858" s="1" t="s">
        <v>564</v>
      </c>
      <c r="C2858" s="1" t="s">
        <v>461</v>
      </c>
      <c r="D2858" s="1" t="s">
        <v>18</v>
      </c>
      <c r="E2858" s="1" t="s">
        <v>14</v>
      </c>
      <c r="F2858" s="2" t="s">
        <v>807</v>
      </c>
      <c r="G2858" s="1">
        <v>1603.136</v>
      </c>
      <c r="H2858" s="1">
        <v>4</v>
      </c>
      <c r="I2858" s="1">
        <v>100.196</v>
      </c>
    </row>
    <row r="2859" spans="1:9" x14ac:dyDescent="0.35">
      <c r="A2859" s="3" t="s">
        <v>3196</v>
      </c>
      <c r="B2859" s="1" t="s">
        <v>2396</v>
      </c>
      <c r="C2859" s="1" t="s">
        <v>796</v>
      </c>
      <c r="D2859" s="1" t="s">
        <v>43</v>
      </c>
      <c r="E2859" s="1" t="s">
        <v>14</v>
      </c>
      <c r="F2859" s="2" t="s">
        <v>1925</v>
      </c>
      <c r="G2859" s="1">
        <v>225.29599999999999</v>
      </c>
      <c r="H2859" s="1">
        <v>2</v>
      </c>
      <c r="I2859" s="1">
        <v>22.529599999999999</v>
      </c>
    </row>
    <row r="2860" spans="1:9" x14ac:dyDescent="0.35">
      <c r="A2860" s="3" t="s">
        <v>3279</v>
      </c>
      <c r="B2860" s="1" t="s">
        <v>2226</v>
      </c>
      <c r="C2860" s="1" t="s">
        <v>811</v>
      </c>
      <c r="D2860" s="1" t="s">
        <v>604</v>
      </c>
      <c r="E2860" s="1" t="s">
        <v>81</v>
      </c>
      <c r="F2860" s="2" t="s">
        <v>1156</v>
      </c>
      <c r="G2860" s="1">
        <v>67.8</v>
      </c>
      <c r="H2860" s="1">
        <v>4</v>
      </c>
      <c r="I2860" s="1">
        <v>4.0679999999999996</v>
      </c>
    </row>
    <row r="2861" spans="1:9" x14ac:dyDescent="0.35">
      <c r="A2861" s="3" t="s">
        <v>3279</v>
      </c>
      <c r="B2861" s="1" t="s">
        <v>2226</v>
      </c>
      <c r="C2861" s="1" t="s">
        <v>811</v>
      </c>
      <c r="D2861" s="1" t="s">
        <v>604</v>
      </c>
      <c r="E2861" s="1" t="s">
        <v>33</v>
      </c>
      <c r="F2861" s="2" t="s">
        <v>2397</v>
      </c>
      <c r="G2861" s="1">
        <v>377.97</v>
      </c>
      <c r="H2861" s="1">
        <v>3</v>
      </c>
      <c r="I2861" s="1">
        <v>98.272199999999998</v>
      </c>
    </row>
    <row r="2862" spans="1:9" x14ac:dyDescent="0.35">
      <c r="A2862" s="3" t="s">
        <v>3279</v>
      </c>
      <c r="B2862" s="1" t="s">
        <v>2226</v>
      </c>
      <c r="C2862" s="1" t="s">
        <v>811</v>
      </c>
      <c r="D2862" s="1" t="s">
        <v>604</v>
      </c>
      <c r="E2862" s="1" t="s">
        <v>12</v>
      </c>
      <c r="F2862" s="2" t="s">
        <v>416</v>
      </c>
      <c r="G2862" s="1">
        <v>1628.82</v>
      </c>
      <c r="H2862" s="1">
        <v>9</v>
      </c>
      <c r="I2862" s="1">
        <v>374.62860000000001</v>
      </c>
    </row>
    <row r="2863" spans="1:9" x14ac:dyDescent="0.35">
      <c r="A2863" s="3" t="s">
        <v>3279</v>
      </c>
      <c r="B2863" s="1" t="s">
        <v>2226</v>
      </c>
      <c r="C2863" s="1" t="s">
        <v>811</v>
      </c>
      <c r="D2863" s="1" t="s">
        <v>604</v>
      </c>
      <c r="E2863" s="1" t="s">
        <v>44</v>
      </c>
      <c r="F2863" s="2" t="s">
        <v>1422</v>
      </c>
      <c r="G2863" s="1">
        <v>286.93</v>
      </c>
      <c r="H2863" s="1">
        <v>7</v>
      </c>
      <c r="I2863" s="1">
        <v>140.59569999999999</v>
      </c>
    </row>
    <row r="2864" spans="1:9" x14ac:dyDescent="0.35">
      <c r="A2864" s="3">
        <v>43077</v>
      </c>
      <c r="B2864" s="1" t="s">
        <v>1125</v>
      </c>
      <c r="C2864" s="1" t="s">
        <v>2398</v>
      </c>
      <c r="D2864" s="1" t="s">
        <v>23</v>
      </c>
      <c r="E2864" s="1" t="s">
        <v>44</v>
      </c>
      <c r="F2864" s="2" t="s">
        <v>2314</v>
      </c>
      <c r="G2864" s="1">
        <v>20.736000000000001</v>
      </c>
      <c r="H2864" s="1">
        <v>4</v>
      </c>
      <c r="I2864" s="1">
        <v>7.2576000000000001</v>
      </c>
    </row>
    <row r="2865" spans="1:9" x14ac:dyDescent="0.35">
      <c r="A2865" s="3" t="s">
        <v>3280</v>
      </c>
      <c r="B2865" s="1" t="s">
        <v>1029</v>
      </c>
      <c r="C2865" s="1" t="s">
        <v>64</v>
      </c>
      <c r="D2865" s="1" t="s">
        <v>18</v>
      </c>
      <c r="E2865" s="1" t="s">
        <v>26</v>
      </c>
      <c r="F2865" s="2" t="s">
        <v>850</v>
      </c>
      <c r="G2865" s="1">
        <v>31.44</v>
      </c>
      <c r="H2865" s="1">
        <v>3</v>
      </c>
      <c r="I2865" s="1">
        <v>8.4887999999999995</v>
      </c>
    </row>
    <row r="2866" spans="1:9" x14ac:dyDescent="0.35">
      <c r="A2866" s="3" t="s">
        <v>3280</v>
      </c>
      <c r="B2866" s="1" t="s">
        <v>1029</v>
      </c>
      <c r="C2866" s="1" t="s">
        <v>64</v>
      </c>
      <c r="D2866" s="1" t="s">
        <v>18</v>
      </c>
      <c r="E2866" s="1" t="s">
        <v>37</v>
      </c>
      <c r="F2866" s="2" t="s">
        <v>676</v>
      </c>
      <c r="G2866" s="1">
        <v>83.79</v>
      </c>
      <c r="H2866" s="1">
        <v>7</v>
      </c>
      <c r="I2866" s="1">
        <v>22.6233</v>
      </c>
    </row>
    <row r="2867" spans="1:9" x14ac:dyDescent="0.35">
      <c r="A2867" s="3" t="s">
        <v>3280</v>
      </c>
      <c r="B2867" s="1" t="s">
        <v>1029</v>
      </c>
      <c r="C2867" s="1" t="s">
        <v>64</v>
      </c>
      <c r="D2867" s="1" t="s">
        <v>18</v>
      </c>
      <c r="E2867" s="1" t="s">
        <v>31</v>
      </c>
      <c r="F2867" s="2" t="s">
        <v>735</v>
      </c>
      <c r="G2867" s="1">
        <v>59.52</v>
      </c>
      <c r="H2867" s="1">
        <v>3</v>
      </c>
      <c r="I2867" s="1">
        <v>15.475199999999999</v>
      </c>
    </row>
    <row r="2868" spans="1:9" x14ac:dyDescent="0.35">
      <c r="A2868" s="3" t="s">
        <v>3280</v>
      </c>
      <c r="B2868" s="1" t="s">
        <v>1029</v>
      </c>
      <c r="C2868" s="1" t="s">
        <v>64</v>
      </c>
      <c r="D2868" s="1" t="s">
        <v>18</v>
      </c>
      <c r="E2868" s="1" t="s">
        <v>289</v>
      </c>
      <c r="F2868" s="2" t="s">
        <v>614</v>
      </c>
      <c r="G2868" s="1">
        <v>31.92</v>
      </c>
      <c r="H2868" s="1">
        <v>4</v>
      </c>
      <c r="I2868" s="1">
        <v>9.2568000000000001</v>
      </c>
    </row>
    <row r="2869" spans="1:9" x14ac:dyDescent="0.35">
      <c r="A2869" s="3">
        <v>42654</v>
      </c>
      <c r="B2869" s="1" t="s">
        <v>1178</v>
      </c>
      <c r="C2869" s="1" t="s">
        <v>1256</v>
      </c>
      <c r="D2869" s="1" t="s">
        <v>250</v>
      </c>
      <c r="E2869" s="1" t="s">
        <v>289</v>
      </c>
      <c r="F2869" s="2" t="s">
        <v>614</v>
      </c>
      <c r="G2869" s="1">
        <v>14.72</v>
      </c>
      <c r="H2869" s="1">
        <v>5</v>
      </c>
      <c r="I2869" s="1">
        <v>-3.3119999999999998</v>
      </c>
    </row>
    <row r="2870" spans="1:9" x14ac:dyDescent="0.35">
      <c r="A2870" s="3">
        <v>42654</v>
      </c>
      <c r="B2870" s="1" t="s">
        <v>1178</v>
      </c>
      <c r="C2870" s="1" t="s">
        <v>1256</v>
      </c>
      <c r="D2870" s="1" t="s">
        <v>250</v>
      </c>
      <c r="E2870" s="1" t="s">
        <v>26</v>
      </c>
      <c r="F2870" s="2" t="s">
        <v>1246</v>
      </c>
      <c r="G2870" s="1">
        <v>38.975999999999999</v>
      </c>
      <c r="H2870" s="1">
        <v>3</v>
      </c>
      <c r="I2870" s="1">
        <v>-2.4359999999999999</v>
      </c>
    </row>
    <row r="2871" spans="1:9" x14ac:dyDescent="0.35">
      <c r="A2871" s="3">
        <v>43075</v>
      </c>
      <c r="B2871" s="1" t="s">
        <v>282</v>
      </c>
      <c r="C2871" s="1" t="s">
        <v>550</v>
      </c>
      <c r="D2871" s="1" t="s">
        <v>23</v>
      </c>
      <c r="E2871" s="1" t="s">
        <v>29</v>
      </c>
      <c r="F2871" s="2" t="s">
        <v>2399</v>
      </c>
      <c r="G2871" s="1">
        <v>17.088000000000001</v>
      </c>
      <c r="H2871" s="1">
        <v>2</v>
      </c>
      <c r="I2871" s="1">
        <v>1.0680000000000001</v>
      </c>
    </row>
    <row r="2872" spans="1:9" x14ac:dyDescent="0.35">
      <c r="A2872" s="3" t="s">
        <v>3281</v>
      </c>
      <c r="B2872" s="1" t="s">
        <v>2400</v>
      </c>
      <c r="C2872" s="1" t="s">
        <v>621</v>
      </c>
      <c r="D2872" s="1" t="s">
        <v>158</v>
      </c>
      <c r="E2872" s="1" t="s">
        <v>44</v>
      </c>
      <c r="F2872" s="2" t="s">
        <v>2192</v>
      </c>
      <c r="G2872" s="1">
        <v>74.352000000000004</v>
      </c>
      <c r="H2872" s="1">
        <v>3</v>
      </c>
      <c r="I2872" s="1">
        <v>23.234999999999999</v>
      </c>
    </row>
    <row r="2873" spans="1:9" x14ac:dyDescent="0.35">
      <c r="A2873" s="3" t="s">
        <v>3281</v>
      </c>
      <c r="B2873" s="1" t="s">
        <v>2400</v>
      </c>
      <c r="C2873" s="1" t="s">
        <v>621</v>
      </c>
      <c r="D2873" s="1" t="s">
        <v>158</v>
      </c>
      <c r="E2873" s="1" t="s">
        <v>14</v>
      </c>
      <c r="F2873" s="2" t="s">
        <v>960</v>
      </c>
      <c r="G2873" s="1">
        <v>314.35199999999998</v>
      </c>
      <c r="H2873" s="1">
        <v>3</v>
      </c>
      <c r="I2873" s="1">
        <v>-35.364600000000003</v>
      </c>
    </row>
    <row r="2874" spans="1:9" x14ac:dyDescent="0.35">
      <c r="A2874" s="3" t="s">
        <v>3282</v>
      </c>
      <c r="B2874" s="1" t="s">
        <v>2014</v>
      </c>
      <c r="C2874" s="1" t="s">
        <v>17</v>
      </c>
      <c r="D2874" s="1" t="s">
        <v>18</v>
      </c>
      <c r="E2874" s="1" t="s">
        <v>31</v>
      </c>
      <c r="F2874" s="2" t="s">
        <v>601</v>
      </c>
      <c r="G2874" s="1">
        <v>4.26</v>
      </c>
      <c r="H2874" s="1">
        <v>1</v>
      </c>
      <c r="I2874" s="1">
        <v>1.7465999999999999</v>
      </c>
    </row>
    <row r="2875" spans="1:9" x14ac:dyDescent="0.35">
      <c r="A2875" s="3" t="s">
        <v>3283</v>
      </c>
      <c r="B2875" s="1" t="s">
        <v>1278</v>
      </c>
      <c r="C2875" s="1" t="s">
        <v>461</v>
      </c>
      <c r="D2875" s="1" t="s">
        <v>18</v>
      </c>
      <c r="E2875" s="1" t="s">
        <v>26</v>
      </c>
      <c r="F2875" s="2" t="s">
        <v>955</v>
      </c>
      <c r="G2875" s="1">
        <v>811.28</v>
      </c>
      <c r="H2875" s="1">
        <v>8</v>
      </c>
      <c r="I2875" s="1">
        <v>24.3384</v>
      </c>
    </row>
    <row r="2876" spans="1:9" x14ac:dyDescent="0.35">
      <c r="A2876" s="3" t="s">
        <v>3284</v>
      </c>
      <c r="B2876" s="1" t="s">
        <v>1012</v>
      </c>
      <c r="C2876" s="1" t="s">
        <v>135</v>
      </c>
      <c r="D2876" s="1" t="s">
        <v>136</v>
      </c>
      <c r="E2876" s="1" t="s">
        <v>137</v>
      </c>
      <c r="F2876" s="2" t="s">
        <v>287</v>
      </c>
      <c r="G2876" s="1">
        <v>6.03</v>
      </c>
      <c r="H2876" s="1">
        <v>3</v>
      </c>
      <c r="I2876" s="1">
        <v>2.9546999999999999</v>
      </c>
    </row>
    <row r="2877" spans="1:9" x14ac:dyDescent="0.35">
      <c r="A2877" s="3" t="s">
        <v>3285</v>
      </c>
      <c r="B2877" s="1" t="s">
        <v>590</v>
      </c>
      <c r="C2877" s="1" t="s">
        <v>461</v>
      </c>
      <c r="D2877" s="1" t="s">
        <v>18</v>
      </c>
      <c r="E2877" s="1" t="s">
        <v>14</v>
      </c>
      <c r="F2877" s="2" t="s">
        <v>1664</v>
      </c>
      <c r="G2877" s="1">
        <v>153.56800000000001</v>
      </c>
      <c r="H2877" s="1">
        <v>2</v>
      </c>
      <c r="I2877" s="1">
        <v>-5.7587999999999999</v>
      </c>
    </row>
    <row r="2878" spans="1:9" x14ac:dyDescent="0.35">
      <c r="A2878" s="3" t="s">
        <v>3285</v>
      </c>
      <c r="B2878" s="1" t="s">
        <v>590</v>
      </c>
      <c r="C2878" s="1" t="s">
        <v>461</v>
      </c>
      <c r="D2878" s="1" t="s">
        <v>18</v>
      </c>
      <c r="E2878" s="1" t="s">
        <v>14</v>
      </c>
      <c r="F2878" s="2" t="s">
        <v>607</v>
      </c>
      <c r="G2878" s="1">
        <v>1013.4880000000001</v>
      </c>
      <c r="H2878" s="1">
        <v>7</v>
      </c>
      <c r="I2878" s="1">
        <v>76.011600000000001</v>
      </c>
    </row>
    <row r="2879" spans="1:9" x14ac:dyDescent="0.35">
      <c r="A2879" s="3" t="s">
        <v>3286</v>
      </c>
      <c r="B2879" s="1" t="s">
        <v>2363</v>
      </c>
      <c r="C2879" s="1" t="s">
        <v>387</v>
      </c>
      <c r="D2879" s="1" t="s">
        <v>388</v>
      </c>
      <c r="E2879" s="1" t="s">
        <v>87</v>
      </c>
      <c r="F2879" s="2" t="s">
        <v>2063</v>
      </c>
      <c r="G2879" s="1">
        <v>52.34</v>
      </c>
      <c r="H2879" s="1">
        <v>2</v>
      </c>
      <c r="I2879" s="1">
        <v>24.599799999999998</v>
      </c>
    </row>
    <row r="2880" spans="1:9" x14ac:dyDescent="0.35">
      <c r="A2880" s="3" t="s">
        <v>3286</v>
      </c>
      <c r="B2880" s="1" t="s">
        <v>2363</v>
      </c>
      <c r="C2880" s="1" t="s">
        <v>387</v>
      </c>
      <c r="D2880" s="1" t="s">
        <v>388</v>
      </c>
      <c r="E2880" s="1" t="s">
        <v>31</v>
      </c>
      <c r="F2880" s="2" t="s">
        <v>695</v>
      </c>
      <c r="G2880" s="1">
        <v>4.66</v>
      </c>
      <c r="H2880" s="1">
        <v>2</v>
      </c>
      <c r="I2880" s="1">
        <v>1.3513999999999999</v>
      </c>
    </row>
    <row r="2881" spans="1:9" x14ac:dyDescent="0.35">
      <c r="A2881" s="3" t="s">
        <v>3286</v>
      </c>
      <c r="B2881" s="1" t="s">
        <v>2363</v>
      </c>
      <c r="C2881" s="1" t="s">
        <v>387</v>
      </c>
      <c r="D2881" s="1" t="s">
        <v>388</v>
      </c>
      <c r="E2881" s="1" t="s">
        <v>81</v>
      </c>
      <c r="F2881" s="2" t="s">
        <v>240</v>
      </c>
      <c r="G2881" s="1">
        <v>254.97</v>
      </c>
      <c r="H2881" s="1">
        <v>3</v>
      </c>
      <c r="I2881" s="1">
        <v>91.789199999999994</v>
      </c>
    </row>
    <row r="2882" spans="1:9" x14ac:dyDescent="0.35">
      <c r="A2882" s="3" t="s">
        <v>3287</v>
      </c>
      <c r="B2882" s="1" t="s">
        <v>709</v>
      </c>
      <c r="C2882" s="1" t="s">
        <v>2401</v>
      </c>
      <c r="D2882" s="1" t="s">
        <v>388</v>
      </c>
      <c r="E2882" s="1" t="s">
        <v>35</v>
      </c>
      <c r="F2882" s="2" t="s">
        <v>54</v>
      </c>
      <c r="G2882" s="1">
        <v>25.44</v>
      </c>
      <c r="H2882" s="1">
        <v>6</v>
      </c>
      <c r="I2882" s="1">
        <v>12.72</v>
      </c>
    </row>
    <row r="2883" spans="1:9" x14ac:dyDescent="0.35">
      <c r="A2883" s="3" t="s">
        <v>3287</v>
      </c>
      <c r="B2883" s="1" t="s">
        <v>709</v>
      </c>
      <c r="C2883" s="1" t="s">
        <v>2401</v>
      </c>
      <c r="D2883" s="1" t="s">
        <v>388</v>
      </c>
      <c r="E2883" s="1" t="s">
        <v>289</v>
      </c>
      <c r="F2883" s="2" t="s">
        <v>1158</v>
      </c>
      <c r="G2883" s="1">
        <v>27.93</v>
      </c>
      <c r="H2883" s="1">
        <v>3</v>
      </c>
      <c r="I2883" s="1">
        <v>8.0997000000000003</v>
      </c>
    </row>
    <row r="2884" spans="1:9" x14ac:dyDescent="0.35">
      <c r="A2884" s="3" t="s">
        <v>3288</v>
      </c>
      <c r="B2884" s="1" t="s">
        <v>2205</v>
      </c>
      <c r="C2884" s="1" t="s">
        <v>2277</v>
      </c>
      <c r="D2884" s="1" t="s">
        <v>106</v>
      </c>
      <c r="E2884" s="1" t="s">
        <v>35</v>
      </c>
      <c r="F2884" s="2" t="s">
        <v>1072</v>
      </c>
      <c r="G2884" s="1">
        <v>8.85</v>
      </c>
      <c r="H2884" s="1">
        <v>5</v>
      </c>
      <c r="I2884" s="1">
        <v>-13.717499999999999</v>
      </c>
    </row>
    <row r="2885" spans="1:9" x14ac:dyDescent="0.35">
      <c r="A2885" s="3">
        <v>42685</v>
      </c>
      <c r="B2885" s="1" t="s">
        <v>1188</v>
      </c>
      <c r="C2885" s="1" t="s">
        <v>64</v>
      </c>
      <c r="D2885" s="1" t="s">
        <v>18</v>
      </c>
      <c r="E2885" s="1" t="s">
        <v>29</v>
      </c>
      <c r="F2885" s="2" t="s">
        <v>1439</v>
      </c>
      <c r="G2885" s="1">
        <v>6.96</v>
      </c>
      <c r="H2885" s="1">
        <v>4</v>
      </c>
      <c r="I2885" s="1">
        <v>2.2271999999999998</v>
      </c>
    </row>
    <row r="2886" spans="1:9" x14ac:dyDescent="0.35">
      <c r="A2886" s="3" t="s">
        <v>3289</v>
      </c>
      <c r="B2886" s="1" t="s">
        <v>883</v>
      </c>
      <c r="C2886" s="1" t="s">
        <v>64</v>
      </c>
      <c r="D2886" s="1" t="s">
        <v>18</v>
      </c>
      <c r="E2886" s="1" t="s">
        <v>35</v>
      </c>
      <c r="F2886" s="2" t="s">
        <v>1115</v>
      </c>
      <c r="G2886" s="1">
        <v>17.456</v>
      </c>
      <c r="H2886" s="1">
        <v>2</v>
      </c>
      <c r="I2886" s="1">
        <v>5.8914</v>
      </c>
    </row>
    <row r="2887" spans="1:9" x14ac:dyDescent="0.35">
      <c r="A2887" s="3" t="s">
        <v>3290</v>
      </c>
      <c r="B2887" s="1" t="s">
        <v>851</v>
      </c>
      <c r="C2887" s="1" t="s">
        <v>1730</v>
      </c>
      <c r="D2887" s="1" t="s">
        <v>158</v>
      </c>
      <c r="E2887" s="1" t="s">
        <v>14</v>
      </c>
      <c r="F2887" s="2" t="s">
        <v>724</v>
      </c>
      <c r="G2887" s="1">
        <v>307.92</v>
      </c>
      <c r="H2887" s="1">
        <v>5</v>
      </c>
      <c r="I2887" s="1">
        <v>-34.640999999999998</v>
      </c>
    </row>
    <row r="2888" spans="1:9" x14ac:dyDescent="0.35">
      <c r="A2888" s="3" t="s">
        <v>3291</v>
      </c>
      <c r="B2888" s="1" t="s">
        <v>851</v>
      </c>
      <c r="C2888" s="1" t="s">
        <v>17</v>
      </c>
      <c r="D2888" s="1" t="s">
        <v>18</v>
      </c>
      <c r="E2888" s="1" t="s">
        <v>31</v>
      </c>
      <c r="F2888" s="2" t="s">
        <v>820</v>
      </c>
      <c r="G2888" s="1">
        <v>6.63</v>
      </c>
      <c r="H2888" s="1">
        <v>3</v>
      </c>
      <c r="I2888" s="1">
        <v>1.7901</v>
      </c>
    </row>
    <row r="2889" spans="1:9" x14ac:dyDescent="0.35">
      <c r="A2889" s="3" t="s">
        <v>3291</v>
      </c>
      <c r="B2889" s="1" t="s">
        <v>851</v>
      </c>
      <c r="C2889" s="1" t="s">
        <v>17</v>
      </c>
      <c r="D2889" s="1" t="s">
        <v>18</v>
      </c>
      <c r="E2889" s="1" t="s">
        <v>44</v>
      </c>
      <c r="F2889" s="2" t="s">
        <v>1455</v>
      </c>
      <c r="G2889" s="1">
        <v>12.96</v>
      </c>
      <c r="H2889" s="1">
        <v>2</v>
      </c>
      <c r="I2889" s="1">
        <v>6.2207999999999997</v>
      </c>
    </row>
    <row r="2890" spans="1:9" x14ac:dyDescent="0.35">
      <c r="A2890" s="3" t="s">
        <v>3291</v>
      </c>
      <c r="B2890" s="1" t="s">
        <v>851</v>
      </c>
      <c r="C2890" s="1" t="s">
        <v>17</v>
      </c>
      <c r="D2890" s="1" t="s">
        <v>18</v>
      </c>
      <c r="E2890" s="1" t="s">
        <v>44</v>
      </c>
      <c r="F2890" s="2" t="s">
        <v>1264</v>
      </c>
      <c r="G2890" s="1">
        <v>32.4</v>
      </c>
      <c r="H2890" s="1">
        <v>5</v>
      </c>
      <c r="I2890" s="1">
        <v>15.552</v>
      </c>
    </row>
    <row r="2891" spans="1:9" x14ac:dyDescent="0.35">
      <c r="A2891" s="3">
        <v>42777</v>
      </c>
      <c r="B2891" s="1" t="s">
        <v>712</v>
      </c>
      <c r="C2891" s="1" t="s">
        <v>47</v>
      </c>
      <c r="D2891" s="1" t="s">
        <v>48</v>
      </c>
      <c r="E2891" s="1" t="s">
        <v>44</v>
      </c>
      <c r="F2891" s="2" t="s">
        <v>2402</v>
      </c>
      <c r="G2891" s="1">
        <v>23.85</v>
      </c>
      <c r="H2891" s="1">
        <v>5</v>
      </c>
      <c r="I2891" s="1">
        <v>10.7325</v>
      </c>
    </row>
    <row r="2892" spans="1:9" x14ac:dyDescent="0.35">
      <c r="A2892" s="3" t="s">
        <v>3292</v>
      </c>
      <c r="B2892" s="1" t="s">
        <v>2403</v>
      </c>
      <c r="C2892" s="1" t="s">
        <v>2404</v>
      </c>
      <c r="D2892" s="1" t="s">
        <v>362</v>
      </c>
      <c r="E2892" s="1" t="s">
        <v>14</v>
      </c>
      <c r="F2892" s="2" t="s">
        <v>1355</v>
      </c>
      <c r="G2892" s="1">
        <v>51.96</v>
      </c>
      <c r="H2892" s="1">
        <v>2</v>
      </c>
      <c r="I2892" s="1">
        <v>12.99</v>
      </c>
    </row>
    <row r="2893" spans="1:9" x14ac:dyDescent="0.35">
      <c r="A2893" s="3" t="s">
        <v>3292</v>
      </c>
      <c r="B2893" s="1" t="s">
        <v>2403</v>
      </c>
      <c r="C2893" s="1" t="s">
        <v>2404</v>
      </c>
      <c r="D2893" s="1" t="s">
        <v>362</v>
      </c>
      <c r="E2893" s="1" t="s">
        <v>35</v>
      </c>
      <c r="F2893" s="2" t="s">
        <v>1599</v>
      </c>
      <c r="G2893" s="1">
        <v>17.940000000000001</v>
      </c>
      <c r="H2893" s="1">
        <v>3</v>
      </c>
      <c r="I2893" s="1">
        <v>8.6112000000000002</v>
      </c>
    </row>
    <row r="2894" spans="1:9" x14ac:dyDescent="0.35">
      <c r="A2894" s="3" t="s">
        <v>3293</v>
      </c>
      <c r="B2894" s="1" t="s">
        <v>188</v>
      </c>
      <c r="C2894" s="1" t="s">
        <v>197</v>
      </c>
      <c r="D2894" s="1" t="s">
        <v>136</v>
      </c>
      <c r="E2894" s="1" t="s">
        <v>44</v>
      </c>
      <c r="F2894" s="2" t="s">
        <v>2405</v>
      </c>
      <c r="G2894" s="1">
        <v>11.56</v>
      </c>
      <c r="H2894" s="1">
        <v>2</v>
      </c>
      <c r="I2894" s="1">
        <v>5.6643999999999997</v>
      </c>
    </row>
    <row r="2895" spans="1:9" x14ac:dyDescent="0.35">
      <c r="A2895" s="3" t="s">
        <v>3293</v>
      </c>
      <c r="B2895" s="1" t="s">
        <v>188</v>
      </c>
      <c r="C2895" s="1" t="s">
        <v>197</v>
      </c>
      <c r="D2895" s="1" t="s">
        <v>136</v>
      </c>
      <c r="E2895" s="1" t="s">
        <v>44</v>
      </c>
      <c r="F2895" s="2" t="s">
        <v>445</v>
      </c>
      <c r="G2895" s="1">
        <v>26.4</v>
      </c>
      <c r="H2895" s="1">
        <v>5</v>
      </c>
      <c r="I2895" s="1">
        <v>11.88</v>
      </c>
    </row>
    <row r="2896" spans="1:9" x14ac:dyDescent="0.35">
      <c r="A2896" s="3" t="s">
        <v>3293</v>
      </c>
      <c r="B2896" s="1" t="s">
        <v>188</v>
      </c>
      <c r="C2896" s="1" t="s">
        <v>197</v>
      </c>
      <c r="D2896" s="1" t="s">
        <v>136</v>
      </c>
      <c r="E2896" s="1" t="s">
        <v>29</v>
      </c>
      <c r="F2896" s="2" t="s">
        <v>2406</v>
      </c>
      <c r="G2896" s="1">
        <v>69.08</v>
      </c>
      <c r="H2896" s="1">
        <v>11</v>
      </c>
      <c r="I2896" s="1">
        <v>29.0136</v>
      </c>
    </row>
    <row r="2897" spans="1:9" x14ac:dyDescent="0.35">
      <c r="A2897" s="3" t="s">
        <v>3293</v>
      </c>
      <c r="B2897" s="1" t="s">
        <v>188</v>
      </c>
      <c r="C2897" s="1" t="s">
        <v>197</v>
      </c>
      <c r="D2897" s="1" t="s">
        <v>136</v>
      </c>
      <c r="E2897" s="1" t="s">
        <v>33</v>
      </c>
      <c r="F2897" s="2" t="s">
        <v>377</v>
      </c>
      <c r="G2897" s="1">
        <v>35.880000000000003</v>
      </c>
      <c r="H2897" s="1">
        <v>3</v>
      </c>
      <c r="I2897" s="1">
        <v>10.0464</v>
      </c>
    </row>
    <row r="2898" spans="1:9" x14ac:dyDescent="0.35">
      <c r="A2898" s="3" t="s">
        <v>3294</v>
      </c>
      <c r="B2898" s="1" t="s">
        <v>148</v>
      </c>
      <c r="C2898" s="1" t="s">
        <v>559</v>
      </c>
      <c r="D2898" s="1" t="s">
        <v>136</v>
      </c>
      <c r="E2898" s="1" t="s">
        <v>31</v>
      </c>
      <c r="F2898" s="2" t="s">
        <v>1790</v>
      </c>
      <c r="G2898" s="1">
        <v>49.65</v>
      </c>
      <c r="H2898" s="1">
        <v>5</v>
      </c>
      <c r="I2898" s="1">
        <v>20.853000000000002</v>
      </c>
    </row>
    <row r="2899" spans="1:9" x14ac:dyDescent="0.35">
      <c r="A2899" s="3">
        <v>42461</v>
      </c>
      <c r="B2899" s="1" t="s">
        <v>1552</v>
      </c>
      <c r="C2899" s="1" t="s">
        <v>234</v>
      </c>
      <c r="D2899" s="1" t="s">
        <v>43</v>
      </c>
      <c r="E2899" s="1" t="s">
        <v>579</v>
      </c>
      <c r="F2899" s="2" t="s">
        <v>2197</v>
      </c>
      <c r="G2899" s="1">
        <v>959.96799999999996</v>
      </c>
      <c r="H2899" s="1">
        <v>4</v>
      </c>
      <c r="I2899" s="1">
        <v>119.996</v>
      </c>
    </row>
    <row r="2900" spans="1:9" x14ac:dyDescent="0.35">
      <c r="A2900" s="3" t="s">
        <v>3163</v>
      </c>
      <c r="B2900" s="1" t="s">
        <v>2220</v>
      </c>
      <c r="C2900" s="1" t="s">
        <v>93</v>
      </c>
      <c r="D2900" s="1" t="s">
        <v>52</v>
      </c>
      <c r="E2900" s="1" t="s">
        <v>14</v>
      </c>
      <c r="F2900" s="2" t="s">
        <v>544</v>
      </c>
      <c r="G2900" s="1">
        <v>408.42200000000003</v>
      </c>
      <c r="H2900" s="1">
        <v>2</v>
      </c>
      <c r="I2900" s="1">
        <v>-5.8346</v>
      </c>
    </row>
    <row r="2901" spans="1:9" x14ac:dyDescent="0.35">
      <c r="A2901" s="3">
        <v>42347</v>
      </c>
      <c r="B2901" s="1" t="s">
        <v>196</v>
      </c>
      <c r="C2901" s="1" t="s">
        <v>135</v>
      </c>
      <c r="D2901" s="1" t="s">
        <v>136</v>
      </c>
      <c r="E2901" s="1" t="s">
        <v>579</v>
      </c>
      <c r="F2901" s="2" t="s">
        <v>2197</v>
      </c>
      <c r="G2901" s="1">
        <v>479.98399999999998</v>
      </c>
      <c r="H2901" s="1">
        <v>2</v>
      </c>
      <c r="I2901" s="1">
        <v>59.997999999999998</v>
      </c>
    </row>
    <row r="2902" spans="1:9" x14ac:dyDescent="0.35">
      <c r="A2902" s="3">
        <v>42347</v>
      </c>
      <c r="B2902" s="1" t="s">
        <v>196</v>
      </c>
      <c r="C2902" s="1" t="s">
        <v>135</v>
      </c>
      <c r="D2902" s="1" t="s">
        <v>136</v>
      </c>
      <c r="E2902" s="1" t="s">
        <v>19</v>
      </c>
      <c r="F2902" s="2" t="s">
        <v>730</v>
      </c>
      <c r="G2902" s="1">
        <v>12.6</v>
      </c>
      <c r="H2902" s="1">
        <v>4</v>
      </c>
      <c r="I2902" s="1">
        <v>6.048</v>
      </c>
    </row>
    <row r="2903" spans="1:9" x14ac:dyDescent="0.35">
      <c r="A2903" s="3">
        <v>43048</v>
      </c>
      <c r="B2903" s="1" t="s">
        <v>2255</v>
      </c>
      <c r="C2903" s="1" t="s">
        <v>249</v>
      </c>
      <c r="D2903" s="1" t="s">
        <v>604</v>
      </c>
      <c r="E2903" s="1" t="s">
        <v>44</v>
      </c>
      <c r="F2903" s="2" t="s">
        <v>1336</v>
      </c>
      <c r="G2903" s="1">
        <v>184.66</v>
      </c>
      <c r="H2903" s="1">
        <v>7</v>
      </c>
      <c r="I2903" s="1">
        <v>84.943600000000004</v>
      </c>
    </row>
    <row r="2904" spans="1:9" x14ac:dyDescent="0.35">
      <c r="A2904" s="3">
        <v>42710</v>
      </c>
      <c r="B2904" s="1" t="s">
        <v>983</v>
      </c>
      <c r="C2904" s="1" t="s">
        <v>154</v>
      </c>
      <c r="D2904" s="1" t="s">
        <v>106</v>
      </c>
      <c r="E2904" s="1" t="s">
        <v>44</v>
      </c>
      <c r="F2904" s="2" t="s">
        <v>2004</v>
      </c>
      <c r="G2904" s="1">
        <v>23.12</v>
      </c>
      <c r="H2904" s="1">
        <v>5</v>
      </c>
      <c r="I2904" s="1">
        <v>8.3810000000000002</v>
      </c>
    </row>
    <row r="2905" spans="1:9" x14ac:dyDescent="0.35">
      <c r="A2905" s="3" t="s">
        <v>3295</v>
      </c>
      <c r="B2905" s="1" t="s">
        <v>1923</v>
      </c>
      <c r="C2905" s="1" t="s">
        <v>2407</v>
      </c>
      <c r="D2905" s="1" t="s">
        <v>106</v>
      </c>
      <c r="E2905" s="1" t="s">
        <v>44</v>
      </c>
      <c r="F2905" s="2" t="s">
        <v>1792</v>
      </c>
      <c r="G2905" s="1">
        <v>37.463999999999999</v>
      </c>
      <c r="H2905" s="1">
        <v>7</v>
      </c>
      <c r="I2905" s="1">
        <v>12.175800000000001</v>
      </c>
    </row>
    <row r="2906" spans="1:9" x14ac:dyDescent="0.35">
      <c r="A2906" s="3" t="s">
        <v>3295</v>
      </c>
      <c r="B2906" s="1" t="s">
        <v>1923</v>
      </c>
      <c r="C2906" s="1" t="s">
        <v>2407</v>
      </c>
      <c r="D2906" s="1" t="s">
        <v>106</v>
      </c>
      <c r="E2906" s="1" t="s">
        <v>14</v>
      </c>
      <c r="F2906" s="2" t="s">
        <v>1972</v>
      </c>
      <c r="G2906" s="1">
        <v>539.65800000000002</v>
      </c>
      <c r="H2906" s="1">
        <v>3</v>
      </c>
      <c r="I2906" s="1">
        <v>-7.7093999999999996</v>
      </c>
    </row>
    <row r="2907" spans="1:9" x14ac:dyDescent="0.35">
      <c r="A2907" s="3" t="s">
        <v>3191</v>
      </c>
      <c r="B2907" s="1" t="s">
        <v>191</v>
      </c>
      <c r="C2907" s="1" t="s">
        <v>47</v>
      </c>
      <c r="D2907" s="1" t="s">
        <v>48</v>
      </c>
      <c r="E2907" s="1" t="s">
        <v>26</v>
      </c>
      <c r="F2907" s="2" t="s">
        <v>2408</v>
      </c>
      <c r="G2907" s="1">
        <v>310.12</v>
      </c>
      <c r="H2907" s="1">
        <v>2</v>
      </c>
      <c r="I2907" s="1">
        <v>80.631200000000007</v>
      </c>
    </row>
    <row r="2908" spans="1:9" x14ac:dyDescent="0.35">
      <c r="A2908" s="3">
        <v>42805</v>
      </c>
      <c r="B2908" s="1" t="s">
        <v>1281</v>
      </c>
      <c r="C2908" s="1" t="s">
        <v>114</v>
      </c>
      <c r="D2908" s="1" t="s">
        <v>115</v>
      </c>
      <c r="E2908" s="1" t="s">
        <v>44</v>
      </c>
      <c r="F2908" s="2" t="s">
        <v>2409</v>
      </c>
      <c r="G2908" s="1">
        <v>8.56</v>
      </c>
      <c r="H2908" s="1">
        <v>2</v>
      </c>
      <c r="I2908" s="1">
        <v>3.8519999999999999</v>
      </c>
    </row>
    <row r="2909" spans="1:9" x14ac:dyDescent="0.35">
      <c r="A2909" s="3">
        <v>42805</v>
      </c>
      <c r="B2909" s="1" t="s">
        <v>1281</v>
      </c>
      <c r="C2909" s="1" t="s">
        <v>114</v>
      </c>
      <c r="D2909" s="1" t="s">
        <v>115</v>
      </c>
      <c r="E2909" s="1" t="s">
        <v>26</v>
      </c>
      <c r="F2909" s="2" t="s">
        <v>850</v>
      </c>
      <c r="G2909" s="1">
        <v>52.4</v>
      </c>
      <c r="H2909" s="1">
        <v>5</v>
      </c>
      <c r="I2909" s="1">
        <v>14.148</v>
      </c>
    </row>
    <row r="2910" spans="1:9" x14ac:dyDescent="0.35">
      <c r="A2910" s="3">
        <v>42805</v>
      </c>
      <c r="B2910" s="1" t="s">
        <v>1281</v>
      </c>
      <c r="C2910" s="1" t="s">
        <v>114</v>
      </c>
      <c r="D2910" s="1" t="s">
        <v>115</v>
      </c>
      <c r="E2910" s="1" t="s">
        <v>19</v>
      </c>
      <c r="F2910" s="2" t="s">
        <v>1903</v>
      </c>
      <c r="G2910" s="1">
        <v>14.94</v>
      </c>
      <c r="H2910" s="1">
        <v>3</v>
      </c>
      <c r="I2910" s="1">
        <v>6.8723999999999998</v>
      </c>
    </row>
    <row r="2911" spans="1:9" x14ac:dyDescent="0.35">
      <c r="A2911" s="3" t="s">
        <v>3296</v>
      </c>
      <c r="B2911" s="1" t="s">
        <v>961</v>
      </c>
      <c r="C2911" s="1" t="s">
        <v>47</v>
      </c>
      <c r="D2911" s="1" t="s">
        <v>48</v>
      </c>
      <c r="E2911" s="1" t="s">
        <v>137</v>
      </c>
      <c r="F2911" s="2" t="s">
        <v>1728</v>
      </c>
      <c r="G2911" s="1">
        <v>11.22</v>
      </c>
      <c r="H2911" s="1">
        <v>3</v>
      </c>
      <c r="I2911" s="1">
        <v>0.22439999999999999</v>
      </c>
    </row>
    <row r="2912" spans="1:9" x14ac:dyDescent="0.35">
      <c r="A2912" s="3">
        <v>42135</v>
      </c>
      <c r="B2912" s="1" t="s">
        <v>433</v>
      </c>
      <c r="C2912" s="1" t="s">
        <v>1476</v>
      </c>
      <c r="D2912" s="1" t="s">
        <v>23</v>
      </c>
      <c r="E2912" s="1" t="s">
        <v>37</v>
      </c>
      <c r="F2912" s="2" t="s">
        <v>1447</v>
      </c>
      <c r="G2912" s="1">
        <v>387.13600000000002</v>
      </c>
      <c r="H2912" s="1">
        <v>4</v>
      </c>
      <c r="I2912" s="1">
        <v>24.196000000000002</v>
      </c>
    </row>
    <row r="2913" spans="1:9" x14ac:dyDescent="0.35">
      <c r="A2913" s="3" t="s">
        <v>3297</v>
      </c>
      <c r="B2913" s="1" t="s">
        <v>921</v>
      </c>
      <c r="C2913" s="1" t="s">
        <v>2410</v>
      </c>
      <c r="D2913" s="1" t="s">
        <v>136</v>
      </c>
      <c r="E2913" s="1" t="s">
        <v>87</v>
      </c>
      <c r="F2913" s="2" t="s">
        <v>332</v>
      </c>
      <c r="G2913" s="1">
        <v>41.4</v>
      </c>
      <c r="H2913" s="1">
        <v>5</v>
      </c>
      <c r="I2913" s="1">
        <v>19.457999999999998</v>
      </c>
    </row>
    <row r="2914" spans="1:9" x14ac:dyDescent="0.35">
      <c r="A2914" s="3" t="s">
        <v>3297</v>
      </c>
      <c r="B2914" s="1" t="s">
        <v>921</v>
      </c>
      <c r="C2914" s="1" t="s">
        <v>2410</v>
      </c>
      <c r="D2914" s="1" t="s">
        <v>136</v>
      </c>
      <c r="E2914" s="1" t="s">
        <v>31</v>
      </c>
      <c r="F2914" s="2" t="s">
        <v>2411</v>
      </c>
      <c r="G2914" s="1">
        <v>35</v>
      </c>
      <c r="H2914" s="1">
        <v>4</v>
      </c>
      <c r="I2914" s="1">
        <v>10.5</v>
      </c>
    </row>
    <row r="2915" spans="1:9" x14ac:dyDescent="0.35">
      <c r="A2915" s="3" t="s">
        <v>3297</v>
      </c>
      <c r="B2915" s="1" t="s">
        <v>921</v>
      </c>
      <c r="C2915" s="1" t="s">
        <v>2410</v>
      </c>
      <c r="D2915" s="1" t="s">
        <v>136</v>
      </c>
      <c r="E2915" s="1" t="s">
        <v>35</v>
      </c>
      <c r="F2915" s="2" t="s">
        <v>209</v>
      </c>
      <c r="G2915" s="1">
        <v>39.552</v>
      </c>
      <c r="H2915" s="1">
        <v>3</v>
      </c>
      <c r="I2915" s="1">
        <v>14.3376</v>
      </c>
    </row>
    <row r="2916" spans="1:9" x14ac:dyDescent="0.35">
      <c r="A2916" s="3">
        <v>42348</v>
      </c>
      <c r="B2916" s="1" t="s">
        <v>1281</v>
      </c>
      <c r="C2916" s="1" t="s">
        <v>2412</v>
      </c>
      <c r="D2916" s="1" t="s">
        <v>129</v>
      </c>
      <c r="E2916" s="1" t="s">
        <v>33</v>
      </c>
      <c r="F2916" s="2" t="s">
        <v>2334</v>
      </c>
      <c r="G2916" s="1">
        <v>135.72</v>
      </c>
      <c r="H2916" s="1">
        <v>3</v>
      </c>
      <c r="I2916" s="1">
        <v>35.287199999999999</v>
      </c>
    </row>
    <row r="2917" spans="1:9" x14ac:dyDescent="0.35">
      <c r="A2917" s="3">
        <v>42348</v>
      </c>
      <c r="B2917" s="1" t="s">
        <v>1281</v>
      </c>
      <c r="C2917" s="1" t="s">
        <v>2412</v>
      </c>
      <c r="D2917" s="1" t="s">
        <v>129</v>
      </c>
      <c r="E2917" s="1" t="s">
        <v>35</v>
      </c>
      <c r="F2917" s="2" t="s">
        <v>2276</v>
      </c>
      <c r="G2917" s="1">
        <v>12.56</v>
      </c>
      <c r="H2917" s="1">
        <v>2</v>
      </c>
      <c r="I2917" s="1">
        <v>5.6520000000000001</v>
      </c>
    </row>
    <row r="2918" spans="1:9" x14ac:dyDescent="0.35">
      <c r="A2918" s="3">
        <v>42348</v>
      </c>
      <c r="B2918" s="1" t="s">
        <v>1281</v>
      </c>
      <c r="C2918" s="1" t="s">
        <v>2412</v>
      </c>
      <c r="D2918" s="1" t="s">
        <v>129</v>
      </c>
      <c r="E2918" s="1" t="s">
        <v>33</v>
      </c>
      <c r="F2918" s="2" t="s">
        <v>1651</v>
      </c>
      <c r="G2918" s="1">
        <v>263.95999999999998</v>
      </c>
      <c r="H2918" s="1">
        <v>4</v>
      </c>
      <c r="I2918" s="1">
        <v>71.269199999999998</v>
      </c>
    </row>
    <row r="2919" spans="1:9" x14ac:dyDescent="0.35">
      <c r="A2919" s="3" t="s">
        <v>3298</v>
      </c>
      <c r="B2919" s="1" t="s">
        <v>1248</v>
      </c>
      <c r="C2919" s="1" t="s">
        <v>399</v>
      </c>
      <c r="D2919" s="1" t="s">
        <v>52</v>
      </c>
      <c r="E2919" s="1" t="s">
        <v>31</v>
      </c>
      <c r="F2919" s="2" t="s">
        <v>2413</v>
      </c>
      <c r="G2919" s="1">
        <v>5.952</v>
      </c>
      <c r="H2919" s="1">
        <v>1</v>
      </c>
      <c r="I2919" s="1">
        <v>0.372</v>
      </c>
    </row>
    <row r="2920" spans="1:9" x14ac:dyDescent="0.35">
      <c r="A2920" s="3" t="s">
        <v>3299</v>
      </c>
      <c r="B2920" s="1" t="s">
        <v>2249</v>
      </c>
      <c r="C2920" s="1" t="s">
        <v>74</v>
      </c>
      <c r="D2920" s="1" t="s">
        <v>75</v>
      </c>
      <c r="E2920" s="1" t="s">
        <v>137</v>
      </c>
      <c r="F2920" s="2" t="s">
        <v>2375</v>
      </c>
      <c r="G2920" s="1">
        <v>15.8</v>
      </c>
      <c r="H2920" s="1">
        <v>5</v>
      </c>
      <c r="I2920" s="1">
        <v>2.37</v>
      </c>
    </row>
    <row r="2921" spans="1:9" x14ac:dyDescent="0.35">
      <c r="A2921" s="3" t="s">
        <v>3299</v>
      </c>
      <c r="B2921" s="1" t="s">
        <v>2249</v>
      </c>
      <c r="C2921" s="1" t="s">
        <v>74</v>
      </c>
      <c r="D2921" s="1" t="s">
        <v>75</v>
      </c>
      <c r="E2921" s="1" t="s">
        <v>29</v>
      </c>
      <c r="F2921" s="2" t="s">
        <v>1849</v>
      </c>
      <c r="G2921" s="1">
        <v>14.368</v>
      </c>
      <c r="H2921" s="1">
        <v>2</v>
      </c>
      <c r="I2921" s="1">
        <v>3.9512</v>
      </c>
    </row>
    <row r="2922" spans="1:9" x14ac:dyDescent="0.35">
      <c r="A2922" s="3" t="s">
        <v>3299</v>
      </c>
      <c r="B2922" s="1" t="s">
        <v>2249</v>
      </c>
      <c r="C2922" s="1" t="s">
        <v>74</v>
      </c>
      <c r="D2922" s="1" t="s">
        <v>75</v>
      </c>
      <c r="E2922" s="1" t="s">
        <v>29</v>
      </c>
      <c r="F2922" s="2" t="s">
        <v>1645</v>
      </c>
      <c r="G2922" s="1">
        <v>70.447999999999993</v>
      </c>
      <c r="H2922" s="1">
        <v>7</v>
      </c>
      <c r="I2922" s="1">
        <v>12.3284</v>
      </c>
    </row>
    <row r="2923" spans="1:9" x14ac:dyDescent="0.35">
      <c r="A2923" s="3" t="s">
        <v>3300</v>
      </c>
      <c r="B2923" s="1" t="s">
        <v>1661</v>
      </c>
      <c r="C2923" s="1" t="s">
        <v>64</v>
      </c>
      <c r="D2923" s="1" t="s">
        <v>18</v>
      </c>
      <c r="E2923" s="1" t="s">
        <v>26</v>
      </c>
      <c r="F2923" s="2" t="s">
        <v>988</v>
      </c>
      <c r="G2923" s="1">
        <v>129.30000000000001</v>
      </c>
      <c r="H2923" s="1">
        <v>2</v>
      </c>
      <c r="I2923" s="1">
        <v>6.4649999999999999</v>
      </c>
    </row>
    <row r="2924" spans="1:9" x14ac:dyDescent="0.35">
      <c r="A2924" s="3" t="s">
        <v>3301</v>
      </c>
      <c r="B2924" s="1" t="s">
        <v>1740</v>
      </c>
      <c r="C2924" s="1" t="s">
        <v>588</v>
      </c>
      <c r="D2924" s="1" t="s">
        <v>52</v>
      </c>
      <c r="E2924" s="1" t="s">
        <v>35</v>
      </c>
      <c r="F2924" s="2" t="s">
        <v>1103</v>
      </c>
      <c r="G2924" s="1">
        <v>3.8820000000000001</v>
      </c>
      <c r="H2924" s="1">
        <v>3</v>
      </c>
      <c r="I2924" s="1">
        <v>-5.8230000000000004</v>
      </c>
    </row>
    <row r="2925" spans="1:9" x14ac:dyDescent="0.35">
      <c r="A2925" s="3" t="s">
        <v>3302</v>
      </c>
      <c r="B2925" s="1" t="s">
        <v>1245</v>
      </c>
      <c r="C2925" s="1" t="s">
        <v>429</v>
      </c>
      <c r="D2925" s="1" t="s">
        <v>120</v>
      </c>
      <c r="E2925" s="1" t="s">
        <v>137</v>
      </c>
      <c r="F2925" s="2" t="s">
        <v>281</v>
      </c>
      <c r="G2925" s="1">
        <v>6.08</v>
      </c>
      <c r="H2925" s="1">
        <v>1</v>
      </c>
      <c r="I2925" s="1">
        <v>3.04</v>
      </c>
    </row>
    <row r="2926" spans="1:9" x14ac:dyDescent="0.35">
      <c r="A2926" s="3">
        <v>41679</v>
      </c>
      <c r="B2926" s="1" t="s">
        <v>2129</v>
      </c>
      <c r="C2926" s="1" t="s">
        <v>1741</v>
      </c>
      <c r="D2926" s="1" t="s">
        <v>136</v>
      </c>
      <c r="E2926" s="1" t="s">
        <v>37</v>
      </c>
      <c r="F2926" s="2" t="s">
        <v>1583</v>
      </c>
      <c r="G2926" s="1">
        <v>19.899999999999999</v>
      </c>
      <c r="H2926" s="1">
        <v>1</v>
      </c>
      <c r="I2926" s="1">
        <v>8.9550000000000001</v>
      </c>
    </row>
    <row r="2927" spans="1:9" x14ac:dyDescent="0.35">
      <c r="A2927" s="3">
        <v>41679</v>
      </c>
      <c r="B2927" s="1" t="s">
        <v>2129</v>
      </c>
      <c r="C2927" s="1" t="s">
        <v>1741</v>
      </c>
      <c r="D2927" s="1" t="s">
        <v>136</v>
      </c>
      <c r="E2927" s="1" t="s">
        <v>29</v>
      </c>
      <c r="F2927" s="2" t="s">
        <v>2414</v>
      </c>
      <c r="G2927" s="1">
        <v>70.709999999999994</v>
      </c>
      <c r="H2927" s="1">
        <v>1</v>
      </c>
      <c r="I2927" s="1">
        <v>4.9497</v>
      </c>
    </row>
    <row r="2928" spans="1:9" x14ac:dyDescent="0.35">
      <c r="A2928" s="3">
        <v>43015</v>
      </c>
      <c r="B2928" s="1" t="s">
        <v>2415</v>
      </c>
      <c r="C2928" s="1" t="s">
        <v>249</v>
      </c>
      <c r="D2928" s="1" t="s">
        <v>604</v>
      </c>
      <c r="E2928" s="1" t="s">
        <v>29</v>
      </c>
      <c r="F2928" s="2" t="s">
        <v>2406</v>
      </c>
      <c r="G2928" s="1">
        <v>18.84</v>
      </c>
      <c r="H2928" s="1">
        <v>3</v>
      </c>
      <c r="I2928" s="1">
        <v>7.9127999999999998</v>
      </c>
    </row>
    <row r="2929" spans="1:9" x14ac:dyDescent="0.35">
      <c r="A2929" s="3">
        <v>42831</v>
      </c>
      <c r="B2929" s="1" t="s">
        <v>2022</v>
      </c>
      <c r="C2929" s="1" t="s">
        <v>2416</v>
      </c>
      <c r="D2929" s="1" t="s">
        <v>115</v>
      </c>
      <c r="E2929" s="1" t="s">
        <v>31</v>
      </c>
      <c r="F2929" s="2" t="s">
        <v>1406</v>
      </c>
      <c r="G2929" s="1">
        <v>8.64</v>
      </c>
      <c r="H2929" s="1">
        <v>3</v>
      </c>
      <c r="I2929" s="1">
        <v>2.5055999999999998</v>
      </c>
    </row>
    <row r="2930" spans="1:9" x14ac:dyDescent="0.35">
      <c r="A2930" s="3" t="s">
        <v>3151</v>
      </c>
      <c r="B2930" s="1" t="s">
        <v>1037</v>
      </c>
      <c r="C2930" s="1" t="s">
        <v>1011</v>
      </c>
      <c r="D2930" s="1" t="s">
        <v>43</v>
      </c>
      <c r="E2930" s="1" t="s">
        <v>35</v>
      </c>
      <c r="F2930" s="2" t="s">
        <v>597</v>
      </c>
      <c r="G2930" s="1">
        <v>1633.1880000000001</v>
      </c>
      <c r="H2930" s="1">
        <v>4</v>
      </c>
      <c r="I2930" s="1">
        <v>-1306.5504000000001</v>
      </c>
    </row>
    <row r="2931" spans="1:9" x14ac:dyDescent="0.35">
      <c r="A2931" s="3" t="s">
        <v>3303</v>
      </c>
      <c r="B2931" s="1" t="s">
        <v>1671</v>
      </c>
      <c r="C2931" s="1" t="s">
        <v>406</v>
      </c>
      <c r="D2931" s="1" t="s">
        <v>120</v>
      </c>
      <c r="E2931" s="1" t="s">
        <v>29</v>
      </c>
      <c r="F2931" s="2" t="s">
        <v>1105</v>
      </c>
      <c r="G2931" s="1">
        <v>19.760000000000002</v>
      </c>
      <c r="H2931" s="1">
        <v>4</v>
      </c>
      <c r="I2931" s="1">
        <v>8.2992000000000008</v>
      </c>
    </row>
    <row r="2932" spans="1:9" x14ac:dyDescent="0.35">
      <c r="A2932" s="3">
        <v>42224</v>
      </c>
      <c r="B2932" s="1" t="s">
        <v>2258</v>
      </c>
      <c r="C2932" s="1" t="s">
        <v>64</v>
      </c>
      <c r="D2932" s="1" t="s">
        <v>18</v>
      </c>
      <c r="E2932" s="1" t="s">
        <v>35</v>
      </c>
      <c r="F2932" s="2" t="s">
        <v>1548</v>
      </c>
      <c r="G2932" s="1">
        <v>6.6079999999999997</v>
      </c>
      <c r="H2932" s="1">
        <v>2</v>
      </c>
      <c r="I2932" s="1">
        <v>2.2302</v>
      </c>
    </row>
    <row r="2933" spans="1:9" x14ac:dyDescent="0.35">
      <c r="A2933" s="3">
        <v>42224</v>
      </c>
      <c r="B2933" s="1" t="s">
        <v>2258</v>
      </c>
      <c r="C2933" s="1" t="s">
        <v>64</v>
      </c>
      <c r="D2933" s="1" t="s">
        <v>18</v>
      </c>
      <c r="E2933" s="1" t="s">
        <v>35</v>
      </c>
      <c r="F2933" s="2" t="s">
        <v>492</v>
      </c>
      <c r="G2933" s="1">
        <v>7.28</v>
      </c>
      <c r="H2933" s="1">
        <v>2</v>
      </c>
      <c r="I2933" s="1">
        <v>2.73</v>
      </c>
    </row>
    <row r="2934" spans="1:9" x14ac:dyDescent="0.35">
      <c r="A2934" s="3">
        <v>42224</v>
      </c>
      <c r="B2934" s="1" t="s">
        <v>2258</v>
      </c>
      <c r="C2934" s="1" t="s">
        <v>64</v>
      </c>
      <c r="D2934" s="1" t="s">
        <v>18</v>
      </c>
      <c r="E2934" s="1" t="s">
        <v>14</v>
      </c>
      <c r="F2934" s="2" t="s">
        <v>607</v>
      </c>
      <c r="G2934" s="1">
        <v>144.78399999999999</v>
      </c>
      <c r="H2934" s="1">
        <v>1</v>
      </c>
      <c r="I2934" s="1">
        <v>10.8588</v>
      </c>
    </row>
    <row r="2935" spans="1:9" x14ac:dyDescent="0.35">
      <c r="A2935" s="3">
        <v>42533</v>
      </c>
      <c r="B2935" s="1" t="s">
        <v>869</v>
      </c>
      <c r="C2935" s="1" t="s">
        <v>47</v>
      </c>
      <c r="D2935" s="1" t="s">
        <v>48</v>
      </c>
      <c r="E2935" s="1" t="s">
        <v>33</v>
      </c>
      <c r="F2935" s="2" t="s">
        <v>2289</v>
      </c>
      <c r="G2935" s="1">
        <v>156.792</v>
      </c>
      <c r="H2935" s="1">
        <v>1</v>
      </c>
      <c r="I2935" s="1">
        <v>13.7193</v>
      </c>
    </row>
    <row r="2936" spans="1:9" x14ac:dyDescent="0.35">
      <c r="A2936" s="3">
        <v>42533</v>
      </c>
      <c r="B2936" s="1" t="s">
        <v>869</v>
      </c>
      <c r="C2936" s="1" t="s">
        <v>47</v>
      </c>
      <c r="D2936" s="1" t="s">
        <v>48</v>
      </c>
      <c r="E2936" s="1" t="s">
        <v>33</v>
      </c>
      <c r="F2936" s="2" t="s">
        <v>2318</v>
      </c>
      <c r="G2936" s="1">
        <v>431.976</v>
      </c>
      <c r="H2936" s="1">
        <v>3</v>
      </c>
      <c r="I2936" s="1">
        <v>26.9985</v>
      </c>
    </row>
    <row r="2937" spans="1:9" x14ac:dyDescent="0.35">
      <c r="A2937" s="3">
        <v>42533</v>
      </c>
      <c r="B2937" s="1" t="s">
        <v>869</v>
      </c>
      <c r="C2937" s="1" t="s">
        <v>47</v>
      </c>
      <c r="D2937" s="1" t="s">
        <v>48</v>
      </c>
      <c r="E2937" s="1" t="s">
        <v>87</v>
      </c>
      <c r="F2937" s="2" t="s">
        <v>190</v>
      </c>
      <c r="G2937" s="1">
        <v>35.89</v>
      </c>
      <c r="H2937" s="1">
        <v>1</v>
      </c>
      <c r="I2937" s="1">
        <v>16.150500000000001</v>
      </c>
    </row>
    <row r="2938" spans="1:9" x14ac:dyDescent="0.35">
      <c r="A2938" s="3">
        <v>42533</v>
      </c>
      <c r="B2938" s="1" t="s">
        <v>869</v>
      </c>
      <c r="C2938" s="1" t="s">
        <v>47</v>
      </c>
      <c r="D2938" s="1" t="s">
        <v>48</v>
      </c>
      <c r="E2938" s="1" t="s">
        <v>35</v>
      </c>
      <c r="F2938" s="2" t="s">
        <v>1175</v>
      </c>
      <c r="G2938" s="1">
        <v>47.207999999999998</v>
      </c>
      <c r="H2938" s="1">
        <v>7</v>
      </c>
      <c r="I2938" s="1">
        <v>15.342599999999999</v>
      </c>
    </row>
    <row r="2939" spans="1:9" x14ac:dyDescent="0.35">
      <c r="A2939" s="3">
        <v>42533</v>
      </c>
      <c r="B2939" s="1" t="s">
        <v>869</v>
      </c>
      <c r="C2939" s="1" t="s">
        <v>47</v>
      </c>
      <c r="D2939" s="1" t="s">
        <v>48</v>
      </c>
      <c r="E2939" s="1" t="s">
        <v>44</v>
      </c>
      <c r="F2939" s="2" t="s">
        <v>285</v>
      </c>
      <c r="G2939" s="1">
        <v>248.08</v>
      </c>
      <c r="H2939" s="1">
        <v>7</v>
      </c>
      <c r="I2939" s="1">
        <v>116.5976</v>
      </c>
    </row>
    <row r="2940" spans="1:9" x14ac:dyDescent="0.35">
      <c r="A2940" s="3">
        <v>42533</v>
      </c>
      <c r="B2940" s="1" t="s">
        <v>869</v>
      </c>
      <c r="C2940" s="1" t="s">
        <v>47</v>
      </c>
      <c r="D2940" s="1" t="s">
        <v>48</v>
      </c>
      <c r="E2940" s="1" t="s">
        <v>44</v>
      </c>
      <c r="F2940" s="2" t="s">
        <v>164</v>
      </c>
      <c r="G2940" s="1">
        <v>189.7</v>
      </c>
      <c r="H2940" s="1">
        <v>5</v>
      </c>
      <c r="I2940" s="1">
        <v>89.159000000000006</v>
      </c>
    </row>
    <row r="2941" spans="1:9" x14ac:dyDescent="0.35">
      <c r="A2941" s="3">
        <v>42533</v>
      </c>
      <c r="B2941" s="1" t="s">
        <v>869</v>
      </c>
      <c r="C2941" s="1" t="s">
        <v>47</v>
      </c>
      <c r="D2941" s="1" t="s">
        <v>48</v>
      </c>
      <c r="E2941" s="1" t="s">
        <v>35</v>
      </c>
      <c r="F2941" s="2" t="s">
        <v>806</v>
      </c>
      <c r="G2941" s="1">
        <v>59.808</v>
      </c>
      <c r="H2941" s="1">
        <v>3</v>
      </c>
      <c r="I2941" s="1">
        <v>19.4376</v>
      </c>
    </row>
    <row r="2942" spans="1:9" x14ac:dyDescent="0.35">
      <c r="A2942" s="3" t="s">
        <v>3304</v>
      </c>
      <c r="B2942" s="1" t="s">
        <v>966</v>
      </c>
      <c r="C2942" s="1" t="s">
        <v>1147</v>
      </c>
      <c r="D2942" s="1" t="s">
        <v>57</v>
      </c>
      <c r="E2942" s="1" t="s">
        <v>14</v>
      </c>
      <c r="F2942" s="2" t="s">
        <v>2417</v>
      </c>
      <c r="G2942" s="1">
        <v>90.99</v>
      </c>
      <c r="H2942" s="1">
        <v>1</v>
      </c>
      <c r="I2942" s="1">
        <v>14.558400000000001</v>
      </c>
    </row>
    <row r="2943" spans="1:9" x14ac:dyDescent="0.35">
      <c r="A2943" s="3" t="s">
        <v>3304</v>
      </c>
      <c r="B2943" s="1" t="s">
        <v>966</v>
      </c>
      <c r="C2943" s="1" t="s">
        <v>1147</v>
      </c>
      <c r="D2943" s="1" t="s">
        <v>57</v>
      </c>
      <c r="E2943" s="1" t="s">
        <v>14</v>
      </c>
      <c r="F2943" s="2" t="s">
        <v>1117</v>
      </c>
      <c r="G2943" s="1">
        <v>1526.56</v>
      </c>
      <c r="H2943" s="1">
        <v>7</v>
      </c>
      <c r="I2943" s="1">
        <v>427.43680000000001</v>
      </c>
    </row>
    <row r="2944" spans="1:9" x14ac:dyDescent="0.35">
      <c r="A2944" s="3" t="s">
        <v>3304</v>
      </c>
      <c r="B2944" s="1" t="s">
        <v>966</v>
      </c>
      <c r="C2944" s="1" t="s">
        <v>1147</v>
      </c>
      <c r="D2944" s="1" t="s">
        <v>57</v>
      </c>
      <c r="E2944" s="1" t="s">
        <v>14</v>
      </c>
      <c r="F2944" s="2" t="s">
        <v>1386</v>
      </c>
      <c r="G2944" s="1">
        <v>368.97</v>
      </c>
      <c r="H2944" s="1">
        <v>3</v>
      </c>
      <c r="I2944" s="1">
        <v>40.5867</v>
      </c>
    </row>
    <row r="2945" spans="1:9" x14ac:dyDescent="0.35">
      <c r="A2945" s="3" t="s">
        <v>3194</v>
      </c>
      <c r="B2945" s="1" t="s">
        <v>1765</v>
      </c>
      <c r="C2945" s="1" t="s">
        <v>17</v>
      </c>
      <c r="D2945" s="1" t="s">
        <v>18</v>
      </c>
      <c r="E2945" s="1" t="s">
        <v>26</v>
      </c>
      <c r="F2945" s="2" t="s">
        <v>569</v>
      </c>
      <c r="G2945" s="1">
        <v>305.01</v>
      </c>
      <c r="H2945" s="1">
        <v>9</v>
      </c>
      <c r="I2945" s="1">
        <v>76.252499999999998</v>
      </c>
    </row>
    <row r="2946" spans="1:9" x14ac:dyDescent="0.35">
      <c r="A2946" s="3" t="s">
        <v>3194</v>
      </c>
      <c r="B2946" s="1" t="s">
        <v>1765</v>
      </c>
      <c r="C2946" s="1" t="s">
        <v>17</v>
      </c>
      <c r="D2946" s="1" t="s">
        <v>18</v>
      </c>
      <c r="E2946" s="1" t="s">
        <v>29</v>
      </c>
      <c r="F2946" s="2" t="s">
        <v>2418</v>
      </c>
      <c r="G2946" s="1">
        <v>18.7</v>
      </c>
      <c r="H2946" s="1">
        <v>1</v>
      </c>
      <c r="I2946" s="1">
        <v>7.1059999999999999</v>
      </c>
    </row>
    <row r="2947" spans="1:9" x14ac:dyDescent="0.35">
      <c r="A2947" s="3">
        <v>42471</v>
      </c>
      <c r="B2947" s="1" t="s">
        <v>1091</v>
      </c>
      <c r="C2947" s="1" t="s">
        <v>64</v>
      </c>
      <c r="D2947" s="1" t="s">
        <v>18</v>
      </c>
      <c r="E2947" s="1" t="s">
        <v>29</v>
      </c>
      <c r="F2947" s="2" t="s">
        <v>882</v>
      </c>
      <c r="G2947" s="1">
        <v>38.29</v>
      </c>
      <c r="H2947" s="1">
        <v>7</v>
      </c>
      <c r="I2947" s="1">
        <v>16.464700000000001</v>
      </c>
    </row>
    <row r="2948" spans="1:9" x14ac:dyDescent="0.35">
      <c r="A2948" s="3" t="s">
        <v>3305</v>
      </c>
      <c r="B2948" s="1" t="s">
        <v>1733</v>
      </c>
      <c r="C2948" s="1" t="s">
        <v>461</v>
      </c>
      <c r="D2948" s="1" t="s">
        <v>18</v>
      </c>
      <c r="E2948" s="1" t="s">
        <v>29</v>
      </c>
      <c r="F2948" s="2" t="s">
        <v>2419</v>
      </c>
      <c r="G2948" s="1">
        <v>26.25</v>
      </c>
      <c r="H2948" s="1">
        <v>3</v>
      </c>
      <c r="I2948" s="1">
        <v>11.025</v>
      </c>
    </row>
    <row r="2949" spans="1:9" x14ac:dyDescent="0.35">
      <c r="A2949" s="3" t="s">
        <v>3305</v>
      </c>
      <c r="B2949" s="1" t="s">
        <v>1733</v>
      </c>
      <c r="C2949" s="1" t="s">
        <v>461</v>
      </c>
      <c r="D2949" s="1" t="s">
        <v>18</v>
      </c>
      <c r="E2949" s="1" t="s">
        <v>35</v>
      </c>
      <c r="F2949" s="2" t="s">
        <v>2420</v>
      </c>
      <c r="G2949" s="1">
        <v>64.959999999999994</v>
      </c>
      <c r="H2949" s="1">
        <v>14</v>
      </c>
      <c r="I2949" s="1">
        <v>22.736000000000001</v>
      </c>
    </row>
    <row r="2950" spans="1:9" x14ac:dyDescent="0.35">
      <c r="A2950" s="3" t="s">
        <v>3305</v>
      </c>
      <c r="B2950" s="1" t="s">
        <v>1733</v>
      </c>
      <c r="C2950" s="1" t="s">
        <v>461</v>
      </c>
      <c r="D2950" s="1" t="s">
        <v>18</v>
      </c>
      <c r="E2950" s="1" t="s">
        <v>87</v>
      </c>
      <c r="F2950" s="2" t="s">
        <v>1299</v>
      </c>
      <c r="G2950" s="1">
        <v>43.7</v>
      </c>
      <c r="H2950" s="1">
        <v>5</v>
      </c>
      <c r="I2950" s="1">
        <v>20.539000000000001</v>
      </c>
    </row>
    <row r="2951" spans="1:9" x14ac:dyDescent="0.35">
      <c r="A2951" s="3">
        <v>43080</v>
      </c>
      <c r="B2951" s="1" t="s">
        <v>2421</v>
      </c>
      <c r="C2951" s="1" t="s">
        <v>1682</v>
      </c>
      <c r="D2951" s="1" t="s">
        <v>158</v>
      </c>
      <c r="E2951" s="1" t="s">
        <v>81</v>
      </c>
      <c r="F2951" s="2" t="s">
        <v>412</v>
      </c>
      <c r="G2951" s="1">
        <v>41.6</v>
      </c>
      <c r="H2951" s="1">
        <v>4</v>
      </c>
      <c r="I2951" s="1">
        <v>13</v>
      </c>
    </row>
    <row r="2952" spans="1:9" x14ac:dyDescent="0.35">
      <c r="A2952" s="3">
        <v>43080</v>
      </c>
      <c r="B2952" s="1" t="s">
        <v>2421</v>
      </c>
      <c r="C2952" s="1" t="s">
        <v>1682</v>
      </c>
      <c r="D2952" s="1" t="s">
        <v>158</v>
      </c>
      <c r="E2952" s="1" t="s">
        <v>44</v>
      </c>
      <c r="F2952" s="2" t="s">
        <v>2004</v>
      </c>
      <c r="G2952" s="1">
        <v>23.12</v>
      </c>
      <c r="H2952" s="1">
        <v>5</v>
      </c>
      <c r="I2952" s="1">
        <v>8.3810000000000002</v>
      </c>
    </row>
    <row r="2953" spans="1:9" x14ac:dyDescent="0.35">
      <c r="A2953" s="3">
        <v>43080</v>
      </c>
      <c r="B2953" s="1" t="s">
        <v>2421</v>
      </c>
      <c r="C2953" s="1" t="s">
        <v>1682</v>
      </c>
      <c r="D2953" s="1" t="s">
        <v>158</v>
      </c>
      <c r="E2953" s="1" t="s">
        <v>14</v>
      </c>
      <c r="F2953" s="2" t="s">
        <v>2422</v>
      </c>
      <c r="G2953" s="1">
        <v>113.88800000000001</v>
      </c>
      <c r="H2953" s="1">
        <v>2</v>
      </c>
      <c r="I2953" s="1">
        <v>9.9651999999999994</v>
      </c>
    </row>
    <row r="2954" spans="1:9" x14ac:dyDescent="0.35">
      <c r="A2954" s="3">
        <v>43080</v>
      </c>
      <c r="B2954" s="1" t="s">
        <v>2421</v>
      </c>
      <c r="C2954" s="1" t="s">
        <v>1682</v>
      </c>
      <c r="D2954" s="1" t="s">
        <v>158</v>
      </c>
      <c r="E2954" s="1" t="s">
        <v>29</v>
      </c>
      <c r="F2954" s="2" t="s">
        <v>2423</v>
      </c>
      <c r="G2954" s="1">
        <v>113.568</v>
      </c>
      <c r="H2954" s="1">
        <v>2</v>
      </c>
      <c r="I2954" s="1">
        <v>-5.6783999999999999</v>
      </c>
    </row>
    <row r="2955" spans="1:9" x14ac:dyDescent="0.35">
      <c r="A2955" s="3">
        <v>43080</v>
      </c>
      <c r="B2955" s="1" t="s">
        <v>2421</v>
      </c>
      <c r="C2955" s="1" t="s">
        <v>1682</v>
      </c>
      <c r="D2955" s="1" t="s">
        <v>158</v>
      </c>
      <c r="E2955" s="1" t="s">
        <v>33</v>
      </c>
      <c r="F2955" s="2" t="s">
        <v>893</v>
      </c>
      <c r="G2955" s="1">
        <v>7.92</v>
      </c>
      <c r="H2955" s="1">
        <v>2</v>
      </c>
      <c r="I2955" s="1">
        <v>0.69299999999999995</v>
      </c>
    </row>
    <row r="2956" spans="1:9" x14ac:dyDescent="0.35">
      <c r="A2956" s="3">
        <v>43080</v>
      </c>
      <c r="B2956" s="1" t="s">
        <v>2421</v>
      </c>
      <c r="C2956" s="1" t="s">
        <v>1682</v>
      </c>
      <c r="D2956" s="1" t="s">
        <v>158</v>
      </c>
      <c r="E2956" s="1" t="s">
        <v>33</v>
      </c>
      <c r="F2956" s="2" t="s">
        <v>2424</v>
      </c>
      <c r="G2956" s="1">
        <v>671.98400000000004</v>
      </c>
      <c r="H2956" s="1">
        <v>2</v>
      </c>
      <c r="I2956" s="1">
        <v>50.398800000000001</v>
      </c>
    </row>
    <row r="2957" spans="1:9" x14ac:dyDescent="0.35">
      <c r="A2957" s="3" t="s">
        <v>3306</v>
      </c>
      <c r="B2957" s="1" t="s">
        <v>257</v>
      </c>
      <c r="C2957" s="1" t="s">
        <v>135</v>
      </c>
      <c r="D2957" s="1" t="s">
        <v>136</v>
      </c>
      <c r="E2957" s="1" t="s">
        <v>33</v>
      </c>
      <c r="F2957" s="2" t="s">
        <v>1489</v>
      </c>
      <c r="G2957" s="1">
        <v>39.99</v>
      </c>
      <c r="H2957" s="1">
        <v>1</v>
      </c>
      <c r="I2957" s="1">
        <v>11.597099999999999</v>
      </c>
    </row>
    <row r="2958" spans="1:9" x14ac:dyDescent="0.35">
      <c r="A2958" s="3" t="s">
        <v>3307</v>
      </c>
      <c r="B2958" s="1" t="s">
        <v>2425</v>
      </c>
      <c r="C2958" s="1" t="s">
        <v>1741</v>
      </c>
      <c r="D2958" s="1" t="s">
        <v>136</v>
      </c>
      <c r="E2958" s="1" t="s">
        <v>14</v>
      </c>
      <c r="F2958" s="2" t="s">
        <v>856</v>
      </c>
      <c r="G2958" s="1">
        <v>191.64599999999999</v>
      </c>
      <c r="H2958" s="1">
        <v>3</v>
      </c>
      <c r="I2958" s="1">
        <v>31.940999999999999</v>
      </c>
    </row>
    <row r="2959" spans="1:9" x14ac:dyDescent="0.35">
      <c r="A2959" s="3">
        <v>42830</v>
      </c>
      <c r="B2959" s="1" t="s">
        <v>539</v>
      </c>
      <c r="C2959" s="1" t="s">
        <v>162</v>
      </c>
      <c r="D2959" s="1" t="s">
        <v>250</v>
      </c>
      <c r="E2959" s="1" t="s">
        <v>35</v>
      </c>
      <c r="F2959" s="2" t="s">
        <v>36</v>
      </c>
      <c r="G2959" s="1">
        <v>2.3130000000000002</v>
      </c>
      <c r="H2959" s="1">
        <v>1</v>
      </c>
      <c r="I2959" s="1">
        <v>-1.9275</v>
      </c>
    </row>
    <row r="2960" spans="1:9" x14ac:dyDescent="0.35">
      <c r="A2960" s="3" t="s">
        <v>3223</v>
      </c>
      <c r="B2960" s="1" t="s">
        <v>1605</v>
      </c>
      <c r="C2960" s="1" t="s">
        <v>17</v>
      </c>
      <c r="D2960" s="1" t="s">
        <v>18</v>
      </c>
      <c r="E2960" s="1" t="s">
        <v>35</v>
      </c>
      <c r="F2960" s="2" t="s">
        <v>1363</v>
      </c>
      <c r="G2960" s="1">
        <v>19.936</v>
      </c>
      <c r="H2960" s="1">
        <v>4</v>
      </c>
      <c r="I2960" s="1">
        <v>7.2267999999999999</v>
      </c>
    </row>
    <row r="2961" spans="1:9" x14ac:dyDescent="0.35">
      <c r="A2961" s="3" t="s">
        <v>3223</v>
      </c>
      <c r="B2961" s="1" t="s">
        <v>1605</v>
      </c>
      <c r="C2961" s="1" t="s">
        <v>17</v>
      </c>
      <c r="D2961" s="1" t="s">
        <v>18</v>
      </c>
      <c r="E2961" s="1" t="s">
        <v>137</v>
      </c>
      <c r="F2961" s="2" t="s">
        <v>523</v>
      </c>
      <c r="G2961" s="1">
        <v>45.92</v>
      </c>
      <c r="H2961" s="1">
        <v>4</v>
      </c>
      <c r="I2961" s="1">
        <v>21.5824</v>
      </c>
    </row>
    <row r="2962" spans="1:9" x14ac:dyDescent="0.35">
      <c r="A2962" s="3" t="s">
        <v>3308</v>
      </c>
      <c r="B2962" s="1" t="s">
        <v>721</v>
      </c>
      <c r="C2962" s="1" t="s">
        <v>47</v>
      </c>
      <c r="D2962" s="1" t="s">
        <v>48</v>
      </c>
      <c r="E2962" s="1" t="s">
        <v>44</v>
      </c>
      <c r="F2962" s="2" t="s">
        <v>1655</v>
      </c>
      <c r="G2962" s="1">
        <v>20.34</v>
      </c>
      <c r="H2962" s="1">
        <v>3</v>
      </c>
      <c r="I2962" s="1">
        <v>9.3564000000000007</v>
      </c>
    </row>
    <row r="2963" spans="1:9" x14ac:dyDescent="0.35">
      <c r="A2963" s="3" t="s">
        <v>3308</v>
      </c>
      <c r="B2963" s="1" t="s">
        <v>721</v>
      </c>
      <c r="C2963" s="1" t="s">
        <v>47</v>
      </c>
      <c r="D2963" s="1" t="s">
        <v>48</v>
      </c>
      <c r="E2963" s="1" t="s">
        <v>19</v>
      </c>
      <c r="F2963" s="2" t="s">
        <v>1872</v>
      </c>
      <c r="G2963" s="1">
        <v>39.28</v>
      </c>
      <c r="H2963" s="1">
        <v>8</v>
      </c>
      <c r="I2963" s="1">
        <v>19.247199999999999</v>
      </c>
    </row>
    <row r="2964" spans="1:9" x14ac:dyDescent="0.35">
      <c r="A2964" s="3" t="s">
        <v>3309</v>
      </c>
      <c r="B2964" s="1" t="s">
        <v>2426</v>
      </c>
      <c r="C2964" s="1" t="s">
        <v>1061</v>
      </c>
      <c r="D2964" s="1" t="s">
        <v>18</v>
      </c>
      <c r="E2964" s="1" t="s">
        <v>14</v>
      </c>
      <c r="F2964" s="2" t="s">
        <v>76</v>
      </c>
      <c r="G2964" s="1">
        <v>81.567999999999998</v>
      </c>
      <c r="H2964" s="1">
        <v>2</v>
      </c>
      <c r="I2964" s="1">
        <v>9.1763999999999992</v>
      </c>
    </row>
    <row r="2965" spans="1:9" x14ac:dyDescent="0.35">
      <c r="A2965" s="3" t="s">
        <v>3309</v>
      </c>
      <c r="B2965" s="1" t="s">
        <v>2426</v>
      </c>
      <c r="C2965" s="1" t="s">
        <v>1061</v>
      </c>
      <c r="D2965" s="1" t="s">
        <v>18</v>
      </c>
      <c r="E2965" s="1" t="s">
        <v>14</v>
      </c>
      <c r="F2965" s="2" t="s">
        <v>348</v>
      </c>
      <c r="G2965" s="1">
        <v>97.183999999999997</v>
      </c>
      <c r="H2965" s="1">
        <v>2</v>
      </c>
      <c r="I2965" s="1">
        <v>6.0739999999999998</v>
      </c>
    </row>
    <row r="2966" spans="1:9" x14ac:dyDescent="0.35">
      <c r="A2966" s="3" t="s">
        <v>3309</v>
      </c>
      <c r="B2966" s="1" t="s">
        <v>2426</v>
      </c>
      <c r="C2966" s="1" t="s">
        <v>1061</v>
      </c>
      <c r="D2966" s="1" t="s">
        <v>18</v>
      </c>
      <c r="E2966" s="1" t="s">
        <v>35</v>
      </c>
      <c r="F2966" s="2" t="s">
        <v>936</v>
      </c>
      <c r="G2966" s="1">
        <v>24.32</v>
      </c>
      <c r="H2966" s="1">
        <v>5</v>
      </c>
      <c r="I2966" s="1">
        <v>8.2080000000000002</v>
      </c>
    </row>
    <row r="2967" spans="1:9" x14ac:dyDescent="0.35">
      <c r="A2967" s="3" t="s">
        <v>3309</v>
      </c>
      <c r="B2967" s="1" t="s">
        <v>2426</v>
      </c>
      <c r="C2967" s="1" t="s">
        <v>1061</v>
      </c>
      <c r="D2967" s="1" t="s">
        <v>18</v>
      </c>
      <c r="E2967" s="1" t="s">
        <v>29</v>
      </c>
      <c r="F2967" s="2" t="s">
        <v>2427</v>
      </c>
      <c r="G2967" s="1">
        <v>18.96</v>
      </c>
      <c r="H2967" s="1">
        <v>2</v>
      </c>
      <c r="I2967" s="1">
        <v>7.5839999999999996</v>
      </c>
    </row>
    <row r="2968" spans="1:9" x14ac:dyDescent="0.35">
      <c r="A2968" s="3" t="s">
        <v>3310</v>
      </c>
      <c r="B2968" s="1" t="s">
        <v>1704</v>
      </c>
      <c r="C2968" s="1" t="s">
        <v>1808</v>
      </c>
      <c r="D2968" s="1" t="s">
        <v>106</v>
      </c>
      <c r="E2968" s="1" t="s">
        <v>29</v>
      </c>
      <c r="F2968" s="2" t="s">
        <v>1677</v>
      </c>
      <c r="G2968" s="1">
        <v>32.951999999999998</v>
      </c>
      <c r="H2968" s="1">
        <v>6</v>
      </c>
      <c r="I2968" s="1">
        <v>-19.7712</v>
      </c>
    </row>
    <row r="2969" spans="1:9" x14ac:dyDescent="0.35">
      <c r="A2969" s="3" t="s">
        <v>3310</v>
      </c>
      <c r="B2969" s="1" t="s">
        <v>1704</v>
      </c>
      <c r="C2969" s="1" t="s">
        <v>1808</v>
      </c>
      <c r="D2969" s="1" t="s">
        <v>106</v>
      </c>
      <c r="E2969" s="1" t="s">
        <v>26</v>
      </c>
      <c r="F2969" s="2" t="s">
        <v>1191</v>
      </c>
      <c r="G2969" s="1">
        <v>30.015999999999998</v>
      </c>
      <c r="H2969" s="1">
        <v>4</v>
      </c>
      <c r="I2969" s="1">
        <v>3.0015999999999998</v>
      </c>
    </row>
    <row r="2970" spans="1:9" x14ac:dyDescent="0.35">
      <c r="A2970" s="3">
        <v>42897</v>
      </c>
      <c r="B2970" s="1" t="s">
        <v>1893</v>
      </c>
      <c r="C2970" s="1" t="s">
        <v>796</v>
      </c>
      <c r="D2970" s="1" t="s">
        <v>43</v>
      </c>
      <c r="E2970" s="1" t="s">
        <v>37</v>
      </c>
      <c r="F2970" s="2" t="s">
        <v>183</v>
      </c>
      <c r="G2970" s="1">
        <v>499.584</v>
      </c>
      <c r="H2970" s="1">
        <v>3</v>
      </c>
      <c r="I2970" s="1">
        <v>43.7136</v>
      </c>
    </row>
    <row r="2971" spans="1:9" x14ac:dyDescent="0.35">
      <c r="A2971" s="3">
        <v>42897</v>
      </c>
      <c r="B2971" s="1" t="s">
        <v>1893</v>
      </c>
      <c r="C2971" s="1" t="s">
        <v>796</v>
      </c>
      <c r="D2971" s="1" t="s">
        <v>43</v>
      </c>
      <c r="E2971" s="1" t="s">
        <v>44</v>
      </c>
      <c r="F2971" s="2" t="s">
        <v>1033</v>
      </c>
      <c r="G2971" s="1">
        <v>31.103999999999999</v>
      </c>
      <c r="H2971" s="1">
        <v>6</v>
      </c>
      <c r="I2971" s="1">
        <v>10.8864</v>
      </c>
    </row>
    <row r="2972" spans="1:9" x14ac:dyDescent="0.35">
      <c r="A2972" s="3">
        <v>42897</v>
      </c>
      <c r="B2972" s="1" t="s">
        <v>1893</v>
      </c>
      <c r="C2972" s="1" t="s">
        <v>796</v>
      </c>
      <c r="D2972" s="1" t="s">
        <v>43</v>
      </c>
      <c r="E2972" s="1" t="s">
        <v>35</v>
      </c>
      <c r="F2972" s="2" t="s">
        <v>985</v>
      </c>
      <c r="G2972" s="1">
        <v>13.272</v>
      </c>
      <c r="H2972" s="1">
        <v>8</v>
      </c>
      <c r="I2972" s="1">
        <v>-10.617599999999999</v>
      </c>
    </row>
    <row r="2973" spans="1:9" x14ac:dyDescent="0.35">
      <c r="A2973" s="3">
        <v>42897</v>
      </c>
      <c r="B2973" s="1" t="s">
        <v>1893</v>
      </c>
      <c r="C2973" s="1" t="s">
        <v>796</v>
      </c>
      <c r="D2973" s="1" t="s">
        <v>43</v>
      </c>
      <c r="E2973" s="1" t="s">
        <v>29</v>
      </c>
      <c r="F2973" s="2" t="s">
        <v>2286</v>
      </c>
      <c r="G2973" s="1">
        <v>28.271999999999998</v>
      </c>
      <c r="H2973" s="1">
        <v>2</v>
      </c>
      <c r="I2973" s="1">
        <v>6.3612000000000002</v>
      </c>
    </row>
    <row r="2974" spans="1:9" x14ac:dyDescent="0.35">
      <c r="A2974" s="3">
        <v>42897</v>
      </c>
      <c r="B2974" s="1" t="s">
        <v>1893</v>
      </c>
      <c r="C2974" s="1" t="s">
        <v>796</v>
      </c>
      <c r="D2974" s="1" t="s">
        <v>43</v>
      </c>
      <c r="E2974" s="1" t="s">
        <v>26</v>
      </c>
      <c r="F2974" s="2" t="s">
        <v>829</v>
      </c>
      <c r="G2974" s="1">
        <v>259.13600000000002</v>
      </c>
      <c r="H2974" s="1">
        <v>4</v>
      </c>
      <c r="I2974" s="1">
        <v>-51.827199999999998</v>
      </c>
    </row>
    <row r="2975" spans="1:9" x14ac:dyDescent="0.35">
      <c r="A2975" s="3" t="s">
        <v>3309</v>
      </c>
      <c r="B2975" s="1" t="s">
        <v>927</v>
      </c>
      <c r="C2975" s="1" t="s">
        <v>1897</v>
      </c>
      <c r="D2975" s="1" t="s">
        <v>322</v>
      </c>
      <c r="E2975" s="1" t="s">
        <v>35</v>
      </c>
      <c r="F2975" s="2" t="s">
        <v>1470</v>
      </c>
      <c r="G2975" s="1">
        <v>10.8</v>
      </c>
      <c r="H2975" s="1">
        <v>5</v>
      </c>
      <c r="I2975" s="1">
        <v>5.1840000000000002</v>
      </c>
    </row>
    <row r="2976" spans="1:9" x14ac:dyDescent="0.35">
      <c r="A2976" s="3">
        <v>42190</v>
      </c>
      <c r="B2976" s="1" t="s">
        <v>667</v>
      </c>
      <c r="C2976" s="1" t="s">
        <v>1759</v>
      </c>
      <c r="D2976" s="1" t="s">
        <v>52</v>
      </c>
      <c r="E2976" s="1" t="s">
        <v>24</v>
      </c>
      <c r="F2976" s="2" t="s">
        <v>1086</v>
      </c>
      <c r="G2976" s="1">
        <v>244.006</v>
      </c>
      <c r="H2976" s="1">
        <v>2</v>
      </c>
      <c r="I2976" s="1">
        <v>-31.372199999999999</v>
      </c>
    </row>
    <row r="2977" spans="1:9" x14ac:dyDescent="0.35">
      <c r="A2977" s="3">
        <v>42190</v>
      </c>
      <c r="B2977" s="1" t="s">
        <v>667</v>
      </c>
      <c r="C2977" s="1" t="s">
        <v>1759</v>
      </c>
      <c r="D2977" s="1" t="s">
        <v>52</v>
      </c>
      <c r="E2977" s="1" t="s">
        <v>44</v>
      </c>
      <c r="F2977" s="2" t="s">
        <v>2428</v>
      </c>
      <c r="G2977" s="1">
        <v>15.936</v>
      </c>
      <c r="H2977" s="1">
        <v>4</v>
      </c>
      <c r="I2977" s="1">
        <v>5.3784000000000001</v>
      </c>
    </row>
    <row r="2978" spans="1:9" x14ac:dyDescent="0.35">
      <c r="A2978" s="3">
        <v>42837</v>
      </c>
      <c r="B2978" s="1" t="s">
        <v>16</v>
      </c>
      <c r="C2978" s="1" t="s">
        <v>74</v>
      </c>
      <c r="D2978" s="1" t="s">
        <v>75</v>
      </c>
      <c r="E2978" s="1" t="s">
        <v>14</v>
      </c>
      <c r="F2978" s="2" t="s">
        <v>2429</v>
      </c>
      <c r="G2978" s="1">
        <v>188.55199999999999</v>
      </c>
      <c r="H2978" s="1">
        <v>7</v>
      </c>
      <c r="I2978" s="1">
        <v>-2.6936</v>
      </c>
    </row>
    <row r="2979" spans="1:9" x14ac:dyDescent="0.35">
      <c r="A2979" s="3">
        <v>42804</v>
      </c>
      <c r="B2979" s="1" t="s">
        <v>1224</v>
      </c>
      <c r="C2979" s="1" t="s">
        <v>197</v>
      </c>
      <c r="D2979" s="1" t="s">
        <v>136</v>
      </c>
      <c r="E2979" s="1" t="s">
        <v>26</v>
      </c>
      <c r="F2979" s="2" t="s">
        <v>1697</v>
      </c>
      <c r="G2979" s="1">
        <v>22.58</v>
      </c>
      <c r="H2979" s="1">
        <v>2</v>
      </c>
      <c r="I2979" s="1">
        <v>5.8708</v>
      </c>
    </row>
    <row r="2980" spans="1:9" x14ac:dyDescent="0.35">
      <c r="A2980" s="3" t="s">
        <v>3311</v>
      </c>
      <c r="B2980" s="1" t="s">
        <v>1602</v>
      </c>
      <c r="C2980" s="1" t="s">
        <v>2430</v>
      </c>
      <c r="D2980" s="1" t="s">
        <v>194</v>
      </c>
      <c r="E2980" s="1" t="s">
        <v>14</v>
      </c>
      <c r="F2980" s="2" t="s">
        <v>2417</v>
      </c>
      <c r="G2980" s="1">
        <v>545.94000000000005</v>
      </c>
      <c r="H2980" s="1">
        <v>6</v>
      </c>
      <c r="I2980" s="1">
        <v>87.350399999999993</v>
      </c>
    </row>
    <row r="2981" spans="1:9" x14ac:dyDescent="0.35">
      <c r="A2981" s="3">
        <v>42344</v>
      </c>
      <c r="B2981" s="1" t="s">
        <v>2431</v>
      </c>
      <c r="C2981" s="1" t="s">
        <v>74</v>
      </c>
      <c r="D2981" s="1" t="s">
        <v>75</v>
      </c>
      <c r="E2981" s="1" t="s">
        <v>44</v>
      </c>
      <c r="F2981" s="2" t="s">
        <v>2432</v>
      </c>
      <c r="G2981" s="1">
        <v>20.736000000000001</v>
      </c>
      <c r="H2981" s="1">
        <v>4</v>
      </c>
      <c r="I2981" s="1">
        <v>7.2576000000000001</v>
      </c>
    </row>
    <row r="2982" spans="1:9" x14ac:dyDescent="0.35">
      <c r="A2982" s="3">
        <v>42344</v>
      </c>
      <c r="B2982" s="1" t="s">
        <v>2431</v>
      </c>
      <c r="C2982" s="1" t="s">
        <v>74</v>
      </c>
      <c r="D2982" s="1" t="s">
        <v>75</v>
      </c>
      <c r="E2982" s="1" t="s">
        <v>29</v>
      </c>
      <c r="F2982" s="2" t="s">
        <v>2066</v>
      </c>
      <c r="G2982" s="1">
        <v>43.295999999999999</v>
      </c>
      <c r="H2982" s="1">
        <v>2</v>
      </c>
      <c r="I2982" s="1">
        <v>4.3296000000000001</v>
      </c>
    </row>
    <row r="2983" spans="1:9" x14ac:dyDescent="0.35">
      <c r="A2983" s="3">
        <v>41980</v>
      </c>
      <c r="B2983" s="1" t="s">
        <v>243</v>
      </c>
      <c r="C2983" s="1" t="s">
        <v>47</v>
      </c>
      <c r="D2983" s="1" t="s">
        <v>48</v>
      </c>
      <c r="E2983" s="1" t="s">
        <v>14</v>
      </c>
      <c r="F2983" s="2" t="s">
        <v>2429</v>
      </c>
      <c r="G2983" s="1">
        <v>123.136</v>
      </c>
      <c r="H2983" s="1">
        <v>4</v>
      </c>
      <c r="I2983" s="1">
        <v>13.8528</v>
      </c>
    </row>
    <row r="2984" spans="1:9" x14ac:dyDescent="0.35">
      <c r="A2984" s="3">
        <v>41980</v>
      </c>
      <c r="B2984" s="1" t="s">
        <v>243</v>
      </c>
      <c r="C2984" s="1" t="s">
        <v>47</v>
      </c>
      <c r="D2984" s="1" t="s">
        <v>48</v>
      </c>
      <c r="E2984" s="1" t="s">
        <v>35</v>
      </c>
      <c r="F2984" s="2" t="s">
        <v>1149</v>
      </c>
      <c r="G2984" s="1">
        <v>11.263999999999999</v>
      </c>
      <c r="H2984" s="1">
        <v>4</v>
      </c>
      <c r="I2984" s="1">
        <v>3.8016000000000001</v>
      </c>
    </row>
    <row r="2985" spans="1:9" x14ac:dyDescent="0.35">
      <c r="A2985" s="3">
        <v>41802</v>
      </c>
      <c r="B2985" s="1" t="s">
        <v>248</v>
      </c>
      <c r="C2985" s="1" t="s">
        <v>162</v>
      </c>
      <c r="D2985" s="1" t="s">
        <v>212</v>
      </c>
      <c r="E2985" s="1" t="s">
        <v>26</v>
      </c>
      <c r="F2985" s="2" t="s">
        <v>619</v>
      </c>
      <c r="G2985" s="1">
        <v>53.423999999999999</v>
      </c>
      <c r="H2985" s="1">
        <v>3</v>
      </c>
      <c r="I2985" s="1">
        <v>4.6745999999999999</v>
      </c>
    </row>
    <row r="2986" spans="1:9" x14ac:dyDescent="0.35">
      <c r="A2986" s="3">
        <v>41802</v>
      </c>
      <c r="B2986" s="1" t="s">
        <v>248</v>
      </c>
      <c r="C2986" s="1" t="s">
        <v>162</v>
      </c>
      <c r="D2986" s="1" t="s">
        <v>212</v>
      </c>
      <c r="E2986" s="1" t="s">
        <v>24</v>
      </c>
      <c r="F2986" s="2" t="s">
        <v>2076</v>
      </c>
      <c r="G2986" s="1">
        <v>275.49</v>
      </c>
      <c r="H2986" s="1">
        <v>1</v>
      </c>
      <c r="I2986" s="1">
        <v>-170.8038</v>
      </c>
    </row>
    <row r="2987" spans="1:9" x14ac:dyDescent="0.35">
      <c r="A2987" s="3" t="s">
        <v>3312</v>
      </c>
      <c r="B2987" s="1" t="s">
        <v>2433</v>
      </c>
      <c r="C2987" s="1" t="s">
        <v>249</v>
      </c>
      <c r="D2987" s="1" t="s">
        <v>604</v>
      </c>
      <c r="E2987" s="1" t="s">
        <v>29</v>
      </c>
      <c r="F2987" s="2" t="s">
        <v>2434</v>
      </c>
      <c r="G2987" s="1">
        <v>24.96</v>
      </c>
      <c r="H2987" s="1">
        <v>4</v>
      </c>
      <c r="I2987" s="1">
        <v>6.24</v>
      </c>
    </row>
    <row r="2988" spans="1:9" x14ac:dyDescent="0.35">
      <c r="A2988" s="3" t="s">
        <v>3312</v>
      </c>
      <c r="B2988" s="1" t="s">
        <v>2433</v>
      </c>
      <c r="C2988" s="1" t="s">
        <v>249</v>
      </c>
      <c r="D2988" s="1" t="s">
        <v>604</v>
      </c>
      <c r="E2988" s="1" t="s">
        <v>44</v>
      </c>
      <c r="F2988" s="2" t="s">
        <v>681</v>
      </c>
      <c r="G2988" s="1">
        <v>19.36</v>
      </c>
      <c r="H2988" s="1">
        <v>2</v>
      </c>
      <c r="I2988" s="1">
        <v>9.2927999999999997</v>
      </c>
    </row>
    <row r="2989" spans="1:9" x14ac:dyDescent="0.35">
      <c r="A2989" s="3" t="s">
        <v>3312</v>
      </c>
      <c r="B2989" s="1" t="s">
        <v>2433</v>
      </c>
      <c r="C2989" s="1" t="s">
        <v>249</v>
      </c>
      <c r="D2989" s="1" t="s">
        <v>604</v>
      </c>
      <c r="E2989" s="1" t="s">
        <v>26</v>
      </c>
      <c r="F2989" s="2" t="s">
        <v>773</v>
      </c>
      <c r="G2989" s="1">
        <v>1267.6500000000001</v>
      </c>
      <c r="H2989" s="1">
        <v>9</v>
      </c>
      <c r="I2989" s="1">
        <v>152.11799999999999</v>
      </c>
    </row>
    <row r="2990" spans="1:9" x14ac:dyDescent="0.35">
      <c r="A2990" s="3" t="s">
        <v>3313</v>
      </c>
      <c r="B2990" s="1" t="s">
        <v>2299</v>
      </c>
      <c r="C2990" s="1" t="s">
        <v>17</v>
      </c>
      <c r="D2990" s="1" t="s">
        <v>18</v>
      </c>
      <c r="E2990" s="1" t="s">
        <v>81</v>
      </c>
      <c r="F2990" s="2" t="s">
        <v>2353</v>
      </c>
      <c r="G2990" s="1">
        <v>12.99</v>
      </c>
      <c r="H2990" s="1">
        <v>1</v>
      </c>
      <c r="I2990" s="1">
        <v>0.77939999999999998</v>
      </c>
    </row>
    <row r="2991" spans="1:9" x14ac:dyDescent="0.35">
      <c r="A2991" s="3" t="s">
        <v>3313</v>
      </c>
      <c r="B2991" s="1" t="s">
        <v>2299</v>
      </c>
      <c r="C2991" s="1" t="s">
        <v>17</v>
      </c>
      <c r="D2991" s="1" t="s">
        <v>18</v>
      </c>
      <c r="E2991" s="1" t="s">
        <v>35</v>
      </c>
      <c r="F2991" s="2" t="s">
        <v>2420</v>
      </c>
      <c r="G2991" s="1">
        <v>18.559999999999999</v>
      </c>
      <c r="H2991" s="1">
        <v>4</v>
      </c>
      <c r="I2991" s="1">
        <v>6.4960000000000004</v>
      </c>
    </row>
    <row r="2992" spans="1:9" x14ac:dyDescent="0.35">
      <c r="A2992" s="3" t="s">
        <v>3313</v>
      </c>
      <c r="B2992" s="1" t="s">
        <v>2299</v>
      </c>
      <c r="C2992" s="1" t="s">
        <v>17</v>
      </c>
      <c r="D2992" s="1" t="s">
        <v>18</v>
      </c>
      <c r="E2992" s="1" t="s">
        <v>26</v>
      </c>
      <c r="F2992" s="2" t="s">
        <v>789</v>
      </c>
      <c r="G2992" s="1">
        <v>449.15</v>
      </c>
      <c r="H2992" s="1">
        <v>5</v>
      </c>
      <c r="I2992" s="1">
        <v>8.9830000000000005</v>
      </c>
    </row>
    <row r="2993" spans="1:9" x14ac:dyDescent="0.35">
      <c r="A2993" s="3" t="s">
        <v>3313</v>
      </c>
      <c r="B2993" s="1" t="s">
        <v>2299</v>
      </c>
      <c r="C2993" s="1" t="s">
        <v>17</v>
      </c>
      <c r="D2993" s="1" t="s">
        <v>18</v>
      </c>
      <c r="E2993" s="1" t="s">
        <v>35</v>
      </c>
      <c r="F2993" s="2" t="s">
        <v>184</v>
      </c>
      <c r="G2993" s="1">
        <v>31.248000000000001</v>
      </c>
      <c r="H2993" s="1">
        <v>7</v>
      </c>
      <c r="I2993" s="1">
        <v>10.9368</v>
      </c>
    </row>
    <row r="2994" spans="1:9" x14ac:dyDescent="0.35">
      <c r="A2994" s="3">
        <v>42410</v>
      </c>
      <c r="B2994" s="1" t="s">
        <v>2307</v>
      </c>
      <c r="C2994" s="1" t="s">
        <v>135</v>
      </c>
      <c r="D2994" s="1" t="s">
        <v>136</v>
      </c>
      <c r="E2994" s="1" t="s">
        <v>37</v>
      </c>
      <c r="F2994" s="2" t="s">
        <v>1001</v>
      </c>
      <c r="G2994" s="1">
        <v>61.44</v>
      </c>
      <c r="H2994" s="1">
        <v>3</v>
      </c>
      <c r="I2994" s="1">
        <v>16.588799999999999</v>
      </c>
    </row>
    <row r="2995" spans="1:9" x14ac:dyDescent="0.35">
      <c r="A2995" s="3">
        <v>43042</v>
      </c>
      <c r="B2995" s="1" t="s">
        <v>333</v>
      </c>
      <c r="C2995" s="1" t="s">
        <v>429</v>
      </c>
      <c r="D2995" s="1" t="s">
        <v>120</v>
      </c>
      <c r="E2995" s="1" t="s">
        <v>35</v>
      </c>
      <c r="F2995" s="2" t="s">
        <v>1971</v>
      </c>
      <c r="G2995" s="1">
        <v>895.92</v>
      </c>
      <c r="H2995" s="1">
        <v>4</v>
      </c>
      <c r="I2995" s="1">
        <v>421.08240000000001</v>
      </c>
    </row>
    <row r="2996" spans="1:9" x14ac:dyDescent="0.35">
      <c r="A2996" s="3">
        <v>42622</v>
      </c>
      <c r="B2996" s="1" t="s">
        <v>951</v>
      </c>
      <c r="C2996" s="1" t="s">
        <v>2061</v>
      </c>
      <c r="D2996" s="1" t="s">
        <v>18</v>
      </c>
      <c r="E2996" s="1" t="s">
        <v>35</v>
      </c>
      <c r="F2996" s="2" t="s">
        <v>2435</v>
      </c>
      <c r="G2996" s="1">
        <v>55.36</v>
      </c>
      <c r="H2996" s="1">
        <v>4</v>
      </c>
      <c r="I2996" s="1">
        <v>18.684000000000001</v>
      </c>
    </row>
    <row r="2997" spans="1:9" x14ac:dyDescent="0.35">
      <c r="A2997" s="3" t="s">
        <v>3314</v>
      </c>
      <c r="B2997" s="1" t="s">
        <v>691</v>
      </c>
      <c r="C2997" s="1" t="s">
        <v>272</v>
      </c>
      <c r="D2997" s="1" t="s">
        <v>158</v>
      </c>
      <c r="E2997" s="1" t="s">
        <v>26</v>
      </c>
      <c r="F2997" s="2" t="s">
        <v>27</v>
      </c>
      <c r="G2997" s="1">
        <v>55.92</v>
      </c>
      <c r="H2997" s="1">
        <v>5</v>
      </c>
      <c r="I2997" s="1">
        <v>6.2910000000000004</v>
      </c>
    </row>
    <row r="2998" spans="1:9" x14ac:dyDescent="0.35">
      <c r="A2998" s="3" t="s">
        <v>3228</v>
      </c>
      <c r="B2998" s="1" t="s">
        <v>1802</v>
      </c>
      <c r="C2998" s="1" t="s">
        <v>74</v>
      </c>
      <c r="D2998" s="1" t="s">
        <v>75</v>
      </c>
      <c r="E2998" s="1" t="s">
        <v>87</v>
      </c>
      <c r="F2998" s="2" t="s">
        <v>332</v>
      </c>
      <c r="G2998" s="1">
        <v>24.896000000000001</v>
      </c>
      <c r="H2998" s="1">
        <v>4</v>
      </c>
      <c r="I2998" s="1">
        <v>8.4024000000000001</v>
      </c>
    </row>
    <row r="2999" spans="1:9" x14ac:dyDescent="0.35">
      <c r="A2999" s="3" t="s">
        <v>3228</v>
      </c>
      <c r="B2999" s="1" t="s">
        <v>1802</v>
      </c>
      <c r="C2999" s="1" t="s">
        <v>74</v>
      </c>
      <c r="D2999" s="1" t="s">
        <v>75</v>
      </c>
      <c r="E2999" s="1" t="s">
        <v>29</v>
      </c>
      <c r="F2999" s="2" t="s">
        <v>2436</v>
      </c>
      <c r="G2999" s="1">
        <v>3.984</v>
      </c>
      <c r="H2999" s="1">
        <v>1</v>
      </c>
      <c r="I2999" s="1">
        <v>0.64739999999999998</v>
      </c>
    </row>
    <row r="3000" spans="1:9" x14ac:dyDescent="0.35">
      <c r="A3000" s="3" t="s">
        <v>3228</v>
      </c>
      <c r="B3000" s="1" t="s">
        <v>1802</v>
      </c>
      <c r="C3000" s="1" t="s">
        <v>74</v>
      </c>
      <c r="D3000" s="1" t="s">
        <v>75</v>
      </c>
      <c r="E3000" s="1" t="s">
        <v>81</v>
      </c>
      <c r="F3000" s="2" t="s">
        <v>490</v>
      </c>
      <c r="G3000" s="1">
        <v>95.968000000000004</v>
      </c>
      <c r="H3000" s="1">
        <v>4</v>
      </c>
      <c r="I3000" s="1">
        <v>28.790400000000002</v>
      </c>
    </row>
    <row r="3001" spans="1:9" x14ac:dyDescent="0.35">
      <c r="A3001" s="3" t="s">
        <v>3228</v>
      </c>
      <c r="B3001" s="1" t="s">
        <v>1802</v>
      </c>
      <c r="C3001" s="1" t="s">
        <v>74</v>
      </c>
      <c r="D3001" s="1" t="s">
        <v>75</v>
      </c>
      <c r="E3001" s="1" t="s">
        <v>338</v>
      </c>
      <c r="F3001" s="2" t="s">
        <v>2437</v>
      </c>
      <c r="G3001" s="1">
        <v>206.99100000000001</v>
      </c>
      <c r="H3001" s="1">
        <v>3</v>
      </c>
      <c r="I3001" s="1">
        <v>-172.49250000000001</v>
      </c>
    </row>
    <row r="3002" spans="1:9" x14ac:dyDescent="0.35">
      <c r="A3002" s="3" t="s">
        <v>3228</v>
      </c>
      <c r="B3002" s="1" t="s">
        <v>1802</v>
      </c>
      <c r="C3002" s="1" t="s">
        <v>74</v>
      </c>
      <c r="D3002" s="1" t="s">
        <v>75</v>
      </c>
      <c r="E3002" s="1" t="s">
        <v>37</v>
      </c>
      <c r="F3002" s="2" t="s">
        <v>1854</v>
      </c>
      <c r="G3002" s="1">
        <v>44.415999999999997</v>
      </c>
      <c r="H3002" s="1">
        <v>2</v>
      </c>
      <c r="I3002" s="1">
        <v>3.8864000000000001</v>
      </c>
    </row>
    <row r="3003" spans="1:9" x14ac:dyDescent="0.35">
      <c r="A3003" s="3" t="s">
        <v>3228</v>
      </c>
      <c r="B3003" s="1" t="s">
        <v>1802</v>
      </c>
      <c r="C3003" s="1" t="s">
        <v>74</v>
      </c>
      <c r="D3003" s="1" t="s">
        <v>75</v>
      </c>
      <c r="E3003" s="1" t="s">
        <v>35</v>
      </c>
      <c r="F3003" s="2" t="s">
        <v>880</v>
      </c>
      <c r="G3003" s="1">
        <v>9.0060000000000002</v>
      </c>
      <c r="H3003" s="1">
        <v>2</v>
      </c>
      <c r="I3003" s="1">
        <v>-7.2047999999999996</v>
      </c>
    </row>
    <row r="3004" spans="1:9" x14ac:dyDescent="0.35">
      <c r="A3004" s="3">
        <v>42131</v>
      </c>
      <c r="B3004" s="1" t="s">
        <v>657</v>
      </c>
      <c r="C3004" s="1" t="s">
        <v>2438</v>
      </c>
      <c r="D3004" s="1" t="s">
        <v>120</v>
      </c>
      <c r="E3004" s="1" t="s">
        <v>35</v>
      </c>
      <c r="F3004" s="2" t="s">
        <v>2439</v>
      </c>
      <c r="G3004" s="1">
        <v>19</v>
      </c>
      <c r="H3004" s="1">
        <v>5</v>
      </c>
      <c r="I3004" s="1">
        <v>8.93</v>
      </c>
    </row>
    <row r="3005" spans="1:9" x14ac:dyDescent="0.35">
      <c r="A3005" s="3" t="s">
        <v>3309</v>
      </c>
      <c r="B3005" s="1" t="s">
        <v>1049</v>
      </c>
      <c r="C3005" s="1" t="s">
        <v>197</v>
      </c>
      <c r="D3005" s="1" t="s">
        <v>136</v>
      </c>
      <c r="E3005" s="1" t="s">
        <v>35</v>
      </c>
      <c r="F3005" s="2" t="s">
        <v>1876</v>
      </c>
      <c r="G3005" s="1">
        <v>33.375999999999998</v>
      </c>
      <c r="H3005" s="1">
        <v>4</v>
      </c>
      <c r="I3005" s="1">
        <v>10.43</v>
      </c>
    </row>
    <row r="3006" spans="1:9" x14ac:dyDescent="0.35">
      <c r="A3006" s="3">
        <v>42591</v>
      </c>
      <c r="B3006" s="1" t="s">
        <v>2440</v>
      </c>
      <c r="C3006" s="1" t="s">
        <v>135</v>
      </c>
      <c r="D3006" s="1" t="s">
        <v>136</v>
      </c>
      <c r="E3006" s="1" t="s">
        <v>37</v>
      </c>
      <c r="F3006" s="2" t="s">
        <v>2441</v>
      </c>
      <c r="G3006" s="1">
        <v>207.48</v>
      </c>
      <c r="H3006" s="1">
        <v>1</v>
      </c>
      <c r="I3006" s="1">
        <v>62.244</v>
      </c>
    </row>
    <row r="3007" spans="1:9" x14ac:dyDescent="0.35">
      <c r="A3007" s="3" t="s">
        <v>3315</v>
      </c>
      <c r="B3007" s="1" t="s">
        <v>238</v>
      </c>
      <c r="C3007" s="1" t="s">
        <v>2442</v>
      </c>
      <c r="D3007" s="1" t="s">
        <v>57</v>
      </c>
      <c r="E3007" s="1" t="s">
        <v>35</v>
      </c>
      <c r="F3007" s="2" t="s">
        <v>1670</v>
      </c>
      <c r="G3007" s="1">
        <v>91.68</v>
      </c>
      <c r="H3007" s="1">
        <v>3</v>
      </c>
      <c r="I3007" s="1">
        <v>45.84</v>
      </c>
    </row>
    <row r="3008" spans="1:9" x14ac:dyDescent="0.35">
      <c r="A3008" s="3" t="s">
        <v>3316</v>
      </c>
      <c r="B3008" s="1" t="s">
        <v>983</v>
      </c>
      <c r="C3008" s="1" t="s">
        <v>135</v>
      </c>
      <c r="D3008" s="1" t="s">
        <v>136</v>
      </c>
      <c r="E3008" s="1" t="s">
        <v>37</v>
      </c>
      <c r="F3008" s="2" t="s">
        <v>1852</v>
      </c>
      <c r="G3008" s="1">
        <v>904.9</v>
      </c>
      <c r="H3008" s="1">
        <v>5</v>
      </c>
      <c r="I3008" s="1">
        <v>253.37200000000001</v>
      </c>
    </row>
    <row r="3009" spans="1:9" x14ac:dyDescent="0.35">
      <c r="A3009" s="3" t="s">
        <v>3185</v>
      </c>
      <c r="B3009" s="1" t="s">
        <v>848</v>
      </c>
      <c r="C3009" s="1" t="s">
        <v>2044</v>
      </c>
      <c r="D3009" s="1" t="s">
        <v>18</v>
      </c>
      <c r="E3009" s="1" t="s">
        <v>35</v>
      </c>
      <c r="F3009" s="2" t="s">
        <v>529</v>
      </c>
      <c r="G3009" s="1">
        <v>34.271999999999998</v>
      </c>
      <c r="H3009" s="1">
        <v>3</v>
      </c>
      <c r="I3009" s="1">
        <v>11.138400000000001</v>
      </c>
    </row>
    <row r="3010" spans="1:9" x14ac:dyDescent="0.35">
      <c r="A3010" s="3">
        <v>42502</v>
      </c>
      <c r="B3010" s="1" t="s">
        <v>1796</v>
      </c>
      <c r="C3010" s="1" t="s">
        <v>1571</v>
      </c>
      <c r="D3010" s="1" t="s">
        <v>11</v>
      </c>
      <c r="E3010" s="1" t="s">
        <v>29</v>
      </c>
      <c r="F3010" s="2" t="s">
        <v>2101</v>
      </c>
      <c r="G3010" s="1">
        <v>191.82</v>
      </c>
      <c r="H3010" s="1">
        <v>3</v>
      </c>
      <c r="I3010" s="1">
        <v>74.809799999999996</v>
      </c>
    </row>
    <row r="3011" spans="1:9" x14ac:dyDescent="0.35">
      <c r="A3011" s="3" t="s">
        <v>3317</v>
      </c>
      <c r="B3011" s="1" t="s">
        <v>2322</v>
      </c>
      <c r="C3011" s="1" t="s">
        <v>1256</v>
      </c>
      <c r="D3011" s="1" t="s">
        <v>250</v>
      </c>
      <c r="E3011" s="1" t="s">
        <v>37</v>
      </c>
      <c r="F3011" s="2" t="s">
        <v>2173</v>
      </c>
      <c r="G3011" s="1">
        <v>243.88</v>
      </c>
      <c r="H3011" s="1">
        <v>5</v>
      </c>
      <c r="I3011" s="1">
        <v>27.436499999999999</v>
      </c>
    </row>
    <row r="3012" spans="1:9" x14ac:dyDescent="0.35">
      <c r="A3012" s="3" t="s">
        <v>3318</v>
      </c>
      <c r="B3012" s="1" t="s">
        <v>2443</v>
      </c>
      <c r="C3012" s="1" t="s">
        <v>697</v>
      </c>
      <c r="D3012" s="1" t="s">
        <v>229</v>
      </c>
      <c r="E3012" s="1" t="s">
        <v>35</v>
      </c>
      <c r="F3012" s="2" t="s">
        <v>720</v>
      </c>
      <c r="G3012" s="1">
        <v>12.03</v>
      </c>
      <c r="H3012" s="1">
        <v>5</v>
      </c>
      <c r="I3012" s="1">
        <v>-9.2230000000000008</v>
      </c>
    </row>
    <row r="3013" spans="1:9" x14ac:dyDescent="0.35">
      <c r="A3013" s="3" t="s">
        <v>3318</v>
      </c>
      <c r="B3013" s="1" t="s">
        <v>2443</v>
      </c>
      <c r="C3013" s="1" t="s">
        <v>697</v>
      </c>
      <c r="D3013" s="1" t="s">
        <v>229</v>
      </c>
      <c r="E3013" s="1" t="s">
        <v>338</v>
      </c>
      <c r="F3013" s="2" t="s">
        <v>339</v>
      </c>
      <c r="G3013" s="1">
        <v>2549.9850000000001</v>
      </c>
      <c r="H3013" s="1">
        <v>5</v>
      </c>
      <c r="I3013" s="1">
        <v>-3399.98</v>
      </c>
    </row>
    <row r="3014" spans="1:9" x14ac:dyDescent="0.35">
      <c r="A3014" s="3" t="s">
        <v>3318</v>
      </c>
      <c r="B3014" s="1" t="s">
        <v>2443</v>
      </c>
      <c r="C3014" s="1" t="s">
        <v>697</v>
      </c>
      <c r="D3014" s="1" t="s">
        <v>229</v>
      </c>
      <c r="E3014" s="1" t="s">
        <v>35</v>
      </c>
      <c r="F3014" s="2" t="s">
        <v>708</v>
      </c>
      <c r="G3014" s="1">
        <v>21.594000000000001</v>
      </c>
      <c r="H3014" s="1">
        <v>2</v>
      </c>
      <c r="I3014" s="1">
        <v>-15.835599999999999</v>
      </c>
    </row>
    <row r="3015" spans="1:9" x14ac:dyDescent="0.35">
      <c r="A3015" s="3" t="s">
        <v>3318</v>
      </c>
      <c r="B3015" s="1" t="s">
        <v>2443</v>
      </c>
      <c r="C3015" s="1" t="s">
        <v>697</v>
      </c>
      <c r="D3015" s="1" t="s">
        <v>229</v>
      </c>
      <c r="E3015" s="1" t="s">
        <v>35</v>
      </c>
      <c r="F3015" s="2" t="s">
        <v>1045</v>
      </c>
      <c r="G3015" s="1">
        <v>8.9640000000000004</v>
      </c>
      <c r="H3015" s="1">
        <v>6</v>
      </c>
      <c r="I3015" s="1">
        <v>-6.5735999999999999</v>
      </c>
    </row>
    <row r="3016" spans="1:9" x14ac:dyDescent="0.35">
      <c r="A3016" s="3" t="s">
        <v>3318</v>
      </c>
      <c r="B3016" s="1" t="s">
        <v>2443</v>
      </c>
      <c r="C3016" s="1" t="s">
        <v>697</v>
      </c>
      <c r="D3016" s="1" t="s">
        <v>229</v>
      </c>
      <c r="E3016" s="1" t="s">
        <v>44</v>
      </c>
      <c r="F3016" s="2" t="s">
        <v>911</v>
      </c>
      <c r="G3016" s="1">
        <v>20.736000000000001</v>
      </c>
      <c r="H3016" s="1">
        <v>4</v>
      </c>
      <c r="I3016" s="1">
        <v>7.2576000000000001</v>
      </c>
    </row>
    <row r="3017" spans="1:9" x14ac:dyDescent="0.35">
      <c r="A3017" s="3" t="s">
        <v>3150</v>
      </c>
      <c r="B3017" s="1" t="s">
        <v>275</v>
      </c>
      <c r="C3017" s="1" t="s">
        <v>135</v>
      </c>
      <c r="D3017" s="1" t="s">
        <v>136</v>
      </c>
      <c r="E3017" s="1" t="s">
        <v>24</v>
      </c>
      <c r="F3017" s="2" t="s">
        <v>1273</v>
      </c>
      <c r="G3017" s="1">
        <v>344.22</v>
      </c>
      <c r="H3017" s="1">
        <v>2</v>
      </c>
      <c r="I3017" s="1">
        <v>-103.26600000000001</v>
      </c>
    </row>
    <row r="3018" spans="1:9" x14ac:dyDescent="0.35">
      <c r="A3018" s="3" t="s">
        <v>3319</v>
      </c>
      <c r="B3018" s="1" t="s">
        <v>1516</v>
      </c>
      <c r="C3018" s="1" t="s">
        <v>2444</v>
      </c>
      <c r="D3018" s="1" t="s">
        <v>52</v>
      </c>
      <c r="E3018" s="1" t="s">
        <v>26</v>
      </c>
      <c r="F3018" s="2" t="s">
        <v>763</v>
      </c>
      <c r="G3018" s="1">
        <v>727.29600000000005</v>
      </c>
      <c r="H3018" s="1">
        <v>8</v>
      </c>
      <c r="I3018" s="1">
        <v>-172.7328</v>
      </c>
    </row>
    <row r="3019" spans="1:9" x14ac:dyDescent="0.35">
      <c r="A3019" s="3" t="s">
        <v>3319</v>
      </c>
      <c r="B3019" s="1" t="s">
        <v>1516</v>
      </c>
      <c r="C3019" s="1" t="s">
        <v>2444</v>
      </c>
      <c r="D3019" s="1" t="s">
        <v>52</v>
      </c>
      <c r="E3019" s="1" t="s">
        <v>29</v>
      </c>
      <c r="F3019" s="2" t="s">
        <v>1928</v>
      </c>
      <c r="G3019" s="1">
        <v>22.608000000000001</v>
      </c>
      <c r="H3019" s="1">
        <v>3</v>
      </c>
      <c r="I3019" s="1">
        <v>-10.1736</v>
      </c>
    </row>
    <row r="3020" spans="1:9" x14ac:dyDescent="0.35">
      <c r="A3020" s="3" t="s">
        <v>3319</v>
      </c>
      <c r="B3020" s="1" t="s">
        <v>1516</v>
      </c>
      <c r="C3020" s="1" t="s">
        <v>2444</v>
      </c>
      <c r="D3020" s="1" t="s">
        <v>52</v>
      </c>
      <c r="E3020" s="1" t="s">
        <v>81</v>
      </c>
      <c r="F3020" s="2" t="s">
        <v>1987</v>
      </c>
      <c r="G3020" s="1">
        <v>666.4</v>
      </c>
      <c r="H3020" s="1">
        <v>7</v>
      </c>
      <c r="I3020" s="1">
        <v>-33.32</v>
      </c>
    </row>
    <row r="3021" spans="1:9" x14ac:dyDescent="0.35">
      <c r="A3021" s="3">
        <v>42227</v>
      </c>
      <c r="B3021" s="1" t="s">
        <v>744</v>
      </c>
      <c r="C3021" s="1" t="s">
        <v>60</v>
      </c>
      <c r="D3021" s="1" t="s">
        <v>61</v>
      </c>
      <c r="E3021" s="1" t="s">
        <v>137</v>
      </c>
      <c r="F3021" s="2" t="s">
        <v>2445</v>
      </c>
      <c r="G3021" s="1">
        <v>5.04</v>
      </c>
      <c r="H3021" s="1">
        <v>3</v>
      </c>
      <c r="I3021" s="1">
        <v>0.2016</v>
      </c>
    </row>
    <row r="3022" spans="1:9" x14ac:dyDescent="0.35">
      <c r="A3022" s="3">
        <v>42227</v>
      </c>
      <c r="B3022" s="1" t="s">
        <v>744</v>
      </c>
      <c r="C3022" s="1" t="s">
        <v>60</v>
      </c>
      <c r="D3022" s="1" t="s">
        <v>61</v>
      </c>
      <c r="E3022" s="1" t="s">
        <v>44</v>
      </c>
      <c r="F3022" s="2" t="s">
        <v>1729</v>
      </c>
      <c r="G3022" s="1">
        <v>92.94</v>
      </c>
      <c r="H3022" s="1">
        <v>3</v>
      </c>
      <c r="I3022" s="1">
        <v>41.823</v>
      </c>
    </row>
    <row r="3023" spans="1:9" x14ac:dyDescent="0.35">
      <c r="A3023" s="3">
        <v>42227</v>
      </c>
      <c r="B3023" s="1" t="s">
        <v>744</v>
      </c>
      <c r="C3023" s="1" t="s">
        <v>60</v>
      </c>
      <c r="D3023" s="1" t="s">
        <v>61</v>
      </c>
      <c r="E3023" s="1" t="s">
        <v>29</v>
      </c>
      <c r="F3023" s="2" t="s">
        <v>1130</v>
      </c>
      <c r="G3023" s="1">
        <v>66.69</v>
      </c>
      <c r="H3023" s="1">
        <v>3</v>
      </c>
      <c r="I3023" s="1">
        <v>22.0077</v>
      </c>
    </row>
    <row r="3024" spans="1:9" x14ac:dyDescent="0.35">
      <c r="A3024" s="3">
        <v>42227</v>
      </c>
      <c r="B3024" s="1" t="s">
        <v>744</v>
      </c>
      <c r="C3024" s="1" t="s">
        <v>60</v>
      </c>
      <c r="D3024" s="1" t="s">
        <v>61</v>
      </c>
      <c r="E3024" s="1" t="s">
        <v>35</v>
      </c>
      <c r="F3024" s="2" t="s">
        <v>1232</v>
      </c>
      <c r="G3024" s="1">
        <v>91.68</v>
      </c>
      <c r="H3024" s="1">
        <v>5</v>
      </c>
      <c r="I3024" s="1">
        <v>28.65</v>
      </c>
    </row>
    <row r="3025" spans="1:9" x14ac:dyDescent="0.35">
      <c r="A3025" s="3" t="s">
        <v>3272</v>
      </c>
      <c r="B3025" s="1" t="s">
        <v>2446</v>
      </c>
      <c r="C3025" s="1" t="s">
        <v>1373</v>
      </c>
      <c r="D3025" s="1" t="s">
        <v>52</v>
      </c>
      <c r="E3025" s="1" t="s">
        <v>12</v>
      </c>
      <c r="F3025" s="2" t="s">
        <v>2117</v>
      </c>
      <c r="G3025" s="1">
        <v>327.7328</v>
      </c>
      <c r="H3025" s="1">
        <v>2</v>
      </c>
      <c r="I3025" s="1">
        <v>-14.4588</v>
      </c>
    </row>
    <row r="3026" spans="1:9" x14ac:dyDescent="0.35">
      <c r="A3026" s="3">
        <v>42227</v>
      </c>
      <c r="B3026" s="1" t="s">
        <v>1955</v>
      </c>
      <c r="C3026" s="1" t="s">
        <v>135</v>
      </c>
      <c r="D3026" s="1" t="s">
        <v>136</v>
      </c>
      <c r="E3026" s="1" t="s">
        <v>35</v>
      </c>
      <c r="F3026" s="2" t="s">
        <v>578</v>
      </c>
      <c r="G3026" s="1">
        <v>52.271999999999998</v>
      </c>
      <c r="H3026" s="1">
        <v>11</v>
      </c>
      <c r="I3026" s="1">
        <v>17.6418</v>
      </c>
    </row>
    <row r="3027" spans="1:9" x14ac:dyDescent="0.35">
      <c r="A3027" s="3">
        <v>42227</v>
      </c>
      <c r="B3027" s="1" t="s">
        <v>1955</v>
      </c>
      <c r="C3027" s="1" t="s">
        <v>135</v>
      </c>
      <c r="D3027" s="1" t="s">
        <v>136</v>
      </c>
      <c r="E3027" s="1" t="s">
        <v>44</v>
      </c>
      <c r="F3027" s="2" t="s">
        <v>826</v>
      </c>
      <c r="G3027" s="1">
        <v>17.940000000000001</v>
      </c>
      <c r="H3027" s="1">
        <v>3</v>
      </c>
      <c r="I3027" s="1">
        <v>8.0730000000000004</v>
      </c>
    </row>
    <row r="3028" spans="1:9" x14ac:dyDescent="0.35">
      <c r="A3028" s="3" t="s">
        <v>3320</v>
      </c>
      <c r="B3028" s="1" t="s">
        <v>949</v>
      </c>
      <c r="C3028" s="1" t="s">
        <v>74</v>
      </c>
      <c r="D3028" s="1" t="s">
        <v>75</v>
      </c>
      <c r="E3028" s="1" t="s">
        <v>29</v>
      </c>
      <c r="F3028" s="2" t="s">
        <v>1781</v>
      </c>
      <c r="G3028" s="1">
        <v>254.352</v>
      </c>
      <c r="H3028" s="1">
        <v>3</v>
      </c>
      <c r="I3028" s="1">
        <v>0</v>
      </c>
    </row>
    <row r="3029" spans="1:9" x14ac:dyDescent="0.35">
      <c r="A3029" s="3" t="s">
        <v>3321</v>
      </c>
      <c r="B3029" s="1" t="s">
        <v>1829</v>
      </c>
      <c r="C3029" s="1" t="s">
        <v>2447</v>
      </c>
      <c r="D3029" s="1" t="s">
        <v>823</v>
      </c>
      <c r="E3029" s="1" t="s">
        <v>35</v>
      </c>
      <c r="F3029" s="2" t="s">
        <v>2448</v>
      </c>
      <c r="G3029" s="1">
        <v>8.2880000000000003</v>
      </c>
      <c r="H3029" s="1">
        <v>2</v>
      </c>
      <c r="I3029" s="1">
        <v>2.6936</v>
      </c>
    </row>
    <row r="3030" spans="1:9" x14ac:dyDescent="0.35">
      <c r="A3030" s="3" t="s">
        <v>3274</v>
      </c>
      <c r="B3030" s="1" t="s">
        <v>1718</v>
      </c>
      <c r="C3030" s="1" t="s">
        <v>2009</v>
      </c>
      <c r="D3030" s="1" t="s">
        <v>163</v>
      </c>
      <c r="E3030" s="1" t="s">
        <v>14</v>
      </c>
      <c r="F3030" s="2" t="s">
        <v>1560</v>
      </c>
      <c r="G3030" s="1">
        <v>504.9</v>
      </c>
      <c r="H3030" s="1">
        <v>5</v>
      </c>
      <c r="I3030" s="1">
        <v>80.784000000000006</v>
      </c>
    </row>
    <row r="3031" spans="1:9" x14ac:dyDescent="0.35">
      <c r="A3031" s="3" t="s">
        <v>3322</v>
      </c>
      <c r="B3031" s="1" t="s">
        <v>466</v>
      </c>
      <c r="C3031" s="1" t="s">
        <v>2449</v>
      </c>
      <c r="D3031" s="1" t="s">
        <v>212</v>
      </c>
      <c r="E3031" s="1" t="s">
        <v>33</v>
      </c>
      <c r="F3031" s="2" t="s">
        <v>2350</v>
      </c>
      <c r="G3031" s="1">
        <v>403.16800000000001</v>
      </c>
      <c r="H3031" s="1">
        <v>4</v>
      </c>
      <c r="I3031" s="1">
        <v>25.198</v>
      </c>
    </row>
    <row r="3032" spans="1:9" x14ac:dyDescent="0.35">
      <c r="A3032" s="3" t="s">
        <v>3257</v>
      </c>
      <c r="B3032" s="1" t="s">
        <v>2450</v>
      </c>
      <c r="C3032" s="1" t="s">
        <v>2107</v>
      </c>
      <c r="D3032" s="1" t="s">
        <v>120</v>
      </c>
      <c r="E3032" s="1" t="s">
        <v>12</v>
      </c>
      <c r="F3032" s="2" t="s">
        <v>1979</v>
      </c>
      <c r="G3032" s="1">
        <v>194.32</v>
      </c>
      <c r="H3032" s="1">
        <v>4</v>
      </c>
      <c r="I3032" s="1">
        <v>31.091200000000001</v>
      </c>
    </row>
    <row r="3033" spans="1:9" x14ac:dyDescent="0.35">
      <c r="A3033" s="3" t="s">
        <v>3257</v>
      </c>
      <c r="B3033" s="1" t="s">
        <v>2450</v>
      </c>
      <c r="C3033" s="1" t="s">
        <v>2107</v>
      </c>
      <c r="D3033" s="1" t="s">
        <v>120</v>
      </c>
      <c r="E3033" s="1" t="s">
        <v>31</v>
      </c>
      <c r="F3033" s="2" t="s">
        <v>1783</v>
      </c>
      <c r="G3033" s="1">
        <v>25.99</v>
      </c>
      <c r="H3033" s="1">
        <v>1</v>
      </c>
      <c r="I3033" s="1">
        <v>7.5370999999999997</v>
      </c>
    </row>
    <row r="3034" spans="1:9" x14ac:dyDescent="0.35">
      <c r="A3034" s="3" t="s">
        <v>3323</v>
      </c>
      <c r="B3034" s="1" t="s">
        <v>1550</v>
      </c>
      <c r="C3034" s="1" t="s">
        <v>2449</v>
      </c>
      <c r="D3034" s="1" t="s">
        <v>212</v>
      </c>
      <c r="E3034" s="1" t="s">
        <v>14</v>
      </c>
      <c r="F3034" s="2" t="s">
        <v>2026</v>
      </c>
      <c r="G3034" s="1">
        <v>195.136</v>
      </c>
      <c r="H3034" s="1">
        <v>4</v>
      </c>
      <c r="I3034" s="1">
        <v>-12.196</v>
      </c>
    </row>
    <row r="3035" spans="1:9" x14ac:dyDescent="0.35">
      <c r="A3035" s="3" t="s">
        <v>3324</v>
      </c>
      <c r="B3035" s="1" t="s">
        <v>594</v>
      </c>
      <c r="C3035" s="1" t="s">
        <v>74</v>
      </c>
      <c r="D3035" s="1" t="s">
        <v>75</v>
      </c>
      <c r="E3035" s="1" t="s">
        <v>44</v>
      </c>
      <c r="F3035" s="2" t="s">
        <v>1860</v>
      </c>
      <c r="G3035" s="1">
        <v>20.736000000000001</v>
      </c>
      <c r="H3035" s="1">
        <v>4</v>
      </c>
      <c r="I3035" s="1">
        <v>7.2576000000000001</v>
      </c>
    </row>
    <row r="3036" spans="1:9" x14ac:dyDescent="0.35">
      <c r="A3036" s="3">
        <v>42314</v>
      </c>
      <c r="B3036" s="1" t="s">
        <v>834</v>
      </c>
      <c r="C3036" s="1" t="s">
        <v>361</v>
      </c>
      <c r="D3036" s="1" t="s">
        <v>362</v>
      </c>
      <c r="E3036" s="1" t="s">
        <v>81</v>
      </c>
      <c r="F3036" s="2" t="s">
        <v>1760</v>
      </c>
      <c r="G3036" s="1">
        <v>53.7</v>
      </c>
      <c r="H3036" s="1">
        <v>6</v>
      </c>
      <c r="I3036" s="1">
        <v>10.202999999999999</v>
      </c>
    </row>
    <row r="3037" spans="1:9" x14ac:dyDescent="0.35">
      <c r="A3037" s="3">
        <v>42314</v>
      </c>
      <c r="B3037" s="1" t="s">
        <v>834</v>
      </c>
      <c r="C3037" s="1" t="s">
        <v>361</v>
      </c>
      <c r="D3037" s="1" t="s">
        <v>362</v>
      </c>
      <c r="E3037" s="1" t="s">
        <v>35</v>
      </c>
      <c r="F3037" s="2" t="s">
        <v>2448</v>
      </c>
      <c r="G3037" s="1">
        <v>36.26</v>
      </c>
      <c r="H3037" s="1">
        <v>7</v>
      </c>
      <c r="I3037" s="1">
        <v>16.679600000000001</v>
      </c>
    </row>
    <row r="3038" spans="1:9" x14ac:dyDescent="0.35">
      <c r="A3038" s="3">
        <v>42314</v>
      </c>
      <c r="B3038" s="1" t="s">
        <v>834</v>
      </c>
      <c r="C3038" s="1" t="s">
        <v>361</v>
      </c>
      <c r="D3038" s="1" t="s">
        <v>362</v>
      </c>
      <c r="E3038" s="1" t="s">
        <v>31</v>
      </c>
      <c r="F3038" s="2" t="s">
        <v>2451</v>
      </c>
      <c r="G3038" s="1">
        <v>56.3</v>
      </c>
      <c r="H3038" s="1">
        <v>2</v>
      </c>
      <c r="I3038" s="1">
        <v>15.763999999999999</v>
      </c>
    </row>
    <row r="3039" spans="1:9" x14ac:dyDescent="0.35">
      <c r="A3039" s="3">
        <v>42314</v>
      </c>
      <c r="B3039" s="1" t="s">
        <v>834</v>
      </c>
      <c r="C3039" s="1" t="s">
        <v>361</v>
      </c>
      <c r="D3039" s="1" t="s">
        <v>362</v>
      </c>
      <c r="E3039" s="1" t="s">
        <v>44</v>
      </c>
      <c r="F3039" s="2" t="s">
        <v>890</v>
      </c>
      <c r="G3039" s="1">
        <v>32.4</v>
      </c>
      <c r="H3039" s="1">
        <v>5</v>
      </c>
      <c r="I3039" s="1">
        <v>15.552</v>
      </c>
    </row>
    <row r="3040" spans="1:9" x14ac:dyDescent="0.35">
      <c r="A3040" s="3">
        <v>42314</v>
      </c>
      <c r="B3040" s="1" t="s">
        <v>834</v>
      </c>
      <c r="C3040" s="1" t="s">
        <v>361</v>
      </c>
      <c r="D3040" s="1" t="s">
        <v>362</v>
      </c>
      <c r="E3040" s="1" t="s">
        <v>29</v>
      </c>
      <c r="F3040" s="2" t="s">
        <v>2452</v>
      </c>
      <c r="G3040" s="1">
        <v>29.16</v>
      </c>
      <c r="H3040" s="1">
        <v>2</v>
      </c>
      <c r="I3040" s="1">
        <v>10.789199999999999</v>
      </c>
    </row>
    <row r="3041" spans="1:9" x14ac:dyDescent="0.35">
      <c r="A3041" s="3">
        <v>42804</v>
      </c>
      <c r="B3041" s="1" t="s">
        <v>1591</v>
      </c>
      <c r="C3041" s="1" t="s">
        <v>301</v>
      </c>
      <c r="D3041" s="1" t="s">
        <v>18</v>
      </c>
      <c r="E3041" s="1" t="s">
        <v>24</v>
      </c>
      <c r="F3041" s="2" t="s">
        <v>1244</v>
      </c>
      <c r="G3041" s="1">
        <v>171.28800000000001</v>
      </c>
      <c r="H3041" s="1">
        <v>3</v>
      </c>
      <c r="I3041" s="1">
        <v>-6.4233000000000002</v>
      </c>
    </row>
    <row r="3042" spans="1:9" x14ac:dyDescent="0.35">
      <c r="A3042" s="3">
        <v>42495</v>
      </c>
      <c r="B3042" s="1" t="s">
        <v>63</v>
      </c>
      <c r="C3042" s="1" t="s">
        <v>2453</v>
      </c>
      <c r="D3042" s="1" t="s">
        <v>171</v>
      </c>
      <c r="E3042" s="1" t="s">
        <v>29</v>
      </c>
      <c r="F3042" s="2" t="s">
        <v>1687</v>
      </c>
      <c r="G3042" s="1">
        <v>16.72</v>
      </c>
      <c r="H3042" s="1">
        <v>5</v>
      </c>
      <c r="I3042" s="1">
        <v>3.3439999999999999</v>
      </c>
    </row>
    <row r="3043" spans="1:9" x14ac:dyDescent="0.35">
      <c r="A3043" s="3">
        <v>43048</v>
      </c>
      <c r="B3043" s="1" t="s">
        <v>2085</v>
      </c>
      <c r="C3043" s="1" t="s">
        <v>559</v>
      </c>
      <c r="D3043" s="1" t="s">
        <v>18</v>
      </c>
      <c r="E3043" s="1" t="s">
        <v>44</v>
      </c>
      <c r="F3043" s="2" t="s">
        <v>1455</v>
      </c>
      <c r="G3043" s="1">
        <v>12.96</v>
      </c>
      <c r="H3043" s="1">
        <v>2</v>
      </c>
      <c r="I3043" s="1">
        <v>6.2207999999999997</v>
      </c>
    </row>
    <row r="3044" spans="1:9" x14ac:dyDescent="0.35">
      <c r="A3044" s="3">
        <v>43048</v>
      </c>
      <c r="B3044" s="1" t="s">
        <v>2085</v>
      </c>
      <c r="C3044" s="1" t="s">
        <v>559</v>
      </c>
      <c r="D3044" s="1" t="s">
        <v>18</v>
      </c>
      <c r="E3044" s="1" t="s">
        <v>87</v>
      </c>
      <c r="F3044" s="2" t="s">
        <v>2454</v>
      </c>
      <c r="G3044" s="1">
        <v>22.18</v>
      </c>
      <c r="H3044" s="1">
        <v>2</v>
      </c>
      <c r="I3044" s="1">
        <v>10.8682</v>
      </c>
    </row>
    <row r="3045" spans="1:9" x14ac:dyDescent="0.35">
      <c r="A3045" s="3">
        <v>43048</v>
      </c>
      <c r="B3045" s="1" t="s">
        <v>2085</v>
      </c>
      <c r="C3045" s="1" t="s">
        <v>559</v>
      </c>
      <c r="D3045" s="1" t="s">
        <v>18</v>
      </c>
      <c r="E3045" s="1" t="s">
        <v>14</v>
      </c>
      <c r="F3045" s="2" t="s">
        <v>2455</v>
      </c>
      <c r="G3045" s="1">
        <v>2054.2719999999999</v>
      </c>
      <c r="H3045" s="1">
        <v>8</v>
      </c>
      <c r="I3045" s="1">
        <v>256.78399999999999</v>
      </c>
    </row>
    <row r="3046" spans="1:9" x14ac:dyDescent="0.35">
      <c r="A3046" s="3" t="s">
        <v>3160</v>
      </c>
      <c r="B3046" s="1" t="s">
        <v>1943</v>
      </c>
      <c r="C3046" s="1" t="s">
        <v>141</v>
      </c>
      <c r="D3046" s="1" t="s">
        <v>250</v>
      </c>
      <c r="E3046" s="1" t="s">
        <v>33</v>
      </c>
      <c r="F3046" s="2" t="s">
        <v>1122</v>
      </c>
      <c r="G3046" s="1">
        <v>1022.97</v>
      </c>
      <c r="H3046" s="1">
        <v>5</v>
      </c>
      <c r="I3046" s="1">
        <v>-255.74250000000001</v>
      </c>
    </row>
    <row r="3047" spans="1:9" x14ac:dyDescent="0.35">
      <c r="A3047" s="3">
        <v>42897</v>
      </c>
      <c r="B3047" s="1" t="s">
        <v>975</v>
      </c>
      <c r="C3047" s="1" t="s">
        <v>206</v>
      </c>
      <c r="D3047" s="1" t="s">
        <v>115</v>
      </c>
      <c r="E3047" s="1" t="s">
        <v>31</v>
      </c>
      <c r="F3047" s="2" t="s">
        <v>2456</v>
      </c>
      <c r="G3047" s="1">
        <v>13.9</v>
      </c>
      <c r="H3047" s="1">
        <v>5</v>
      </c>
      <c r="I3047" s="1">
        <v>3.6139999999999999</v>
      </c>
    </row>
    <row r="3048" spans="1:9" x14ac:dyDescent="0.35">
      <c r="A3048" s="3">
        <v>42897</v>
      </c>
      <c r="B3048" s="1" t="s">
        <v>975</v>
      </c>
      <c r="C3048" s="1" t="s">
        <v>206</v>
      </c>
      <c r="D3048" s="1" t="s">
        <v>115</v>
      </c>
      <c r="E3048" s="1" t="s">
        <v>44</v>
      </c>
      <c r="F3048" s="2" t="s">
        <v>94</v>
      </c>
      <c r="G3048" s="1">
        <v>26.38</v>
      </c>
      <c r="H3048" s="1">
        <v>1</v>
      </c>
      <c r="I3048" s="1">
        <v>12.1348</v>
      </c>
    </row>
    <row r="3049" spans="1:9" x14ac:dyDescent="0.35">
      <c r="A3049" s="3" t="s">
        <v>3325</v>
      </c>
      <c r="B3049" s="1" t="s">
        <v>577</v>
      </c>
      <c r="C3049" s="1" t="s">
        <v>47</v>
      </c>
      <c r="D3049" s="1" t="s">
        <v>48</v>
      </c>
      <c r="E3049" s="1" t="s">
        <v>35</v>
      </c>
      <c r="F3049" s="2" t="s">
        <v>36</v>
      </c>
      <c r="G3049" s="1">
        <v>43.176000000000002</v>
      </c>
      <c r="H3049" s="1">
        <v>7</v>
      </c>
      <c r="I3049" s="1">
        <v>13.4925</v>
      </c>
    </row>
    <row r="3050" spans="1:9" x14ac:dyDescent="0.35">
      <c r="A3050" s="3">
        <v>42770</v>
      </c>
      <c r="B3050" s="1" t="s">
        <v>2457</v>
      </c>
      <c r="C3050" s="1" t="s">
        <v>249</v>
      </c>
      <c r="D3050" s="1" t="s">
        <v>604</v>
      </c>
      <c r="E3050" s="1" t="s">
        <v>24</v>
      </c>
      <c r="F3050" s="2" t="s">
        <v>270</v>
      </c>
      <c r="G3050" s="1">
        <v>411.8</v>
      </c>
      <c r="H3050" s="1">
        <v>2</v>
      </c>
      <c r="I3050" s="1">
        <v>70.006</v>
      </c>
    </row>
    <row r="3051" spans="1:9" x14ac:dyDescent="0.35">
      <c r="A3051" s="3">
        <v>42770</v>
      </c>
      <c r="B3051" s="1" t="s">
        <v>2457</v>
      </c>
      <c r="C3051" s="1" t="s">
        <v>249</v>
      </c>
      <c r="D3051" s="1" t="s">
        <v>604</v>
      </c>
      <c r="E3051" s="1" t="s">
        <v>81</v>
      </c>
      <c r="F3051" s="2" t="s">
        <v>557</v>
      </c>
      <c r="G3051" s="1">
        <v>360</v>
      </c>
      <c r="H3051" s="1">
        <v>4</v>
      </c>
      <c r="I3051" s="1">
        <v>129.6</v>
      </c>
    </row>
    <row r="3052" spans="1:9" x14ac:dyDescent="0.35">
      <c r="A3052" s="3">
        <v>42896</v>
      </c>
      <c r="B3052" s="1" t="s">
        <v>512</v>
      </c>
      <c r="C3052" s="1" t="s">
        <v>2458</v>
      </c>
      <c r="D3052" s="1" t="s">
        <v>2459</v>
      </c>
      <c r="E3052" s="1" t="s">
        <v>29</v>
      </c>
      <c r="F3052" s="2" t="s">
        <v>2460</v>
      </c>
      <c r="G3052" s="1">
        <v>41.96</v>
      </c>
      <c r="H3052" s="1">
        <v>2</v>
      </c>
      <c r="I3052" s="1">
        <v>2.9371999999999998</v>
      </c>
    </row>
    <row r="3053" spans="1:9" x14ac:dyDescent="0.35">
      <c r="A3053" s="3">
        <v>42896</v>
      </c>
      <c r="B3053" s="1" t="s">
        <v>512</v>
      </c>
      <c r="C3053" s="1" t="s">
        <v>2458</v>
      </c>
      <c r="D3053" s="1" t="s">
        <v>2459</v>
      </c>
      <c r="E3053" s="1" t="s">
        <v>37</v>
      </c>
      <c r="F3053" s="2" t="s">
        <v>1770</v>
      </c>
      <c r="G3053" s="1">
        <v>227.84</v>
      </c>
      <c r="H3053" s="1">
        <v>4</v>
      </c>
      <c r="I3053" s="1">
        <v>66.073599999999999</v>
      </c>
    </row>
    <row r="3054" spans="1:9" x14ac:dyDescent="0.35">
      <c r="A3054" s="3">
        <v>42896</v>
      </c>
      <c r="B3054" s="1" t="s">
        <v>512</v>
      </c>
      <c r="C3054" s="1" t="s">
        <v>2458</v>
      </c>
      <c r="D3054" s="1" t="s">
        <v>2459</v>
      </c>
      <c r="E3054" s="1" t="s">
        <v>44</v>
      </c>
      <c r="F3054" s="2" t="s">
        <v>2041</v>
      </c>
      <c r="G3054" s="1">
        <v>37.94</v>
      </c>
      <c r="H3054" s="1">
        <v>2</v>
      </c>
      <c r="I3054" s="1">
        <v>18.211200000000002</v>
      </c>
    </row>
    <row r="3055" spans="1:9" x14ac:dyDescent="0.35">
      <c r="A3055" s="3">
        <v>42617</v>
      </c>
      <c r="B3055" s="1" t="s">
        <v>2461</v>
      </c>
      <c r="C3055" s="1" t="s">
        <v>429</v>
      </c>
      <c r="D3055" s="1" t="s">
        <v>120</v>
      </c>
      <c r="E3055" s="1" t="s">
        <v>33</v>
      </c>
      <c r="F3055" s="2" t="s">
        <v>2262</v>
      </c>
      <c r="G3055" s="1">
        <v>517.9</v>
      </c>
      <c r="H3055" s="1">
        <v>2</v>
      </c>
      <c r="I3055" s="1">
        <v>134.654</v>
      </c>
    </row>
    <row r="3056" spans="1:9" x14ac:dyDescent="0.35">
      <c r="A3056" s="3">
        <v>42617</v>
      </c>
      <c r="B3056" s="1" t="s">
        <v>2461</v>
      </c>
      <c r="C3056" s="1" t="s">
        <v>429</v>
      </c>
      <c r="D3056" s="1" t="s">
        <v>120</v>
      </c>
      <c r="E3056" s="1" t="s">
        <v>35</v>
      </c>
      <c r="F3056" s="2" t="s">
        <v>808</v>
      </c>
      <c r="G3056" s="1">
        <v>5.28</v>
      </c>
      <c r="H3056" s="1">
        <v>2</v>
      </c>
      <c r="I3056" s="1">
        <v>2.4287999999999998</v>
      </c>
    </row>
    <row r="3057" spans="1:9" x14ac:dyDescent="0.35">
      <c r="A3057" s="3" t="s">
        <v>3326</v>
      </c>
      <c r="B3057" s="1" t="s">
        <v>1705</v>
      </c>
      <c r="C3057" s="1" t="s">
        <v>154</v>
      </c>
      <c r="D3057" s="1" t="s">
        <v>106</v>
      </c>
      <c r="E3057" s="1" t="s">
        <v>579</v>
      </c>
      <c r="F3057" s="2" t="s">
        <v>1497</v>
      </c>
      <c r="G3057" s="1">
        <v>2799.96</v>
      </c>
      <c r="H3057" s="1">
        <v>5</v>
      </c>
      <c r="I3057" s="1">
        <v>874.98749999999995</v>
      </c>
    </row>
    <row r="3058" spans="1:9" x14ac:dyDescent="0.35">
      <c r="A3058" s="3" t="s">
        <v>3151</v>
      </c>
      <c r="B3058" s="1" t="s">
        <v>1814</v>
      </c>
      <c r="C3058" s="1" t="s">
        <v>64</v>
      </c>
      <c r="D3058" s="1" t="s">
        <v>18</v>
      </c>
      <c r="E3058" s="1" t="s">
        <v>87</v>
      </c>
      <c r="F3058" s="2" t="s">
        <v>2222</v>
      </c>
      <c r="G3058" s="1">
        <v>8.9600000000000009</v>
      </c>
      <c r="H3058" s="1">
        <v>2</v>
      </c>
      <c r="I3058" s="1">
        <v>4.3007999999999997</v>
      </c>
    </row>
    <row r="3059" spans="1:9" x14ac:dyDescent="0.35">
      <c r="A3059" s="3" t="s">
        <v>3151</v>
      </c>
      <c r="B3059" s="1" t="s">
        <v>1814</v>
      </c>
      <c r="C3059" s="1" t="s">
        <v>64</v>
      </c>
      <c r="D3059" s="1" t="s">
        <v>18</v>
      </c>
      <c r="E3059" s="1" t="s">
        <v>19</v>
      </c>
      <c r="F3059" s="2" t="s">
        <v>1754</v>
      </c>
      <c r="G3059" s="1">
        <v>31.5</v>
      </c>
      <c r="H3059" s="1">
        <v>10</v>
      </c>
      <c r="I3059" s="1">
        <v>15.12</v>
      </c>
    </row>
    <row r="3060" spans="1:9" x14ac:dyDescent="0.35">
      <c r="A3060" s="3" t="s">
        <v>3151</v>
      </c>
      <c r="B3060" s="1" t="s">
        <v>1814</v>
      </c>
      <c r="C3060" s="1" t="s">
        <v>64</v>
      </c>
      <c r="D3060" s="1" t="s">
        <v>18</v>
      </c>
      <c r="E3060" s="1" t="s">
        <v>29</v>
      </c>
      <c r="F3060" s="2" t="s">
        <v>1181</v>
      </c>
      <c r="G3060" s="1">
        <v>30.56</v>
      </c>
      <c r="H3060" s="1">
        <v>2</v>
      </c>
      <c r="I3060" s="1">
        <v>10.3904</v>
      </c>
    </row>
    <row r="3061" spans="1:9" x14ac:dyDescent="0.35">
      <c r="A3061" s="3" t="s">
        <v>3151</v>
      </c>
      <c r="B3061" s="1" t="s">
        <v>1814</v>
      </c>
      <c r="C3061" s="1" t="s">
        <v>64</v>
      </c>
      <c r="D3061" s="1" t="s">
        <v>18</v>
      </c>
      <c r="E3061" s="1" t="s">
        <v>24</v>
      </c>
      <c r="F3061" s="2" t="s">
        <v>2462</v>
      </c>
      <c r="G3061" s="1">
        <v>24.367999999999999</v>
      </c>
      <c r="H3061" s="1">
        <v>2</v>
      </c>
      <c r="I3061" s="1">
        <v>-3.3506</v>
      </c>
    </row>
    <row r="3062" spans="1:9" x14ac:dyDescent="0.35">
      <c r="A3062" s="3">
        <v>42562</v>
      </c>
      <c r="B3062" s="1" t="s">
        <v>2392</v>
      </c>
      <c r="C3062" s="1" t="s">
        <v>303</v>
      </c>
      <c r="D3062" s="1" t="s">
        <v>250</v>
      </c>
      <c r="E3062" s="1" t="s">
        <v>81</v>
      </c>
      <c r="F3062" s="2" t="s">
        <v>2033</v>
      </c>
      <c r="G3062" s="1">
        <v>119.976</v>
      </c>
      <c r="H3062" s="1">
        <v>3</v>
      </c>
      <c r="I3062" s="1">
        <v>22.4955</v>
      </c>
    </row>
    <row r="3063" spans="1:9" x14ac:dyDescent="0.35">
      <c r="A3063" s="3">
        <v>42797</v>
      </c>
      <c r="B3063" s="1" t="s">
        <v>2463</v>
      </c>
      <c r="C3063" s="1" t="s">
        <v>399</v>
      </c>
      <c r="D3063" s="1" t="s">
        <v>52</v>
      </c>
      <c r="E3063" s="1" t="s">
        <v>44</v>
      </c>
      <c r="F3063" s="2" t="s">
        <v>1358</v>
      </c>
      <c r="G3063" s="1">
        <v>26.88</v>
      </c>
      <c r="H3063" s="1">
        <v>8</v>
      </c>
      <c r="I3063" s="1">
        <v>9.7439999999999998</v>
      </c>
    </row>
    <row r="3064" spans="1:9" x14ac:dyDescent="0.35">
      <c r="A3064" s="3" t="s">
        <v>3327</v>
      </c>
      <c r="B3064" s="1" t="s">
        <v>966</v>
      </c>
      <c r="C3064" s="1" t="s">
        <v>303</v>
      </c>
      <c r="D3064" s="1" t="s">
        <v>124</v>
      </c>
      <c r="E3064" s="1" t="s">
        <v>33</v>
      </c>
      <c r="F3064" s="2" t="s">
        <v>2464</v>
      </c>
      <c r="G3064" s="1">
        <v>83.97</v>
      </c>
      <c r="H3064" s="1">
        <v>3</v>
      </c>
      <c r="I3064" s="1">
        <v>23.511600000000001</v>
      </c>
    </row>
    <row r="3065" spans="1:9" x14ac:dyDescent="0.35">
      <c r="A3065" s="3" t="s">
        <v>3327</v>
      </c>
      <c r="B3065" s="1" t="s">
        <v>966</v>
      </c>
      <c r="C3065" s="1" t="s">
        <v>303</v>
      </c>
      <c r="D3065" s="1" t="s">
        <v>124</v>
      </c>
      <c r="E3065" s="1" t="s">
        <v>81</v>
      </c>
      <c r="F3065" s="2" t="s">
        <v>2465</v>
      </c>
      <c r="G3065" s="1">
        <v>104.97</v>
      </c>
      <c r="H3065" s="1">
        <v>3</v>
      </c>
      <c r="I3065" s="1">
        <v>7.3479000000000001</v>
      </c>
    </row>
    <row r="3066" spans="1:9" x14ac:dyDescent="0.35">
      <c r="A3066" s="3" t="s">
        <v>3328</v>
      </c>
      <c r="B3066" s="1" t="s">
        <v>2466</v>
      </c>
      <c r="C3066" s="1" t="s">
        <v>2209</v>
      </c>
      <c r="D3066" s="1" t="s">
        <v>331</v>
      </c>
      <c r="E3066" s="1" t="s">
        <v>26</v>
      </c>
      <c r="F3066" s="2" t="s">
        <v>178</v>
      </c>
      <c r="G3066" s="1">
        <v>90.8</v>
      </c>
      <c r="H3066" s="1">
        <v>8</v>
      </c>
      <c r="I3066" s="1">
        <v>25.423999999999999</v>
      </c>
    </row>
    <row r="3067" spans="1:9" x14ac:dyDescent="0.35">
      <c r="A3067" s="3" t="s">
        <v>3328</v>
      </c>
      <c r="B3067" s="1" t="s">
        <v>2466</v>
      </c>
      <c r="C3067" s="1" t="s">
        <v>2209</v>
      </c>
      <c r="D3067" s="1" t="s">
        <v>331</v>
      </c>
      <c r="E3067" s="1" t="s">
        <v>33</v>
      </c>
      <c r="F3067" s="2" t="s">
        <v>1250</v>
      </c>
      <c r="G3067" s="1">
        <v>140.73599999999999</v>
      </c>
      <c r="H3067" s="1">
        <v>8</v>
      </c>
      <c r="I3067" s="1">
        <v>49.257599999999996</v>
      </c>
    </row>
    <row r="3068" spans="1:9" x14ac:dyDescent="0.35">
      <c r="A3068" s="3" t="s">
        <v>3328</v>
      </c>
      <c r="B3068" s="1" t="s">
        <v>2466</v>
      </c>
      <c r="C3068" s="1" t="s">
        <v>2209</v>
      </c>
      <c r="D3068" s="1" t="s">
        <v>331</v>
      </c>
      <c r="E3068" s="1" t="s">
        <v>81</v>
      </c>
      <c r="F3068" s="2" t="s">
        <v>2467</v>
      </c>
      <c r="G3068" s="1">
        <v>214.95</v>
      </c>
      <c r="H3068" s="1">
        <v>5</v>
      </c>
      <c r="I3068" s="1">
        <v>88.129499999999993</v>
      </c>
    </row>
    <row r="3069" spans="1:9" x14ac:dyDescent="0.35">
      <c r="A3069" s="3" t="s">
        <v>3328</v>
      </c>
      <c r="B3069" s="1" t="s">
        <v>2466</v>
      </c>
      <c r="C3069" s="1" t="s">
        <v>2209</v>
      </c>
      <c r="D3069" s="1" t="s">
        <v>331</v>
      </c>
      <c r="E3069" s="1" t="s">
        <v>44</v>
      </c>
      <c r="F3069" s="2" t="s">
        <v>2468</v>
      </c>
      <c r="G3069" s="1">
        <v>45.36</v>
      </c>
      <c r="H3069" s="1">
        <v>7</v>
      </c>
      <c r="I3069" s="1">
        <v>21.7728</v>
      </c>
    </row>
    <row r="3070" spans="1:9" x14ac:dyDescent="0.35">
      <c r="A3070" s="3" t="s">
        <v>3328</v>
      </c>
      <c r="B3070" s="1" t="s">
        <v>2466</v>
      </c>
      <c r="C3070" s="1" t="s">
        <v>2209</v>
      </c>
      <c r="D3070" s="1" t="s">
        <v>331</v>
      </c>
      <c r="E3070" s="1" t="s">
        <v>44</v>
      </c>
      <c r="F3070" s="2" t="s">
        <v>2341</v>
      </c>
      <c r="G3070" s="1">
        <v>288.24</v>
      </c>
      <c r="H3070" s="1">
        <v>6</v>
      </c>
      <c r="I3070" s="1">
        <v>138.3552</v>
      </c>
    </row>
    <row r="3071" spans="1:9" x14ac:dyDescent="0.35">
      <c r="A3071" s="3" t="s">
        <v>3329</v>
      </c>
      <c r="B3071" s="1" t="s">
        <v>1870</v>
      </c>
      <c r="C3071" s="1" t="s">
        <v>1256</v>
      </c>
      <c r="D3071" s="1" t="s">
        <v>250</v>
      </c>
      <c r="E3071" s="1" t="s">
        <v>37</v>
      </c>
      <c r="F3071" s="2" t="s">
        <v>2441</v>
      </c>
      <c r="G3071" s="1">
        <v>663.93600000000004</v>
      </c>
      <c r="H3071" s="1">
        <v>4</v>
      </c>
      <c r="I3071" s="1">
        <v>82.992000000000004</v>
      </c>
    </row>
    <row r="3072" spans="1:9" x14ac:dyDescent="0.35">
      <c r="A3072" s="3" t="s">
        <v>3330</v>
      </c>
      <c r="B3072" s="1" t="s">
        <v>1084</v>
      </c>
      <c r="C3072" s="1" t="s">
        <v>303</v>
      </c>
      <c r="D3072" s="1" t="s">
        <v>124</v>
      </c>
      <c r="E3072" s="1" t="s">
        <v>26</v>
      </c>
      <c r="F3072" s="2" t="s">
        <v>1801</v>
      </c>
      <c r="G3072" s="1">
        <v>2934.33</v>
      </c>
      <c r="H3072" s="1">
        <v>7</v>
      </c>
      <c r="I3072" s="1">
        <v>792.26909999999998</v>
      </c>
    </row>
    <row r="3073" spans="1:9" x14ac:dyDescent="0.35">
      <c r="A3073" s="3" t="s">
        <v>3330</v>
      </c>
      <c r="B3073" s="1" t="s">
        <v>1084</v>
      </c>
      <c r="C3073" s="1" t="s">
        <v>303</v>
      </c>
      <c r="D3073" s="1" t="s">
        <v>124</v>
      </c>
      <c r="E3073" s="1" t="s">
        <v>29</v>
      </c>
      <c r="F3073" s="2" t="s">
        <v>2469</v>
      </c>
      <c r="G3073" s="1">
        <v>124.41</v>
      </c>
      <c r="H3073" s="1">
        <v>3</v>
      </c>
      <c r="I3073" s="1">
        <v>14.9292</v>
      </c>
    </row>
    <row r="3074" spans="1:9" x14ac:dyDescent="0.35">
      <c r="A3074" s="3" t="s">
        <v>3330</v>
      </c>
      <c r="B3074" s="1" t="s">
        <v>1084</v>
      </c>
      <c r="C3074" s="1" t="s">
        <v>303</v>
      </c>
      <c r="D3074" s="1" t="s">
        <v>124</v>
      </c>
      <c r="E3074" s="1" t="s">
        <v>31</v>
      </c>
      <c r="F3074" s="2" t="s">
        <v>1194</v>
      </c>
      <c r="G3074" s="1">
        <v>57.75</v>
      </c>
      <c r="H3074" s="1">
        <v>5</v>
      </c>
      <c r="I3074" s="1">
        <v>26.565000000000001</v>
      </c>
    </row>
    <row r="3075" spans="1:9" x14ac:dyDescent="0.35">
      <c r="A3075" s="3">
        <v>42430</v>
      </c>
      <c r="B3075" s="1" t="s">
        <v>916</v>
      </c>
      <c r="C3075" s="1" t="s">
        <v>17</v>
      </c>
      <c r="D3075" s="1" t="s">
        <v>18</v>
      </c>
      <c r="E3075" s="1" t="s">
        <v>26</v>
      </c>
      <c r="F3075" s="2" t="s">
        <v>2120</v>
      </c>
      <c r="G3075" s="1">
        <v>114.46</v>
      </c>
      <c r="H3075" s="1">
        <v>2</v>
      </c>
      <c r="I3075" s="1">
        <v>28.614999999999998</v>
      </c>
    </row>
    <row r="3076" spans="1:9" x14ac:dyDescent="0.35">
      <c r="A3076" s="3">
        <v>42073</v>
      </c>
      <c r="B3076" s="1" t="s">
        <v>394</v>
      </c>
      <c r="C3076" s="1" t="s">
        <v>17</v>
      </c>
      <c r="D3076" s="1" t="s">
        <v>18</v>
      </c>
      <c r="E3076" s="1" t="s">
        <v>12</v>
      </c>
      <c r="F3076" s="2" t="s">
        <v>1111</v>
      </c>
      <c r="G3076" s="1">
        <v>120.666</v>
      </c>
      <c r="H3076" s="1">
        <v>2</v>
      </c>
      <c r="I3076" s="1">
        <v>18.454799999999999</v>
      </c>
    </row>
    <row r="3077" spans="1:9" x14ac:dyDescent="0.35">
      <c r="A3077" s="3" t="s">
        <v>3331</v>
      </c>
      <c r="B3077" s="1" t="s">
        <v>1637</v>
      </c>
      <c r="C3077" s="1" t="s">
        <v>399</v>
      </c>
      <c r="D3077" s="1" t="s">
        <v>52</v>
      </c>
      <c r="E3077" s="1" t="s">
        <v>26</v>
      </c>
      <c r="F3077" s="2" t="s">
        <v>717</v>
      </c>
      <c r="G3077" s="1">
        <v>342.86399999999998</v>
      </c>
      <c r="H3077" s="1">
        <v>3</v>
      </c>
      <c r="I3077" s="1">
        <v>38.572200000000002</v>
      </c>
    </row>
    <row r="3078" spans="1:9" x14ac:dyDescent="0.35">
      <c r="A3078" s="3" t="s">
        <v>3331</v>
      </c>
      <c r="B3078" s="1" t="s">
        <v>1637</v>
      </c>
      <c r="C3078" s="1" t="s">
        <v>399</v>
      </c>
      <c r="D3078" s="1" t="s">
        <v>52</v>
      </c>
      <c r="E3078" s="1" t="s">
        <v>29</v>
      </c>
      <c r="F3078" s="2" t="s">
        <v>1517</v>
      </c>
      <c r="G3078" s="1">
        <v>16.739999999999998</v>
      </c>
      <c r="H3078" s="1">
        <v>5</v>
      </c>
      <c r="I3078" s="1">
        <v>-14.228999999999999</v>
      </c>
    </row>
    <row r="3079" spans="1:9" x14ac:dyDescent="0.35">
      <c r="A3079" s="3" t="s">
        <v>3331</v>
      </c>
      <c r="B3079" s="1" t="s">
        <v>1637</v>
      </c>
      <c r="C3079" s="1" t="s">
        <v>399</v>
      </c>
      <c r="D3079" s="1" t="s">
        <v>52</v>
      </c>
      <c r="E3079" s="1" t="s">
        <v>14</v>
      </c>
      <c r="F3079" s="2" t="s">
        <v>867</v>
      </c>
      <c r="G3079" s="1">
        <v>981.37199999999996</v>
      </c>
      <c r="H3079" s="1">
        <v>2</v>
      </c>
      <c r="I3079" s="1">
        <v>-140.196</v>
      </c>
    </row>
    <row r="3080" spans="1:9" x14ac:dyDescent="0.35">
      <c r="A3080" s="3" t="s">
        <v>3332</v>
      </c>
      <c r="B3080" s="1" t="s">
        <v>1472</v>
      </c>
      <c r="C3080" s="1" t="s">
        <v>461</v>
      </c>
      <c r="D3080" s="1" t="s">
        <v>18</v>
      </c>
      <c r="E3080" s="1" t="s">
        <v>31</v>
      </c>
      <c r="F3080" s="2" t="s">
        <v>379</v>
      </c>
      <c r="G3080" s="1">
        <v>31.84</v>
      </c>
      <c r="H3080" s="1">
        <v>8</v>
      </c>
      <c r="I3080" s="1">
        <v>10.507199999999999</v>
      </c>
    </row>
    <row r="3081" spans="1:9" x14ac:dyDescent="0.35">
      <c r="A3081" s="3">
        <v>42834</v>
      </c>
      <c r="B3081" s="1" t="s">
        <v>2470</v>
      </c>
      <c r="C3081" s="1" t="s">
        <v>2416</v>
      </c>
      <c r="D3081" s="1" t="s">
        <v>18</v>
      </c>
      <c r="E3081" s="1" t="s">
        <v>44</v>
      </c>
      <c r="F3081" s="2" t="s">
        <v>1033</v>
      </c>
      <c r="G3081" s="1">
        <v>12.96</v>
      </c>
      <c r="H3081" s="1">
        <v>2</v>
      </c>
      <c r="I3081" s="1">
        <v>6.2207999999999997</v>
      </c>
    </row>
    <row r="3082" spans="1:9" x14ac:dyDescent="0.35">
      <c r="A3082" s="3">
        <v>42834</v>
      </c>
      <c r="B3082" s="1" t="s">
        <v>2470</v>
      </c>
      <c r="C3082" s="1" t="s">
        <v>2416</v>
      </c>
      <c r="D3082" s="1" t="s">
        <v>18</v>
      </c>
      <c r="E3082" s="1" t="s">
        <v>33</v>
      </c>
      <c r="F3082" s="2" t="s">
        <v>1411</v>
      </c>
      <c r="G3082" s="1">
        <v>43.176000000000002</v>
      </c>
      <c r="H3082" s="1">
        <v>3</v>
      </c>
      <c r="I3082" s="1">
        <v>15.111599999999999</v>
      </c>
    </row>
    <row r="3083" spans="1:9" x14ac:dyDescent="0.35">
      <c r="A3083" s="3" t="s">
        <v>3333</v>
      </c>
      <c r="B3083" s="1" t="s">
        <v>453</v>
      </c>
      <c r="C3083" s="1" t="s">
        <v>697</v>
      </c>
      <c r="D3083" s="1" t="s">
        <v>11</v>
      </c>
      <c r="E3083" s="1" t="s">
        <v>35</v>
      </c>
      <c r="F3083" s="2" t="s">
        <v>1223</v>
      </c>
      <c r="G3083" s="1">
        <v>58.34</v>
      </c>
      <c r="H3083" s="1">
        <v>2</v>
      </c>
      <c r="I3083" s="1">
        <v>28.0032</v>
      </c>
    </row>
    <row r="3084" spans="1:9" x14ac:dyDescent="0.35">
      <c r="A3084" s="3" t="s">
        <v>3333</v>
      </c>
      <c r="B3084" s="1" t="s">
        <v>453</v>
      </c>
      <c r="C3084" s="1" t="s">
        <v>697</v>
      </c>
      <c r="D3084" s="1" t="s">
        <v>11</v>
      </c>
      <c r="E3084" s="1" t="s">
        <v>33</v>
      </c>
      <c r="F3084" s="2" t="s">
        <v>2318</v>
      </c>
      <c r="G3084" s="1">
        <v>539.97</v>
      </c>
      <c r="H3084" s="1">
        <v>3</v>
      </c>
      <c r="I3084" s="1">
        <v>134.99250000000001</v>
      </c>
    </row>
    <row r="3085" spans="1:9" x14ac:dyDescent="0.35">
      <c r="A3085" s="3" t="s">
        <v>3334</v>
      </c>
      <c r="B3085" s="1" t="s">
        <v>843</v>
      </c>
      <c r="C3085" s="1" t="s">
        <v>135</v>
      </c>
      <c r="D3085" s="1" t="s">
        <v>136</v>
      </c>
      <c r="E3085" s="1" t="s">
        <v>35</v>
      </c>
      <c r="F3085" s="2" t="s">
        <v>390</v>
      </c>
      <c r="G3085" s="1">
        <v>3.9279999999999999</v>
      </c>
      <c r="H3085" s="1">
        <v>1</v>
      </c>
      <c r="I3085" s="1">
        <v>1.3257000000000001</v>
      </c>
    </row>
    <row r="3086" spans="1:9" x14ac:dyDescent="0.35">
      <c r="A3086" s="3">
        <v>42980</v>
      </c>
      <c r="B3086" s="1" t="s">
        <v>2142</v>
      </c>
      <c r="C3086" s="1" t="s">
        <v>93</v>
      </c>
      <c r="D3086" s="1" t="s">
        <v>52</v>
      </c>
      <c r="E3086" s="1" t="s">
        <v>35</v>
      </c>
      <c r="F3086" s="2" t="s">
        <v>715</v>
      </c>
      <c r="G3086" s="1">
        <v>252.78399999999999</v>
      </c>
      <c r="H3086" s="1">
        <v>4</v>
      </c>
      <c r="I3086" s="1">
        <v>-417.09359999999998</v>
      </c>
    </row>
    <row r="3087" spans="1:9" x14ac:dyDescent="0.35">
      <c r="A3087" s="3">
        <v>42980</v>
      </c>
      <c r="B3087" s="1" t="s">
        <v>2142</v>
      </c>
      <c r="C3087" s="1" t="s">
        <v>93</v>
      </c>
      <c r="D3087" s="1" t="s">
        <v>52</v>
      </c>
      <c r="E3087" s="1" t="s">
        <v>81</v>
      </c>
      <c r="F3087" s="2" t="s">
        <v>1154</v>
      </c>
      <c r="G3087" s="1">
        <v>127.98399999999999</v>
      </c>
      <c r="H3087" s="1">
        <v>2</v>
      </c>
      <c r="I3087" s="1">
        <v>15.997999999999999</v>
      </c>
    </row>
    <row r="3088" spans="1:9" x14ac:dyDescent="0.35">
      <c r="A3088" s="3">
        <v>42980</v>
      </c>
      <c r="B3088" s="1" t="s">
        <v>2142</v>
      </c>
      <c r="C3088" s="1" t="s">
        <v>93</v>
      </c>
      <c r="D3088" s="1" t="s">
        <v>52</v>
      </c>
      <c r="E3088" s="1" t="s">
        <v>29</v>
      </c>
      <c r="F3088" s="2" t="s">
        <v>2436</v>
      </c>
      <c r="G3088" s="1">
        <v>3.984</v>
      </c>
      <c r="H3088" s="1">
        <v>2</v>
      </c>
      <c r="I3088" s="1">
        <v>-2.6892</v>
      </c>
    </row>
    <row r="3089" spans="1:9" x14ac:dyDescent="0.35">
      <c r="A3089" s="3">
        <v>42980</v>
      </c>
      <c r="B3089" s="1" t="s">
        <v>2142</v>
      </c>
      <c r="C3089" s="1" t="s">
        <v>93</v>
      </c>
      <c r="D3089" s="1" t="s">
        <v>52</v>
      </c>
      <c r="E3089" s="1" t="s">
        <v>37</v>
      </c>
      <c r="F3089" s="2" t="s">
        <v>1353</v>
      </c>
      <c r="G3089" s="1">
        <v>12.992000000000001</v>
      </c>
      <c r="H3089" s="1">
        <v>2</v>
      </c>
      <c r="I3089" s="1">
        <v>-32.479999999999997</v>
      </c>
    </row>
    <row r="3090" spans="1:9" x14ac:dyDescent="0.35">
      <c r="A3090" s="3" t="s">
        <v>3335</v>
      </c>
      <c r="B3090" s="1" t="s">
        <v>2255</v>
      </c>
      <c r="C3090" s="1" t="s">
        <v>10</v>
      </c>
      <c r="D3090" s="1" t="s">
        <v>11</v>
      </c>
      <c r="E3090" s="1" t="s">
        <v>29</v>
      </c>
      <c r="F3090" s="2" t="s">
        <v>1871</v>
      </c>
      <c r="G3090" s="1">
        <v>61</v>
      </c>
      <c r="H3090" s="1">
        <v>5</v>
      </c>
      <c r="I3090" s="1">
        <v>25.62</v>
      </c>
    </row>
    <row r="3091" spans="1:9" x14ac:dyDescent="0.35">
      <c r="A3091" s="3" t="s">
        <v>3335</v>
      </c>
      <c r="B3091" s="1" t="s">
        <v>2255</v>
      </c>
      <c r="C3091" s="1" t="s">
        <v>10</v>
      </c>
      <c r="D3091" s="1" t="s">
        <v>11</v>
      </c>
      <c r="E3091" s="1" t="s">
        <v>33</v>
      </c>
      <c r="F3091" s="2" t="s">
        <v>2471</v>
      </c>
      <c r="G3091" s="1">
        <v>671.93</v>
      </c>
      <c r="H3091" s="1">
        <v>7</v>
      </c>
      <c r="I3091" s="1">
        <v>188.1404</v>
      </c>
    </row>
    <row r="3092" spans="1:9" x14ac:dyDescent="0.35">
      <c r="A3092" s="3">
        <v>42432</v>
      </c>
      <c r="B3092" s="1" t="s">
        <v>28</v>
      </c>
      <c r="C3092" s="1" t="s">
        <v>303</v>
      </c>
      <c r="D3092" s="1" t="s">
        <v>124</v>
      </c>
      <c r="E3092" s="1" t="s">
        <v>35</v>
      </c>
      <c r="F3092" s="2" t="s">
        <v>1167</v>
      </c>
      <c r="G3092" s="1">
        <v>447.86</v>
      </c>
      <c r="H3092" s="1">
        <v>7</v>
      </c>
      <c r="I3092" s="1">
        <v>219.45140000000001</v>
      </c>
    </row>
    <row r="3093" spans="1:9" x14ac:dyDescent="0.35">
      <c r="A3093" s="3">
        <v>42432</v>
      </c>
      <c r="B3093" s="1" t="s">
        <v>28</v>
      </c>
      <c r="C3093" s="1" t="s">
        <v>303</v>
      </c>
      <c r="D3093" s="1" t="s">
        <v>124</v>
      </c>
      <c r="E3093" s="1" t="s">
        <v>33</v>
      </c>
      <c r="F3093" s="2" t="s">
        <v>1162</v>
      </c>
      <c r="G3093" s="1">
        <v>479.95</v>
      </c>
      <c r="H3093" s="1">
        <v>5</v>
      </c>
      <c r="I3093" s="1">
        <v>129.5865</v>
      </c>
    </row>
    <row r="3094" spans="1:9" x14ac:dyDescent="0.35">
      <c r="A3094" s="3">
        <v>42432</v>
      </c>
      <c r="B3094" s="1" t="s">
        <v>28</v>
      </c>
      <c r="C3094" s="1" t="s">
        <v>303</v>
      </c>
      <c r="D3094" s="1" t="s">
        <v>124</v>
      </c>
      <c r="E3094" s="1" t="s">
        <v>44</v>
      </c>
      <c r="F3094" s="2" t="s">
        <v>2472</v>
      </c>
      <c r="G3094" s="1">
        <v>166.44</v>
      </c>
      <c r="H3094" s="1">
        <v>3</v>
      </c>
      <c r="I3094" s="1">
        <v>79.891199999999998</v>
      </c>
    </row>
    <row r="3095" spans="1:9" x14ac:dyDescent="0.35">
      <c r="A3095" s="3" t="s">
        <v>3336</v>
      </c>
      <c r="B3095" s="1" t="s">
        <v>590</v>
      </c>
      <c r="C3095" s="1" t="s">
        <v>2473</v>
      </c>
      <c r="D3095" s="1" t="s">
        <v>106</v>
      </c>
      <c r="E3095" s="1" t="s">
        <v>289</v>
      </c>
      <c r="F3095" s="2" t="s">
        <v>991</v>
      </c>
      <c r="G3095" s="1">
        <v>31.68</v>
      </c>
      <c r="H3095" s="1">
        <v>4</v>
      </c>
      <c r="I3095" s="1">
        <v>2.7719999999999998</v>
      </c>
    </row>
    <row r="3096" spans="1:9" x14ac:dyDescent="0.35">
      <c r="A3096" s="3" t="s">
        <v>3336</v>
      </c>
      <c r="B3096" s="1" t="s">
        <v>590</v>
      </c>
      <c r="C3096" s="1" t="s">
        <v>2473</v>
      </c>
      <c r="D3096" s="1" t="s">
        <v>106</v>
      </c>
      <c r="E3096" s="1" t="s">
        <v>44</v>
      </c>
      <c r="F3096" s="2" t="s">
        <v>1909</v>
      </c>
      <c r="G3096" s="1">
        <v>10.368</v>
      </c>
      <c r="H3096" s="1">
        <v>2</v>
      </c>
      <c r="I3096" s="1">
        <v>3.6288</v>
      </c>
    </row>
    <row r="3097" spans="1:9" x14ac:dyDescent="0.35">
      <c r="A3097" s="3" t="s">
        <v>3336</v>
      </c>
      <c r="B3097" s="1" t="s">
        <v>590</v>
      </c>
      <c r="C3097" s="1" t="s">
        <v>2473</v>
      </c>
      <c r="D3097" s="1" t="s">
        <v>106</v>
      </c>
      <c r="E3097" s="1" t="s">
        <v>137</v>
      </c>
      <c r="F3097" s="2" t="s">
        <v>281</v>
      </c>
      <c r="G3097" s="1">
        <v>12.032</v>
      </c>
      <c r="H3097" s="1">
        <v>8</v>
      </c>
      <c r="I3097" s="1">
        <v>2.2559999999999998</v>
      </c>
    </row>
    <row r="3098" spans="1:9" x14ac:dyDescent="0.35">
      <c r="A3098" s="3" t="s">
        <v>3336</v>
      </c>
      <c r="B3098" s="1" t="s">
        <v>590</v>
      </c>
      <c r="C3098" s="1" t="s">
        <v>2473</v>
      </c>
      <c r="D3098" s="1" t="s">
        <v>106</v>
      </c>
      <c r="E3098" s="1" t="s">
        <v>37</v>
      </c>
      <c r="F3098" s="2" t="s">
        <v>631</v>
      </c>
      <c r="G3098" s="1">
        <v>5.7679999999999998</v>
      </c>
      <c r="H3098" s="1">
        <v>2</v>
      </c>
      <c r="I3098" s="1">
        <v>-13.5548</v>
      </c>
    </row>
    <row r="3099" spans="1:9" x14ac:dyDescent="0.35">
      <c r="A3099" s="3" t="s">
        <v>3337</v>
      </c>
      <c r="B3099" s="1" t="s">
        <v>241</v>
      </c>
      <c r="C3099" s="1" t="s">
        <v>51</v>
      </c>
      <c r="D3099" s="1" t="s">
        <v>52</v>
      </c>
      <c r="E3099" s="1" t="s">
        <v>19</v>
      </c>
      <c r="F3099" s="2" t="s">
        <v>605</v>
      </c>
      <c r="G3099" s="1">
        <v>33.119999999999997</v>
      </c>
      <c r="H3099" s="1">
        <v>4</v>
      </c>
      <c r="I3099" s="1">
        <v>11.592000000000001</v>
      </c>
    </row>
    <row r="3100" spans="1:9" x14ac:dyDescent="0.35">
      <c r="A3100" s="3" t="s">
        <v>3337</v>
      </c>
      <c r="B3100" s="1" t="s">
        <v>241</v>
      </c>
      <c r="C3100" s="1" t="s">
        <v>51</v>
      </c>
      <c r="D3100" s="1" t="s">
        <v>52</v>
      </c>
      <c r="E3100" s="1" t="s">
        <v>12</v>
      </c>
      <c r="F3100" s="2" t="s">
        <v>599</v>
      </c>
      <c r="G3100" s="1">
        <v>220.26560000000001</v>
      </c>
      <c r="H3100" s="1">
        <v>4</v>
      </c>
      <c r="I3100" s="1">
        <v>-42.1096</v>
      </c>
    </row>
    <row r="3101" spans="1:9" x14ac:dyDescent="0.35">
      <c r="A3101" s="3" t="s">
        <v>3225</v>
      </c>
      <c r="B3101" s="1" t="s">
        <v>1415</v>
      </c>
      <c r="C3101" s="1" t="s">
        <v>135</v>
      </c>
      <c r="D3101" s="1" t="s">
        <v>136</v>
      </c>
      <c r="E3101" s="1" t="s">
        <v>35</v>
      </c>
      <c r="F3101" s="2" t="s">
        <v>581</v>
      </c>
      <c r="G3101" s="1">
        <v>10.776</v>
      </c>
      <c r="H3101" s="1">
        <v>3</v>
      </c>
      <c r="I3101" s="1">
        <v>3.5022000000000002</v>
      </c>
    </row>
    <row r="3102" spans="1:9" x14ac:dyDescent="0.35">
      <c r="A3102" s="3" t="s">
        <v>3225</v>
      </c>
      <c r="B3102" s="1" t="s">
        <v>1415</v>
      </c>
      <c r="C3102" s="1" t="s">
        <v>135</v>
      </c>
      <c r="D3102" s="1" t="s">
        <v>136</v>
      </c>
      <c r="E3102" s="1" t="s">
        <v>12</v>
      </c>
      <c r="F3102" s="2" t="s">
        <v>1235</v>
      </c>
      <c r="G3102" s="1">
        <v>242.352</v>
      </c>
      <c r="H3102" s="1">
        <v>3</v>
      </c>
      <c r="I3102" s="1">
        <v>9.0882000000000005</v>
      </c>
    </row>
    <row r="3103" spans="1:9" x14ac:dyDescent="0.35">
      <c r="A3103" s="3" t="s">
        <v>3180</v>
      </c>
      <c r="B3103" s="1" t="s">
        <v>2474</v>
      </c>
      <c r="C3103" s="1" t="s">
        <v>1544</v>
      </c>
      <c r="D3103" s="1" t="s">
        <v>663</v>
      </c>
      <c r="E3103" s="1" t="s">
        <v>289</v>
      </c>
      <c r="F3103" s="2" t="s">
        <v>753</v>
      </c>
      <c r="G3103" s="1">
        <v>695.16</v>
      </c>
      <c r="H3103" s="1">
        <v>6</v>
      </c>
      <c r="I3103" s="1">
        <v>34.758000000000003</v>
      </c>
    </row>
    <row r="3104" spans="1:9" x14ac:dyDescent="0.35">
      <c r="A3104" s="3" t="s">
        <v>3180</v>
      </c>
      <c r="B3104" s="1" t="s">
        <v>2474</v>
      </c>
      <c r="C3104" s="1" t="s">
        <v>1544</v>
      </c>
      <c r="D3104" s="1" t="s">
        <v>663</v>
      </c>
      <c r="E3104" s="1" t="s">
        <v>12</v>
      </c>
      <c r="F3104" s="2" t="s">
        <v>2475</v>
      </c>
      <c r="G3104" s="1">
        <v>220.98</v>
      </c>
      <c r="H3104" s="1">
        <v>1</v>
      </c>
      <c r="I3104" s="1">
        <v>50.825400000000002</v>
      </c>
    </row>
    <row r="3105" spans="1:9" x14ac:dyDescent="0.35">
      <c r="A3105" s="3">
        <v>42594</v>
      </c>
      <c r="B3105" s="1" t="s">
        <v>2362</v>
      </c>
      <c r="C3105" s="1" t="s">
        <v>249</v>
      </c>
      <c r="D3105" s="1" t="s">
        <v>250</v>
      </c>
      <c r="E3105" s="1" t="s">
        <v>35</v>
      </c>
      <c r="F3105" s="2" t="s">
        <v>2476</v>
      </c>
      <c r="G3105" s="1">
        <v>12.957000000000001</v>
      </c>
      <c r="H3105" s="1">
        <v>7</v>
      </c>
      <c r="I3105" s="1">
        <v>-9.5017999999999994</v>
      </c>
    </row>
    <row r="3106" spans="1:9" x14ac:dyDescent="0.35">
      <c r="A3106" s="3" t="s">
        <v>3269</v>
      </c>
      <c r="B3106" s="1" t="s">
        <v>2477</v>
      </c>
      <c r="C3106" s="1" t="s">
        <v>135</v>
      </c>
      <c r="D3106" s="1" t="s">
        <v>136</v>
      </c>
      <c r="E3106" s="1" t="s">
        <v>44</v>
      </c>
      <c r="F3106" s="2" t="s">
        <v>2478</v>
      </c>
      <c r="G3106" s="1">
        <v>25.68</v>
      </c>
      <c r="H3106" s="1">
        <v>6</v>
      </c>
      <c r="I3106" s="1">
        <v>11.555999999999999</v>
      </c>
    </row>
    <row r="3107" spans="1:9" x14ac:dyDescent="0.35">
      <c r="A3107" s="3" t="s">
        <v>3317</v>
      </c>
      <c r="B3107" s="1" t="s">
        <v>712</v>
      </c>
      <c r="C3107" s="1" t="s">
        <v>93</v>
      </c>
      <c r="D3107" s="1" t="s">
        <v>52</v>
      </c>
      <c r="E3107" s="1" t="s">
        <v>19</v>
      </c>
      <c r="F3107" s="2" t="s">
        <v>931</v>
      </c>
      <c r="G3107" s="1">
        <v>15.712</v>
      </c>
      <c r="H3107" s="1">
        <v>4</v>
      </c>
      <c r="I3107" s="1">
        <v>5.6955999999999998</v>
      </c>
    </row>
    <row r="3108" spans="1:9" x14ac:dyDescent="0.35">
      <c r="A3108" s="3">
        <v>43015</v>
      </c>
      <c r="B3108" s="1" t="s">
        <v>1578</v>
      </c>
      <c r="C3108" s="1" t="s">
        <v>228</v>
      </c>
      <c r="D3108" s="1" t="s">
        <v>106</v>
      </c>
      <c r="E3108" s="1" t="s">
        <v>26</v>
      </c>
      <c r="F3108" s="2" t="s">
        <v>1400</v>
      </c>
      <c r="G3108" s="1">
        <v>298.464</v>
      </c>
      <c r="H3108" s="1">
        <v>6</v>
      </c>
      <c r="I3108" s="1">
        <v>26.115600000000001</v>
      </c>
    </row>
    <row r="3109" spans="1:9" x14ac:dyDescent="0.35">
      <c r="A3109" s="3" t="s">
        <v>3153</v>
      </c>
      <c r="B3109" s="1" t="s">
        <v>41</v>
      </c>
      <c r="C3109" s="1" t="s">
        <v>162</v>
      </c>
      <c r="D3109" s="1" t="s">
        <v>298</v>
      </c>
      <c r="E3109" s="1" t="s">
        <v>44</v>
      </c>
      <c r="F3109" s="2" t="s">
        <v>2479</v>
      </c>
      <c r="G3109" s="1">
        <v>21.93</v>
      </c>
      <c r="H3109" s="1">
        <v>3</v>
      </c>
      <c r="I3109" s="1">
        <v>10.0878</v>
      </c>
    </row>
    <row r="3110" spans="1:9" x14ac:dyDescent="0.35">
      <c r="A3110" s="3" t="s">
        <v>3153</v>
      </c>
      <c r="B3110" s="1" t="s">
        <v>41</v>
      </c>
      <c r="C3110" s="1" t="s">
        <v>162</v>
      </c>
      <c r="D3110" s="1" t="s">
        <v>298</v>
      </c>
      <c r="E3110" s="1" t="s">
        <v>26</v>
      </c>
      <c r="F3110" s="2" t="s">
        <v>1471</v>
      </c>
      <c r="G3110" s="1">
        <v>242.94</v>
      </c>
      <c r="H3110" s="1">
        <v>3</v>
      </c>
      <c r="I3110" s="1">
        <v>4.8587999999999996</v>
      </c>
    </row>
    <row r="3111" spans="1:9" x14ac:dyDescent="0.35">
      <c r="A3111" s="3" t="s">
        <v>3153</v>
      </c>
      <c r="B3111" s="1" t="s">
        <v>41</v>
      </c>
      <c r="C3111" s="1" t="s">
        <v>162</v>
      </c>
      <c r="D3111" s="1" t="s">
        <v>298</v>
      </c>
      <c r="E3111" s="1" t="s">
        <v>44</v>
      </c>
      <c r="F3111" s="2" t="s">
        <v>1408</v>
      </c>
      <c r="G3111" s="1">
        <v>7.64</v>
      </c>
      <c r="H3111" s="1">
        <v>1</v>
      </c>
      <c r="I3111" s="1">
        <v>3.7435999999999998</v>
      </c>
    </row>
    <row r="3112" spans="1:9" x14ac:dyDescent="0.35">
      <c r="A3112" s="3" t="s">
        <v>3153</v>
      </c>
      <c r="B3112" s="1" t="s">
        <v>41</v>
      </c>
      <c r="C3112" s="1" t="s">
        <v>162</v>
      </c>
      <c r="D3112" s="1" t="s">
        <v>298</v>
      </c>
      <c r="E3112" s="1" t="s">
        <v>44</v>
      </c>
      <c r="F3112" s="2" t="s">
        <v>974</v>
      </c>
      <c r="G3112" s="1">
        <v>51.84</v>
      </c>
      <c r="H3112" s="1">
        <v>8</v>
      </c>
      <c r="I3112" s="1">
        <v>25.401599999999998</v>
      </c>
    </row>
    <row r="3113" spans="1:9" x14ac:dyDescent="0.35">
      <c r="A3113" s="3" t="s">
        <v>3153</v>
      </c>
      <c r="B3113" s="1" t="s">
        <v>41</v>
      </c>
      <c r="C3113" s="1" t="s">
        <v>162</v>
      </c>
      <c r="D3113" s="1" t="s">
        <v>298</v>
      </c>
      <c r="E3113" s="1" t="s">
        <v>26</v>
      </c>
      <c r="F3113" s="2" t="s">
        <v>2051</v>
      </c>
      <c r="G3113" s="1">
        <v>265.17</v>
      </c>
      <c r="H3113" s="1">
        <v>1</v>
      </c>
      <c r="I3113" s="1">
        <v>47.730600000000003</v>
      </c>
    </row>
    <row r="3114" spans="1:9" x14ac:dyDescent="0.35">
      <c r="A3114" s="3" t="s">
        <v>3319</v>
      </c>
      <c r="B3114" s="1" t="s">
        <v>1700</v>
      </c>
      <c r="C3114" s="1" t="s">
        <v>47</v>
      </c>
      <c r="D3114" s="1" t="s">
        <v>48</v>
      </c>
      <c r="E3114" s="1" t="s">
        <v>338</v>
      </c>
      <c r="F3114" s="2" t="s">
        <v>2480</v>
      </c>
      <c r="G3114" s="1">
        <v>837.6</v>
      </c>
      <c r="H3114" s="1">
        <v>3</v>
      </c>
      <c r="I3114" s="1">
        <v>62.82</v>
      </c>
    </row>
    <row r="3115" spans="1:9" x14ac:dyDescent="0.35">
      <c r="A3115" s="3" t="s">
        <v>3319</v>
      </c>
      <c r="B3115" s="1" t="s">
        <v>1700</v>
      </c>
      <c r="C3115" s="1" t="s">
        <v>47</v>
      </c>
      <c r="D3115" s="1" t="s">
        <v>48</v>
      </c>
      <c r="E3115" s="1" t="s">
        <v>87</v>
      </c>
      <c r="F3115" s="2" t="s">
        <v>254</v>
      </c>
      <c r="G3115" s="1">
        <v>135.9</v>
      </c>
      <c r="H3115" s="1">
        <v>5</v>
      </c>
      <c r="I3115" s="1">
        <v>63.872999999999998</v>
      </c>
    </row>
    <row r="3116" spans="1:9" x14ac:dyDescent="0.35">
      <c r="A3116" s="3" t="s">
        <v>3319</v>
      </c>
      <c r="B3116" s="1" t="s">
        <v>1700</v>
      </c>
      <c r="C3116" s="1" t="s">
        <v>47</v>
      </c>
      <c r="D3116" s="1" t="s">
        <v>48</v>
      </c>
      <c r="E3116" s="1" t="s">
        <v>44</v>
      </c>
      <c r="F3116" s="2" t="s">
        <v>2004</v>
      </c>
      <c r="G3116" s="1">
        <v>34.68</v>
      </c>
      <c r="H3116" s="1">
        <v>6</v>
      </c>
      <c r="I3116" s="1">
        <v>16.993200000000002</v>
      </c>
    </row>
    <row r="3117" spans="1:9" x14ac:dyDescent="0.35">
      <c r="A3117" s="3" t="s">
        <v>3319</v>
      </c>
      <c r="B3117" s="1" t="s">
        <v>1700</v>
      </c>
      <c r="C3117" s="1" t="s">
        <v>47</v>
      </c>
      <c r="D3117" s="1" t="s">
        <v>48</v>
      </c>
      <c r="E3117" s="1" t="s">
        <v>14</v>
      </c>
      <c r="F3117" s="2" t="s">
        <v>1531</v>
      </c>
      <c r="G3117" s="1">
        <v>532.70399999999995</v>
      </c>
      <c r="H3117" s="1">
        <v>6</v>
      </c>
      <c r="I3117" s="1">
        <v>-39.952800000000003</v>
      </c>
    </row>
    <row r="3118" spans="1:9" x14ac:dyDescent="0.35">
      <c r="A3118" s="3" t="s">
        <v>3319</v>
      </c>
      <c r="B3118" s="1" t="s">
        <v>1700</v>
      </c>
      <c r="C3118" s="1" t="s">
        <v>47</v>
      </c>
      <c r="D3118" s="1" t="s">
        <v>48</v>
      </c>
      <c r="E3118" s="1" t="s">
        <v>37</v>
      </c>
      <c r="F3118" s="2" t="s">
        <v>72</v>
      </c>
      <c r="G3118" s="1">
        <v>43.1</v>
      </c>
      <c r="H3118" s="1">
        <v>5</v>
      </c>
      <c r="I3118" s="1">
        <v>11.206</v>
      </c>
    </row>
    <row r="3119" spans="1:9" x14ac:dyDescent="0.35">
      <c r="A3119" s="3" t="s">
        <v>3319</v>
      </c>
      <c r="B3119" s="1" t="s">
        <v>1700</v>
      </c>
      <c r="C3119" s="1" t="s">
        <v>47</v>
      </c>
      <c r="D3119" s="1" t="s">
        <v>48</v>
      </c>
      <c r="E3119" s="1" t="s">
        <v>289</v>
      </c>
      <c r="F3119" s="2" t="s">
        <v>355</v>
      </c>
      <c r="G3119" s="1">
        <v>15.88</v>
      </c>
      <c r="H3119" s="1">
        <v>4</v>
      </c>
      <c r="I3119" s="1">
        <v>0.1588</v>
      </c>
    </row>
    <row r="3120" spans="1:9" x14ac:dyDescent="0.35">
      <c r="A3120" s="3">
        <v>42314</v>
      </c>
      <c r="B3120" s="1" t="s">
        <v>1881</v>
      </c>
      <c r="C3120" s="1" t="s">
        <v>835</v>
      </c>
      <c r="D3120" s="1" t="s">
        <v>23</v>
      </c>
      <c r="E3120" s="1" t="s">
        <v>14</v>
      </c>
      <c r="F3120" s="2" t="s">
        <v>570</v>
      </c>
      <c r="G3120" s="1">
        <v>1123.92</v>
      </c>
      <c r="H3120" s="1">
        <v>5</v>
      </c>
      <c r="I3120" s="1">
        <v>-182.637</v>
      </c>
    </row>
    <row r="3121" spans="1:9" x14ac:dyDescent="0.35">
      <c r="A3121" s="3">
        <v>42314</v>
      </c>
      <c r="B3121" s="1" t="s">
        <v>1881</v>
      </c>
      <c r="C3121" s="1" t="s">
        <v>835</v>
      </c>
      <c r="D3121" s="1" t="s">
        <v>23</v>
      </c>
      <c r="E3121" s="1" t="s">
        <v>33</v>
      </c>
      <c r="F3121" s="2" t="s">
        <v>886</v>
      </c>
      <c r="G3121" s="1">
        <v>249.584</v>
      </c>
      <c r="H3121" s="1">
        <v>2</v>
      </c>
      <c r="I3121" s="1">
        <v>31.198</v>
      </c>
    </row>
    <row r="3122" spans="1:9" x14ac:dyDescent="0.35">
      <c r="A3122" s="3">
        <v>42314</v>
      </c>
      <c r="B3122" s="1" t="s">
        <v>1881</v>
      </c>
      <c r="C3122" s="1" t="s">
        <v>835</v>
      </c>
      <c r="D3122" s="1" t="s">
        <v>23</v>
      </c>
      <c r="E3122" s="1" t="s">
        <v>29</v>
      </c>
      <c r="F3122" s="2" t="s">
        <v>2481</v>
      </c>
      <c r="G3122" s="1">
        <v>48.671999999999997</v>
      </c>
      <c r="H3122" s="1">
        <v>3</v>
      </c>
      <c r="I3122" s="1">
        <v>7.3007999999999997</v>
      </c>
    </row>
    <row r="3123" spans="1:9" x14ac:dyDescent="0.35">
      <c r="A3123" s="3">
        <v>42314</v>
      </c>
      <c r="B3123" s="1" t="s">
        <v>1881</v>
      </c>
      <c r="C3123" s="1" t="s">
        <v>835</v>
      </c>
      <c r="D3123" s="1" t="s">
        <v>23</v>
      </c>
      <c r="E3123" s="1" t="s">
        <v>31</v>
      </c>
      <c r="F3123" s="2" t="s">
        <v>246</v>
      </c>
      <c r="G3123" s="1">
        <v>60.768000000000001</v>
      </c>
      <c r="H3123" s="1">
        <v>2</v>
      </c>
      <c r="I3123" s="1">
        <v>7.5960000000000001</v>
      </c>
    </row>
    <row r="3124" spans="1:9" x14ac:dyDescent="0.35">
      <c r="A3124" s="3">
        <v>42314</v>
      </c>
      <c r="B3124" s="1" t="s">
        <v>1881</v>
      </c>
      <c r="C3124" s="1" t="s">
        <v>835</v>
      </c>
      <c r="D3124" s="1" t="s">
        <v>23</v>
      </c>
      <c r="E3124" s="1" t="s">
        <v>35</v>
      </c>
      <c r="F3124" s="2" t="s">
        <v>522</v>
      </c>
      <c r="G3124" s="1">
        <v>78.599999999999994</v>
      </c>
      <c r="H3124" s="1">
        <v>5</v>
      </c>
      <c r="I3124" s="1">
        <v>-62.88</v>
      </c>
    </row>
    <row r="3125" spans="1:9" x14ac:dyDescent="0.35">
      <c r="A3125" s="3">
        <v>42314</v>
      </c>
      <c r="B3125" s="1" t="s">
        <v>1881</v>
      </c>
      <c r="C3125" s="1" t="s">
        <v>835</v>
      </c>
      <c r="D3125" s="1" t="s">
        <v>23</v>
      </c>
      <c r="E3125" s="1" t="s">
        <v>35</v>
      </c>
      <c r="F3125" s="2" t="s">
        <v>2276</v>
      </c>
      <c r="G3125" s="1">
        <v>3.7679999999999998</v>
      </c>
      <c r="H3125" s="1">
        <v>2</v>
      </c>
      <c r="I3125" s="1">
        <v>-3.14</v>
      </c>
    </row>
    <row r="3126" spans="1:9" x14ac:dyDescent="0.35">
      <c r="A3126" s="3">
        <v>42314</v>
      </c>
      <c r="B3126" s="1" t="s">
        <v>1881</v>
      </c>
      <c r="C3126" s="1" t="s">
        <v>835</v>
      </c>
      <c r="D3126" s="1" t="s">
        <v>23</v>
      </c>
      <c r="E3126" s="1" t="s">
        <v>26</v>
      </c>
      <c r="F3126" s="2" t="s">
        <v>872</v>
      </c>
      <c r="G3126" s="1">
        <v>1036.624</v>
      </c>
      <c r="H3126" s="1">
        <v>2</v>
      </c>
      <c r="I3126" s="1">
        <v>51.831200000000003</v>
      </c>
    </row>
    <row r="3127" spans="1:9" x14ac:dyDescent="0.35">
      <c r="A3127" s="3">
        <v>42314</v>
      </c>
      <c r="B3127" s="1" t="s">
        <v>1881</v>
      </c>
      <c r="C3127" s="1" t="s">
        <v>835</v>
      </c>
      <c r="D3127" s="1" t="s">
        <v>23</v>
      </c>
      <c r="E3127" s="1" t="s">
        <v>26</v>
      </c>
      <c r="F3127" s="2" t="s">
        <v>1241</v>
      </c>
      <c r="G3127" s="1">
        <v>563.80799999999999</v>
      </c>
      <c r="H3127" s="1">
        <v>4</v>
      </c>
      <c r="I3127" s="1">
        <v>21.142800000000001</v>
      </c>
    </row>
    <row r="3128" spans="1:9" x14ac:dyDescent="0.35">
      <c r="A3128" s="3">
        <v>42956</v>
      </c>
      <c r="B3128" s="1" t="s">
        <v>2482</v>
      </c>
      <c r="C3128" s="1" t="s">
        <v>74</v>
      </c>
      <c r="D3128" s="1" t="s">
        <v>75</v>
      </c>
      <c r="E3128" s="1" t="s">
        <v>33</v>
      </c>
      <c r="F3128" s="2" t="s">
        <v>2483</v>
      </c>
      <c r="G3128" s="1">
        <v>258.52800000000002</v>
      </c>
      <c r="H3128" s="1">
        <v>2</v>
      </c>
      <c r="I3128" s="1">
        <v>-47.396799999999999</v>
      </c>
    </row>
    <row r="3129" spans="1:9" x14ac:dyDescent="0.35">
      <c r="A3129" s="3">
        <v>42776</v>
      </c>
      <c r="B3129" s="1" t="s">
        <v>2415</v>
      </c>
      <c r="C3129" s="1" t="s">
        <v>135</v>
      </c>
      <c r="D3129" s="1" t="s">
        <v>136</v>
      </c>
      <c r="E3129" s="1" t="s">
        <v>44</v>
      </c>
      <c r="F3129" s="2" t="s">
        <v>2484</v>
      </c>
      <c r="G3129" s="1">
        <v>49.12</v>
      </c>
      <c r="H3129" s="1">
        <v>4</v>
      </c>
      <c r="I3129" s="1">
        <v>23.086400000000001</v>
      </c>
    </row>
    <row r="3130" spans="1:9" x14ac:dyDescent="0.35">
      <c r="A3130" s="3" t="s">
        <v>3210</v>
      </c>
      <c r="B3130" s="1" t="s">
        <v>1381</v>
      </c>
      <c r="C3130" s="1" t="s">
        <v>17</v>
      </c>
      <c r="D3130" s="1" t="s">
        <v>18</v>
      </c>
      <c r="E3130" s="1" t="s">
        <v>29</v>
      </c>
      <c r="F3130" s="2" t="s">
        <v>1130</v>
      </c>
      <c r="G3130" s="1">
        <v>44.46</v>
      </c>
      <c r="H3130" s="1">
        <v>2</v>
      </c>
      <c r="I3130" s="1">
        <v>14.671799999999999</v>
      </c>
    </row>
    <row r="3131" spans="1:9" x14ac:dyDescent="0.35">
      <c r="A3131" s="3" t="s">
        <v>3210</v>
      </c>
      <c r="B3131" s="1" t="s">
        <v>1381</v>
      </c>
      <c r="C3131" s="1" t="s">
        <v>17</v>
      </c>
      <c r="D3131" s="1" t="s">
        <v>18</v>
      </c>
      <c r="E3131" s="1" t="s">
        <v>14</v>
      </c>
      <c r="F3131" s="2" t="s">
        <v>556</v>
      </c>
      <c r="G3131" s="1">
        <v>241.56800000000001</v>
      </c>
      <c r="H3131" s="1">
        <v>2</v>
      </c>
      <c r="I3131" s="1">
        <v>18.117599999999999</v>
      </c>
    </row>
    <row r="3132" spans="1:9" x14ac:dyDescent="0.35">
      <c r="A3132" s="3" t="s">
        <v>3210</v>
      </c>
      <c r="B3132" s="1" t="s">
        <v>1381</v>
      </c>
      <c r="C3132" s="1" t="s">
        <v>17</v>
      </c>
      <c r="D3132" s="1" t="s">
        <v>18</v>
      </c>
      <c r="E3132" s="1" t="s">
        <v>81</v>
      </c>
      <c r="F3132" s="2" t="s">
        <v>980</v>
      </c>
      <c r="G3132" s="1">
        <v>395</v>
      </c>
      <c r="H3132" s="1">
        <v>5</v>
      </c>
      <c r="I3132" s="1">
        <v>39.5</v>
      </c>
    </row>
    <row r="3133" spans="1:9" x14ac:dyDescent="0.35">
      <c r="A3133" s="3" t="s">
        <v>3210</v>
      </c>
      <c r="B3133" s="1" t="s">
        <v>1381</v>
      </c>
      <c r="C3133" s="1" t="s">
        <v>17</v>
      </c>
      <c r="D3133" s="1" t="s">
        <v>18</v>
      </c>
      <c r="E3133" s="1" t="s">
        <v>33</v>
      </c>
      <c r="F3133" s="2" t="s">
        <v>97</v>
      </c>
      <c r="G3133" s="1">
        <v>627.16800000000001</v>
      </c>
      <c r="H3133" s="1">
        <v>4</v>
      </c>
      <c r="I3133" s="1">
        <v>70.556399999999996</v>
      </c>
    </row>
    <row r="3134" spans="1:9" x14ac:dyDescent="0.35">
      <c r="A3134" s="3" t="s">
        <v>3321</v>
      </c>
      <c r="B3134" s="1" t="s">
        <v>2485</v>
      </c>
      <c r="C3134" s="1" t="s">
        <v>1061</v>
      </c>
      <c r="D3134" s="1" t="s">
        <v>136</v>
      </c>
      <c r="E3134" s="1" t="s">
        <v>29</v>
      </c>
      <c r="F3134" s="2" t="s">
        <v>2486</v>
      </c>
      <c r="G3134" s="1">
        <v>13.28</v>
      </c>
      <c r="H3134" s="1">
        <v>2</v>
      </c>
      <c r="I3134" s="1">
        <v>6.3743999999999996</v>
      </c>
    </row>
    <row r="3135" spans="1:9" x14ac:dyDescent="0.35">
      <c r="A3135" s="3" t="s">
        <v>3321</v>
      </c>
      <c r="B3135" s="1" t="s">
        <v>2485</v>
      </c>
      <c r="C3135" s="1" t="s">
        <v>1061</v>
      </c>
      <c r="D3135" s="1" t="s">
        <v>136</v>
      </c>
      <c r="E3135" s="1" t="s">
        <v>35</v>
      </c>
      <c r="F3135" s="2" t="s">
        <v>1819</v>
      </c>
      <c r="G3135" s="1">
        <v>12.672000000000001</v>
      </c>
      <c r="H3135" s="1">
        <v>3</v>
      </c>
      <c r="I3135" s="1">
        <v>4.4352</v>
      </c>
    </row>
    <row r="3136" spans="1:9" x14ac:dyDescent="0.35">
      <c r="A3136" s="3">
        <v>43080</v>
      </c>
      <c r="B3136" s="1" t="s">
        <v>275</v>
      </c>
      <c r="C3136" s="1" t="s">
        <v>399</v>
      </c>
      <c r="D3136" s="1" t="s">
        <v>52</v>
      </c>
      <c r="E3136" s="1" t="s">
        <v>35</v>
      </c>
      <c r="F3136" s="2" t="s">
        <v>1670</v>
      </c>
      <c r="G3136" s="1">
        <v>30.56</v>
      </c>
      <c r="H3136" s="1">
        <v>5</v>
      </c>
      <c r="I3136" s="1">
        <v>-45.84</v>
      </c>
    </row>
    <row r="3137" spans="1:9" x14ac:dyDescent="0.35">
      <c r="A3137" s="3">
        <v>43080</v>
      </c>
      <c r="B3137" s="1" t="s">
        <v>275</v>
      </c>
      <c r="C3137" s="1" t="s">
        <v>399</v>
      </c>
      <c r="D3137" s="1" t="s">
        <v>52</v>
      </c>
      <c r="E3137" s="1" t="s">
        <v>26</v>
      </c>
      <c r="F3137" s="2" t="s">
        <v>1009</v>
      </c>
      <c r="G3137" s="1">
        <v>77.951999999999998</v>
      </c>
      <c r="H3137" s="1">
        <v>3</v>
      </c>
      <c r="I3137" s="1">
        <v>-15.590400000000001</v>
      </c>
    </row>
    <row r="3138" spans="1:9" x14ac:dyDescent="0.35">
      <c r="A3138" s="3">
        <v>43080</v>
      </c>
      <c r="B3138" s="1" t="s">
        <v>275</v>
      </c>
      <c r="C3138" s="1" t="s">
        <v>399</v>
      </c>
      <c r="D3138" s="1" t="s">
        <v>52</v>
      </c>
      <c r="E3138" s="1" t="s">
        <v>33</v>
      </c>
      <c r="F3138" s="2" t="s">
        <v>2487</v>
      </c>
      <c r="G3138" s="1">
        <v>67.992000000000004</v>
      </c>
      <c r="H3138" s="1">
        <v>1</v>
      </c>
      <c r="I3138" s="1">
        <v>8.4990000000000006</v>
      </c>
    </row>
    <row r="3139" spans="1:9" x14ac:dyDescent="0.35">
      <c r="A3139" s="3">
        <v>43080</v>
      </c>
      <c r="B3139" s="1" t="s">
        <v>275</v>
      </c>
      <c r="C3139" s="1" t="s">
        <v>399</v>
      </c>
      <c r="D3139" s="1" t="s">
        <v>52</v>
      </c>
      <c r="E3139" s="1" t="s">
        <v>87</v>
      </c>
      <c r="F3139" s="2" t="s">
        <v>1040</v>
      </c>
      <c r="G3139" s="1">
        <v>12.224</v>
      </c>
      <c r="H3139" s="1">
        <v>2</v>
      </c>
      <c r="I3139" s="1">
        <v>4.4311999999999996</v>
      </c>
    </row>
    <row r="3140" spans="1:9" x14ac:dyDescent="0.35">
      <c r="A3140" s="3">
        <v>43080</v>
      </c>
      <c r="B3140" s="1" t="s">
        <v>275</v>
      </c>
      <c r="C3140" s="1" t="s">
        <v>399</v>
      </c>
      <c r="D3140" s="1" t="s">
        <v>52</v>
      </c>
      <c r="E3140" s="1" t="s">
        <v>81</v>
      </c>
      <c r="F3140" s="2" t="s">
        <v>1885</v>
      </c>
      <c r="G3140" s="1">
        <v>44.783999999999999</v>
      </c>
      <c r="H3140" s="1">
        <v>2</v>
      </c>
      <c r="I3140" s="1">
        <v>-0.55979999999999996</v>
      </c>
    </row>
    <row r="3141" spans="1:9" x14ac:dyDescent="0.35">
      <c r="A3141" s="3">
        <v>43080</v>
      </c>
      <c r="B3141" s="1" t="s">
        <v>275</v>
      </c>
      <c r="C3141" s="1" t="s">
        <v>399</v>
      </c>
      <c r="D3141" s="1" t="s">
        <v>52</v>
      </c>
      <c r="E3141" s="1" t="s">
        <v>29</v>
      </c>
      <c r="F3141" s="2" t="s">
        <v>545</v>
      </c>
      <c r="G3141" s="1">
        <v>22.847999999999999</v>
      </c>
      <c r="H3141" s="1">
        <v>3</v>
      </c>
      <c r="I3141" s="1">
        <v>-17.7072</v>
      </c>
    </row>
    <row r="3142" spans="1:9" x14ac:dyDescent="0.35">
      <c r="A3142" s="3" t="s">
        <v>3338</v>
      </c>
      <c r="B3142" s="1" t="s">
        <v>573</v>
      </c>
      <c r="C3142" s="1" t="s">
        <v>135</v>
      </c>
      <c r="D3142" s="1" t="s">
        <v>136</v>
      </c>
      <c r="E3142" s="1" t="s">
        <v>37</v>
      </c>
      <c r="F3142" s="2" t="s">
        <v>53</v>
      </c>
      <c r="G3142" s="1">
        <v>206.43</v>
      </c>
      <c r="H3142" s="1">
        <v>3</v>
      </c>
      <c r="I3142" s="1">
        <v>90.8292</v>
      </c>
    </row>
    <row r="3143" spans="1:9" x14ac:dyDescent="0.35">
      <c r="A3143" s="3">
        <v>41985</v>
      </c>
      <c r="B3143" s="1" t="s">
        <v>1390</v>
      </c>
      <c r="C3143" s="1" t="s">
        <v>336</v>
      </c>
      <c r="D3143" s="1" t="s">
        <v>52</v>
      </c>
      <c r="E3143" s="1" t="s">
        <v>35</v>
      </c>
      <c r="F3143" s="2" t="s">
        <v>259</v>
      </c>
      <c r="G3143" s="1">
        <v>210.392</v>
      </c>
      <c r="H3143" s="1">
        <v>2</v>
      </c>
      <c r="I3143" s="1">
        <v>-336.62720000000002</v>
      </c>
    </row>
    <row r="3144" spans="1:9" x14ac:dyDescent="0.35">
      <c r="A3144" s="3" t="s">
        <v>3339</v>
      </c>
      <c r="B3144" s="1" t="s">
        <v>733</v>
      </c>
      <c r="C3144" s="1" t="s">
        <v>485</v>
      </c>
      <c r="D3144" s="1" t="s">
        <v>250</v>
      </c>
      <c r="E3144" s="1" t="s">
        <v>81</v>
      </c>
      <c r="F3144" s="2" t="s">
        <v>490</v>
      </c>
      <c r="G3144" s="1">
        <v>119.96</v>
      </c>
      <c r="H3144" s="1">
        <v>5</v>
      </c>
      <c r="I3144" s="1">
        <v>35.988</v>
      </c>
    </row>
    <row r="3145" spans="1:9" x14ac:dyDescent="0.35">
      <c r="A3145" s="3" t="s">
        <v>3339</v>
      </c>
      <c r="B3145" s="1" t="s">
        <v>733</v>
      </c>
      <c r="C3145" s="1" t="s">
        <v>485</v>
      </c>
      <c r="D3145" s="1" t="s">
        <v>250</v>
      </c>
      <c r="E3145" s="1" t="s">
        <v>31</v>
      </c>
      <c r="F3145" s="2" t="s">
        <v>319</v>
      </c>
      <c r="G3145" s="1">
        <v>10.608000000000001</v>
      </c>
      <c r="H3145" s="1">
        <v>6</v>
      </c>
      <c r="I3145" s="1">
        <v>0.92820000000000003</v>
      </c>
    </row>
    <row r="3146" spans="1:9" x14ac:dyDescent="0.35">
      <c r="A3146" s="3">
        <v>42499</v>
      </c>
      <c r="B3146" s="1" t="s">
        <v>979</v>
      </c>
      <c r="C3146" s="1" t="s">
        <v>588</v>
      </c>
      <c r="D3146" s="1" t="s">
        <v>52</v>
      </c>
      <c r="E3146" s="1" t="s">
        <v>14</v>
      </c>
      <c r="F3146" s="2" t="s">
        <v>856</v>
      </c>
      <c r="G3146" s="1">
        <v>347.80200000000002</v>
      </c>
      <c r="H3146" s="1">
        <v>7</v>
      </c>
      <c r="I3146" s="1">
        <v>-24.843</v>
      </c>
    </row>
    <row r="3147" spans="1:9" x14ac:dyDescent="0.35">
      <c r="A3147" s="3">
        <v>43041</v>
      </c>
      <c r="B3147" s="1" t="s">
        <v>2488</v>
      </c>
      <c r="C3147" s="1" t="s">
        <v>47</v>
      </c>
      <c r="D3147" s="1" t="s">
        <v>48</v>
      </c>
      <c r="E3147" s="1" t="s">
        <v>14</v>
      </c>
      <c r="F3147" s="2" t="s">
        <v>2489</v>
      </c>
      <c r="G3147" s="1">
        <v>963.13599999999997</v>
      </c>
      <c r="H3147" s="1">
        <v>4</v>
      </c>
      <c r="I3147" s="1">
        <v>108.3528</v>
      </c>
    </row>
    <row r="3148" spans="1:9" x14ac:dyDescent="0.35">
      <c r="A3148" s="3">
        <v>43041</v>
      </c>
      <c r="B3148" s="1" t="s">
        <v>2488</v>
      </c>
      <c r="C3148" s="1" t="s">
        <v>47</v>
      </c>
      <c r="D3148" s="1" t="s">
        <v>48</v>
      </c>
      <c r="E3148" s="1" t="s">
        <v>33</v>
      </c>
      <c r="F3148" s="2" t="s">
        <v>1196</v>
      </c>
      <c r="G3148" s="1">
        <v>88.775999999999996</v>
      </c>
      <c r="H3148" s="1">
        <v>3</v>
      </c>
      <c r="I3148" s="1">
        <v>7.7679</v>
      </c>
    </row>
    <row r="3149" spans="1:9" x14ac:dyDescent="0.35">
      <c r="A3149" s="3" t="s">
        <v>3231</v>
      </c>
      <c r="B3149" s="1" t="s">
        <v>979</v>
      </c>
      <c r="C3149" s="1" t="s">
        <v>17</v>
      </c>
      <c r="D3149" s="1" t="s">
        <v>18</v>
      </c>
      <c r="E3149" s="1" t="s">
        <v>31</v>
      </c>
      <c r="F3149" s="2" t="s">
        <v>593</v>
      </c>
      <c r="G3149" s="1">
        <v>32.4</v>
      </c>
      <c r="H3149" s="1">
        <v>5</v>
      </c>
      <c r="I3149" s="1">
        <v>10.368</v>
      </c>
    </row>
    <row r="3150" spans="1:9" x14ac:dyDescent="0.35">
      <c r="A3150" s="3">
        <v>42557</v>
      </c>
      <c r="B3150" s="1" t="s">
        <v>1049</v>
      </c>
      <c r="C3150" s="1" t="s">
        <v>135</v>
      </c>
      <c r="D3150" s="1" t="s">
        <v>136</v>
      </c>
      <c r="E3150" s="1" t="s">
        <v>44</v>
      </c>
      <c r="F3150" s="2" t="s">
        <v>878</v>
      </c>
      <c r="G3150" s="1">
        <v>32.4</v>
      </c>
      <c r="H3150" s="1">
        <v>5</v>
      </c>
      <c r="I3150" s="1">
        <v>15.552</v>
      </c>
    </row>
    <row r="3151" spans="1:9" x14ac:dyDescent="0.35">
      <c r="A3151" s="3" t="s">
        <v>3340</v>
      </c>
      <c r="B3151" s="1" t="s">
        <v>677</v>
      </c>
      <c r="C3151" s="1" t="s">
        <v>47</v>
      </c>
      <c r="D3151" s="1" t="s">
        <v>48</v>
      </c>
      <c r="E3151" s="1" t="s">
        <v>19</v>
      </c>
      <c r="F3151" s="2" t="s">
        <v>501</v>
      </c>
      <c r="G3151" s="1">
        <v>31.05</v>
      </c>
      <c r="H3151" s="1">
        <v>3</v>
      </c>
      <c r="I3151" s="1">
        <v>14.904</v>
      </c>
    </row>
    <row r="3152" spans="1:9" x14ac:dyDescent="0.35">
      <c r="A3152" s="3" t="s">
        <v>3341</v>
      </c>
      <c r="B3152" s="1" t="s">
        <v>703</v>
      </c>
      <c r="C3152" s="1" t="s">
        <v>303</v>
      </c>
      <c r="D3152" s="1" t="s">
        <v>250</v>
      </c>
      <c r="E3152" s="1" t="s">
        <v>81</v>
      </c>
      <c r="F3152" s="2" t="s">
        <v>1797</v>
      </c>
      <c r="G3152" s="1">
        <v>2025.36</v>
      </c>
      <c r="H3152" s="1">
        <v>6</v>
      </c>
      <c r="I3152" s="1">
        <v>607.60799999999995</v>
      </c>
    </row>
    <row r="3153" spans="1:9" x14ac:dyDescent="0.35">
      <c r="A3153" s="3" t="s">
        <v>3341</v>
      </c>
      <c r="B3153" s="1" t="s">
        <v>703</v>
      </c>
      <c r="C3153" s="1" t="s">
        <v>303</v>
      </c>
      <c r="D3153" s="1" t="s">
        <v>250</v>
      </c>
      <c r="E3153" s="1" t="s">
        <v>338</v>
      </c>
      <c r="F3153" s="2" t="s">
        <v>2490</v>
      </c>
      <c r="G3153" s="1">
        <v>1799.9939999999999</v>
      </c>
      <c r="H3153" s="1">
        <v>2</v>
      </c>
      <c r="I3153" s="1">
        <v>-2639.9911999999999</v>
      </c>
    </row>
    <row r="3154" spans="1:9" x14ac:dyDescent="0.35">
      <c r="A3154" s="3" t="s">
        <v>3341</v>
      </c>
      <c r="B3154" s="1" t="s">
        <v>703</v>
      </c>
      <c r="C3154" s="1" t="s">
        <v>303</v>
      </c>
      <c r="D3154" s="1" t="s">
        <v>250</v>
      </c>
      <c r="E3154" s="1" t="s">
        <v>33</v>
      </c>
      <c r="F3154" s="2" t="s">
        <v>2487</v>
      </c>
      <c r="G3154" s="1">
        <v>101.988</v>
      </c>
      <c r="H3154" s="1">
        <v>2</v>
      </c>
      <c r="I3154" s="1">
        <v>-16.998000000000001</v>
      </c>
    </row>
    <row r="3155" spans="1:9" x14ac:dyDescent="0.35">
      <c r="A3155" s="3" t="s">
        <v>3341</v>
      </c>
      <c r="B3155" s="1" t="s">
        <v>703</v>
      </c>
      <c r="C3155" s="1" t="s">
        <v>303</v>
      </c>
      <c r="D3155" s="1" t="s">
        <v>250</v>
      </c>
      <c r="E3155" s="1" t="s">
        <v>29</v>
      </c>
      <c r="F3155" s="2" t="s">
        <v>519</v>
      </c>
      <c r="G3155" s="1">
        <v>262.86399999999998</v>
      </c>
      <c r="H3155" s="1">
        <v>7</v>
      </c>
      <c r="I3155" s="1">
        <v>69.001800000000003</v>
      </c>
    </row>
    <row r="3156" spans="1:9" x14ac:dyDescent="0.35">
      <c r="A3156" s="3" t="s">
        <v>3342</v>
      </c>
      <c r="B3156" s="1" t="s">
        <v>1521</v>
      </c>
      <c r="C3156" s="1" t="s">
        <v>2491</v>
      </c>
      <c r="D3156" s="1" t="s">
        <v>115</v>
      </c>
      <c r="E3156" s="1" t="s">
        <v>35</v>
      </c>
      <c r="F3156" s="2" t="s">
        <v>2492</v>
      </c>
      <c r="G3156" s="1">
        <v>735.98</v>
      </c>
      <c r="H3156" s="1">
        <v>2</v>
      </c>
      <c r="I3156" s="1">
        <v>331.19099999999997</v>
      </c>
    </row>
    <row r="3157" spans="1:9" x14ac:dyDescent="0.35">
      <c r="A3157" s="3">
        <v>41706</v>
      </c>
      <c r="B3157" s="1" t="s">
        <v>2493</v>
      </c>
      <c r="C3157" s="1" t="s">
        <v>1682</v>
      </c>
      <c r="D3157" s="1" t="s">
        <v>158</v>
      </c>
      <c r="E3157" s="1" t="s">
        <v>44</v>
      </c>
      <c r="F3157" s="2" t="s">
        <v>1628</v>
      </c>
      <c r="G3157" s="1">
        <v>93.024000000000001</v>
      </c>
      <c r="H3157" s="1">
        <v>3</v>
      </c>
      <c r="I3157" s="1">
        <v>33.721200000000003</v>
      </c>
    </row>
    <row r="3158" spans="1:9" x14ac:dyDescent="0.35">
      <c r="A3158" s="3" t="s">
        <v>3343</v>
      </c>
      <c r="B3158" s="1" t="s">
        <v>2207</v>
      </c>
      <c r="C3158" s="1" t="s">
        <v>135</v>
      </c>
      <c r="D3158" s="1" t="s">
        <v>136</v>
      </c>
      <c r="E3158" s="1" t="s">
        <v>24</v>
      </c>
      <c r="F3158" s="2" t="s">
        <v>39</v>
      </c>
      <c r="G3158" s="1">
        <v>284.36399999999998</v>
      </c>
      <c r="H3158" s="1">
        <v>2</v>
      </c>
      <c r="I3158" s="1">
        <v>-75.830399999999997</v>
      </c>
    </row>
    <row r="3159" spans="1:9" x14ac:dyDescent="0.35">
      <c r="A3159" s="3" t="s">
        <v>3343</v>
      </c>
      <c r="B3159" s="1" t="s">
        <v>2207</v>
      </c>
      <c r="C3159" s="1" t="s">
        <v>135</v>
      </c>
      <c r="D3159" s="1" t="s">
        <v>136</v>
      </c>
      <c r="E3159" s="1" t="s">
        <v>81</v>
      </c>
      <c r="F3159" s="2" t="s">
        <v>412</v>
      </c>
      <c r="G3159" s="1">
        <v>26</v>
      </c>
      <c r="H3159" s="1">
        <v>2</v>
      </c>
      <c r="I3159" s="1">
        <v>11.7</v>
      </c>
    </row>
    <row r="3160" spans="1:9" x14ac:dyDescent="0.35">
      <c r="A3160" s="3" t="s">
        <v>3344</v>
      </c>
      <c r="B3160" s="1" t="s">
        <v>828</v>
      </c>
      <c r="C3160" s="1" t="s">
        <v>719</v>
      </c>
      <c r="D3160" s="1" t="s">
        <v>43</v>
      </c>
      <c r="E3160" s="1" t="s">
        <v>26</v>
      </c>
      <c r="F3160" s="2" t="s">
        <v>1742</v>
      </c>
      <c r="G3160" s="1">
        <v>67.64</v>
      </c>
      <c r="H3160" s="1">
        <v>5</v>
      </c>
      <c r="I3160" s="1">
        <v>5.9184999999999999</v>
      </c>
    </row>
    <row r="3161" spans="1:9" x14ac:dyDescent="0.35">
      <c r="A3161" s="3" t="s">
        <v>3344</v>
      </c>
      <c r="B3161" s="1" t="s">
        <v>828</v>
      </c>
      <c r="C3161" s="1" t="s">
        <v>719</v>
      </c>
      <c r="D3161" s="1" t="s">
        <v>43</v>
      </c>
      <c r="E3161" s="1" t="s">
        <v>81</v>
      </c>
      <c r="F3161" s="2" t="s">
        <v>1612</v>
      </c>
      <c r="G3161" s="1">
        <v>119.976</v>
      </c>
      <c r="H3161" s="1">
        <v>3</v>
      </c>
      <c r="I3161" s="1">
        <v>-17.996400000000001</v>
      </c>
    </row>
    <row r="3162" spans="1:9" x14ac:dyDescent="0.35">
      <c r="A3162" s="3">
        <v>41982</v>
      </c>
      <c r="B3162" s="1" t="s">
        <v>2494</v>
      </c>
      <c r="C3162" s="1" t="s">
        <v>93</v>
      </c>
      <c r="D3162" s="1" t="s">
        <v>52</v>
      </c>
      <c r="E3162" s="1" t="s">
        <v>35</v>
      </c>
      <c r="F3162" s="2" t="s">
        <v>2495</v>
      </c>
      <c r="G3162" s="1">
        <v>5.18</v>
      </c>
      <c r="H3162" s="1">
        <v>5</v>
      </c>
      <c r="I3162" s="1">
        <v>-8.0289999999999999</v>
      </c>
    </row>
    <row r="3163" spans="1:9" x14ac:dyDescent="0.35">
      <c r="A3163" s="3" t="s">
        <v>3258</v>
      </c>
      <c r="B3163" s="1" t="s">
        <v>1839</v>
      </c>
      <c r="C3163" s="1" t="s">
        <v>64</v>
      </c>
      <c r="D3163" s="1" t="s">
        <v>18</v>
      </c>
      <c r="E3163" s="1" t="s">
        <v>87</v>
      </c>
      <c r="F3163" s="2" t="s">
        <v>332</v>
      </c>
      <c r="G3163" s="1">
        <v>15.56</v>
      </c>
      <c r="H3163" s="1">
        <v>2</v>
      </c>
      <c r="I3163" s="1">
        <v>7.3132000000000001</v>
      </c>
    </row>
    <row r="3164" spans="1:9" x14ac:dyDescent="0.35">
      <c r="A3164" s="3" t="s">
        <v>3258</v>
      </c>
      <c r="B3164" s="1" t="s">
        <v>1839</v>
      </c>
      <c r="C3164" s="1" t="s">
        <v>64</v>
      </c>
      <c r="D3164" s="1" t="s">
        <v>18</v>
      </c>
      <c r="E3164" s="1" t="s">
        <v>87</v>
      </c>
      <c r="F3164" s="2" t="s">
        <v>2248</v>
      </c>
      <c r="G3164" s="1">
        <v>78.349999999999994</v>
      </c>
      <c r="H3164" s="1">
        <v>5</v>
      </c>
      <c r="I3164" s="1">
        <v>36.8245</v>
      </c>
    </row>
    <row r="3165" spans="1:9" x14ac:dyDescent="0.35">
      <c r="A3165" s="3" t="s">
        <v>3258</v>
      </c>
      <c r="B3165" s="1" t="s">
        <v>1839</v>
      </c>
      <c r="C3165" s="1" t="s">
        <v>64</v>
      </c>
      <c r="D3165" s="1" t="s">
        <v>18</v>
      </c>
      <c r="E3165" s="1" t="s">
        <v>31</v>
      </c>
      <c r="F3165" s="2" t="s">
        <v>2496</v>
      </c>
      <c r="G3165" s="1">
        <v>59.52</v>
      </c>
      <c r="H3165" s="1">
        <v>3</v>
      </c>
      <c r="I3165" s="1">
        <v>15.475199999999999</v>
      </c>
    </row>
    <row r="3166" spans="1:9" x14ac:dyDescent="0.35">
      <c r="A3166" s="3" t="s">
        <v>3258</v>
      </c>
      <c r="B3166" s="1" t="s">
        <v>1839</v>
      </c>
      <c r="C3166" s="1" t="s">
        <v>64</v>
      </c>
      <c r="D3166" s="1" t="s">
        <v>18</v>
      </c>
      <c r="E3166" s="1" t="s">
        <v>44</v>
      </c>
      <c r="F3166" s="2" t="s">
        <v>2409</v>
      </c>
      <c r="G3166" s="1">
        <v>38.520000000000003</v>
      </c>
      <c r="H3166" s="1">
        <v>9</v>
      </c>
      <c r="I3166" s="1">
        <v>17.334</v>
      </c>
    </row>
    <row r="3167" spans="1:9" x14ac:dyDescent="0.35">
      <c r="A3167" s="3" t="s">
        <v>3258</v>
      </c>
      <c r="B3167" s="1" t="s">
        <v>1839</v>
      </c>
      <c r="C3167" s="1" t="s">
        <v>64</v>
      </c>
      <c r="D3167" s="1" t="s">
        <v>18</v>
      </c>
      <c r="E3167" s="1" t="s">
        <v>33</v>
      </c>
      <c r="F3167" s="2" t="s">
        <v>2497</v>
      </c>
      <c r="G3167" s="1">
        <v>239.98400000000001</v>
      </c>
      <c r="H3167" s="1">
        <v>2</v>
      </c>
      <c r="I3167" s="1">
        <v>23.9984</v>
      </c>
    </row>
    <row r="3168" spans="1:9" x14ac:dyDescent="0.35">
      <c r="A3168" s="3" t="s">
        <v>3258</v>
      </c>
      <c r="B3168" s="1" t="s">
        <v>1839</v>
      </c>
      <c r="C3168" s="1" t="s">
        <v>64</v>
      </c>
      <c r="D3168" s="1" t="s">
        <v>18</v>
      </c>
      <c r="E3168" s="1" t="s">
        <v>44</v>
      </c>
      <c r="F3168" s="2" t="s">
        <v>2333</v>
      </c>
      <c r="G3168" s="1">
        <v>19.350000000000001</v>
      </c>
      <c r="H3168" s="1">
        <v>3</v>
      </c>
      <c r="I3168" s="1">
        <v>9.4815000000000005</v>
      </c>
    </row>
    <row r="3169" spans="1:9" x14ac:dyDescent="0.35">
      <c r="A3169" s="3" t="s">
        <v>3345</v>
      </c>
      <c r="B3169" s="1" t="s">
        <v>606</v>
      </c>
      <c r="C3169" s="1" t="s">
        <v>1433</v>
      </c>
      <c r="D3169" s="1" t="s">
        <v>120</v>
      </c>
      <c r="E3169" s="1" t="s">
        <v>29</v>
      </c>
      <c r="F3169" s="2" t="s">
        <v>532</v>
      </c>
      <c r="G3169" s="1">
        <v>67</v>
      </c>
      <c r="H3169" s="1">
        <v>5</v>
      </c>
      <c r="I3169" s="1">
        <v>32.159999999999997</v>
      </c>
    </row>
    <row r="3170" spans="1:9" x14ac:dyDescent="0.35">
      <c r="A3170" s="3" t="s">
        <v>3346</v>
      </c>
      <c r="B3170" s="1" t="s">
        <v>686</v>
      </c>
      <c r="C3170" s="1" t="s">
        <v>2267</v>
      </c>
      <c r="D3170" s="1" t="s">
        <v>23</v>
      </c>
      <c r="E3170" s="1" t="s">
        <v>14</v>
      </c>
      <c r="F3170" s="2" t="s">
        <v>2026</v>
      </c>
      <c r="G3170" s="1">
        <v>390.27199999999999</v>
      </c>
      <c r="H3170" s="1">
        <v>8</v>
      </c>
      <c r="I3170" s="1">
        <v>-24.391999999999999</v>
      </c>
    </row>
    <row r="3171" spans="1:9" x14ac:dyDescent="0.35">
      <c r="A3171" s="3" t="s">
        <v>3346</v>
      </c>
      <c r="B3171" s="1" t="s">
        <v>686</v>
      </c>
      <c r="C3171" s="1" t="s">
        <v>2267</v>
      </c>
      <c r="D3171" s="1" t="s">
        <v>23</v>
      </c>
      <c r="E3171" s="1" t="s">
        <v>44</v>
      </c>
      <c r="F3171" s="2" t="s">
        <v>826</v>
      </c>
      <c r="G3171" s="1">
        <v>62.192</v>
      </c>
      <c r="H3171" s="1">
        <v>13</v>
      </c>
      <c r="I3171" s="1">
        <v>19.434999999999999</v>
      </c>
    </row>
    <row r="3172" spans="1:9" x14ac:dyDescent="0.35">
      <c r="A3172" s="3" t="s">
        <v>3202</v>
      </c>
      <c r="B3172" s="1" t="s">
        <v>55</v>
      </c>
      <c r="C3172" s="1" t="s">
        <v>193</v>
      </c>
      <c r="D3172" s="1" t="s">
        <v>194</v>
      </c>
      <c r="E3172" s="1" t="s">
        <v>35</v>
      </c>
      <c r="F3172" s="2" t="s">
        <v>2330</v>
      </c>
      <c r="G3172" s="1">
        <v>23.88</v>
      </c>
      <c r="H3172" s="1">
        <v>6</v>
      </c>
      <c r="I3172" s="1">
        <v>11.223599999999999</v>
      </c>
    </row>
    <row r="3173" spans="1:9" x14ac:dyDescent="0.35">
      <c r="A3173" s="3" t="s">
        <v>3347</v>
      </c>
      <c r="B3173" s="1" t="s">
        <v>1605</v>
      </c>
      <c r="C3173" s="1" t="s">
        <v>154</v>
      </c>
      <c r="D3173" s="1" t="s">
        <v>106</v>
      </c>
      <c r="E3173" s="1" t="s">
        <v>35</v>
      </c>
      <c r="F3173" s="2" t="s">
        <v>1280</v>
      </c>
      <c r="G3173" s="1">
        <v>3.1680000000000001</v>
      </c>
      <c r="H3173" s="1">
        <v>2</v>
      </c>
      <c r="I3173" s="1">
        <v>-4.7519999999999998</v>
      </c>
    </row>
    <row r="3174" spans="1:9" x14ac:dyDescent="0.35">
      <c r="A3174" s="3" t="s">
        <v>3347</v>
      </c>
      <c r="B3174" s="1" t="s">
        <v>1605</v>
      </c>
      <c r="C3174" s="1" t="s">
        <v>154</v>
      </c>
      <c r="D3174" s="1" t="s">
        <v>106</v>
      </c>
      <c r="E3174" s="1" t="s">
        <v>14</v>
      </c>
      <c r="F3174" s="2" t="s">
        <v>1161</v>
      </c>
      <c r="G3174" s="1">
        <v>528.42999999999995</v>
      </c>
      <c r="H3174" s="1">
        <v>5</v>
      </c>
      <c r="I3174" s="1">
        <v>0</v>
      </c>
    </row>
    <row r="3175" spans="1:9" x14ac:dyDescent="0.35">
      <c r="A3175" s="3" t="s">
        <v>3347</v>
      </c>
      <c r="B3175" s="1" t="s">
        <v>1605</v>
      </c>
      <c r="C3175" s="1" t="s">
        <v>154</v>
      </c>
      <c r="D3175" s="1" t="s">
        <v>106</v>
      </c>
      <c r="E3175" s="1" t="s">
        <v>31</v>
      </c>
      <c r="F3175" s="2" t="s">
        <v>2083</v>
      </c>
      <c r="G3175" s="1">
        <v>13.391999999999999</v>
      </c>
      <c r="H3175" s="1">
        <v>3</v>
      </c>
      <c r="I3175" s="1">
        <v>1.5065999999999999</v>
      </c>
    </row>
    <row r="3176" spans="1:9" x14ac:dyDescent="0.35">
      <c r="A3176" s="3">
        <v>43050</v>
      </c>
      <c r="B3176" s="1" t="s">
        <v>851</v>
      </c>
      <c r="C3176" s="1" t="s">
        <v>429</v>
      </c>
      <c r="D3176" s="1" t="s">
        <v>120</v>
      </c>
      <c r="E3176" s="1" t="s">
        <v>31</v>
      </c>
      <c r="F3176" s="2" t="s">
        <v>2498</v>
      </c>
      <c r="G3176" s="1">
        <v>181.86</v>
      </c>
      <c r="H3176" s="1">
        <v>7</v>
      </c>
      <c r="I3176" s="1">
        <v>50.9208</v>
      </c>
    </row>
    <row r="3177" spans="1:9" x14ac:dyDescent="0.35">
      <c r="A3177" s="3" t="s">
        <v>3348</v>
      </c>
      <c r="B3177" s="1" t="s">
        <v>1038</v>
      </c>
      <c r="C3177" s="1" t="s">
        <v>2167</v>
      </c>
      <c r="D3177" s="1" t="s">
        <v>229</v>
      </c>
      <c r="E3177" s="1" t="s">
        <v>12</v>
      </c>
      <c r="F3177" s="2" t="s">
        <v>1350</v>
      </c>
      <c r="G3177" s="1">
        <v>180.58799999999999</v>
      </c>
      <c r="H3177" s="1">
        <v>2</v>
      </c>
      <c r="I3177" s="1">
        <v>-240.78399999999999</v>
      </c>
    </row>
    <row r="3178" spans="1:9" x14ac:dyDescent="0.35">
      <c r="A3178" s="3" t="s">
        <v>3348</v>
      </c>
      <c r="B3178" s="1" t="s">
        <v>1038</v>
      </c>
      <c r="C3178" s="1" t="s">
        <v>2167</v>
      </c>
      <c r="D3178" s="1" t="s">
        <v>229</v>
      </c>
      <c r="E3178" s="1" t="s">
        <v>81</v>
      </c>
      <c r="F3178" s="2" t="s">
        <v>1764</v>
      </c>
      <c r="G3178" s="1">
        <v>47.984000000000002</v>
      </c>
      <c r="H3178" s="1">
        <v>2</v>
      </c>
      <c r="I3178" s="1">
        <v>0.5998</v>
      </c>
    </row>
    <row r="3179" spans="1:9" x14ac:dyDescent="0.35">
      <c r="A3179" s="3">
        <v>43017</v>
      </c>
      <c r="B3179" s="1" t="s">
        <v>539</v>
      </c>
      <c r="C3179" s="1" t="s">
        <v>135</v>
      </c>
      <c r="D3179" s="1" t="s">
        <v>136</v>
      </c>
      <c r="E3179" s="1" t="s">
        <v>44</v>
      </c>
      <c r="F3179" s="2" t="s">
        <v>1590</v>
      </c>
      <c r="G3179" s="1">
        <v>18.760000000000002</v>
      </c>
      <c r="H3179" s="1">
        <v>2</v>
      </c>
      <c r="I3179" s="1">
        <v>9.0047999999999995</v>
      </c>
    </row>
    <row r="3180" spans="1:9" x14ac:dyDescent="0.35">
      <c r="A3180" s="3">
        <v>42867</v>
      </c>
      <c r="B3180" s="1" t="s">
        <v>1521</v>
      </c>
      <c r="C3180" s="1" t="s">
        <v>135</v>
      </c>
      <c r="D3180" s="1" t="s">
        <v>136</v>
      </c>
      <c r="E3180" s="1" t="s">
        <v>29</v>
      </c>
      <c r="F3180" s="2" t="s">
        <v>30</v>
      </c>
      <c r="G3180" s="1">
        <v>20.94</v>
      </c>
      <c r="H3180" s="1">
        <v>3</v>
      </c>
      <c r="I3180" s="1">
        <v>6.0726000000000004</v>
      </c>
    </row>
    <row r="3181" spans="1:9" x14ac:dyDescent="0.35">
      <c r="A3181" s="3">
        <v>42867</v>
      </c>
      <c r="B3181" s="1" t="s">
        <v>1521</v>
      </c>
      <c r="C3181" s="1" t="s">
        <v>135</v>
      </c>
      <c r="D3181" s="1" t="s">
        <v>136</v>
      </c>
      <c r="E3181" s="1" t="s">
        <v>29</v>
      </c>
      <c r="F3181" s="2" t="s">
        <v>304</v>
      </c>
      <c r="G3181" s="1">
        <v>58.68</v>
      </c>
      <c r="H3181" s="1">
        <v>2</v>
      </c>
      <c r="I3181" s="1">
        <v>18.190799999999999</v>
      </c>
    </row>
    <row r="3182" spans="1:9" x14ac:dyDescent="0.35">
      <c r="A3182" s="3">
        <v>42867</v>
      </c>
      <c r="B3182" s="1" t="s">
        <v>1521</v>
      </c>
      <c r="C3182" s="1" t="s">
        <v>135</v>
      </c>
      <c r="D3182" s="1" t="s">
        <v>136</v>
      </c>
      <c r="E3182" s="1" t="s">
        <v>37</v>
      </c>
      <c r="F3182" s="2" t="s">
        <v>855</v>
      </c>
      <c r="G3182" s="1">
        <v>254.9</v>
      </c>
      <c r="H3182" s="1">
        <v>5</v>
      </c>
      <c r="I3182" s="1">
        <v>68.822999999999993</v>
      </c>
    </row>
    <row r="3183" spans="1:9" x14ac:dyDescent="0.35">
      <c r="A3183" s="3">
        <v>42989</v>
      </c>
      <c r="B3183" s="1" t="s">
        <v>1170</v>
      </c>
      <c r="C3183" s="1" t="s">
        <v>193</v>
      </c>
      <c r="D3183" s="1" t="s">
        <v>1217</v>
      </c>
      <c r="E3183" s="1" t="s">
        <v>35</v>
      </c>
      <c r="F3183" s="2" t="s">
        <v>965</v>
      </c>
      <c r="G3183" s="1">
        <v>9.64</v>
      </c>
      <c r="H3183" s="1">
        <v>2</v>
      </c>
      <c r="I3183" s="1">
        <v>4.4344000000000001</v>
      </c>
    </row>
    <row r="3184" spans="1:9" x14ac:dyDescent="0.35">
      <c r="A3184" s="3">
        <v>42989</v>
      </c>
      <c r="B3184" s="1" t="s">
        <v>1170</v>
      </c>
      <c r="C3184" s="1" t="s">
        <v>193</v>
      </c>
      <c r="D3184" s="1" t="s">
        <v>1217</v>
      </c>
      <c r="E3184" s="1" t="s">
        <v>81</v>
      </c>
      <c r="F3184" s="2" t="s">
        <v>1240</v>
      </c>
      <c r="G3184" s="1">
        <v>826.62</v>
      </c>
      <c r="H3184" s="1">
        <v>3</v>
      </c>
      <c r="I3184" s="1">
        <v>355.44659999999999</v>
      </c>
    </row>
    <row r="3185" spans="1:9" x14ac:dyDescent="0.35">
      <c r="A3185" s="3">
        <v>42989</v>
      </c>
      <c r="B3185" s="1" t="s">
        <v>1170</v>
      </c>
      <c r="C3185" s="1" t="s">
        <v>193</v>
      </c>
      <c r="D3185" s="1" t="s">
        <v>1217</v>
      </c>
      <c r="E3185" s="1" t="s">
        <v>26</v>
      </c>
      <c r="F3185" s="2" t="s">
        <v>489</v>
      </c>
      <c r="G3185" s="1">
        <v>1633.14</v>
      </c>
      <c r="H3185" s="1">
        <v>9</v>
      </c>
      <c r="I3185" s="1">
        <v>473.61059999999998</v>
      </c>
    </row>
    <row r="3186" spans="1:9" x14ac:dyDescent="0.35">
      <c r="A3186" s="3">
        <v>42989</v>
      </c>
      <c r="B3186" s="1" t="s">
        <v>1170</v>
      </c>
      <c r="C3186" s="1" t="s">
        <v>193</v>
      </c>
      <c r="D3186" s="1" t="s">
        <v>1217</v>
      </c>
      <c r="E3186" s="1" t="s">
        <v>26</v>
      </c>
      <c r="F3186" s="2" t="s">
        <v>489</v>
      </c>
      <c r="G3186" s="1">
        <v>544.38</v>
      </c>
      <c r="H3186" s="1">
        <v>3</v>
      </c>
      <c r="I3186" s="1">
        <v>157.87020000000001</v>
      </c>
    </row>
    <row r="3187" spans="1:9" x14ac:dyDescent="0.35">
      <c r="A3187" s="3">
        <v>41831</v>
      </c>
      <c r="B3187" s="1" t="s">
        <v>2037</v>
      </c>
      <c r="C3187" s="1" t="s">
        <v>93</v>
      </c>
      <c r="D3187" s="1" t="s">
        <v>52</v>
      </c>
      <c r="E3187" s="1" t="s">
        <v>35</v>
      </c>
      <c r="F3187" s="2" t="s">
        <v>2179</v>
      </c>
      <c r="G3187" s="1">
        <v>26.045999999999999</v>
      </c>
      <c r="H3187" s="1">
        <v>3</v>
      </c>
      <c r="I3187" s="1">
        <v>-44.278199999999998</v>
      </c>
    </row>
    <row r="3188" spans="1:9" x14ac:dyDescent="0.35">
      <c r="A3188" s="3">
        <v>41831</v>
      </c>
      <c r="B3188" s="1" t="s">
        <v>2037</v>
      </c>
      <c r="C3188" s="1" t="s">
        <v>93</v>
      </c>
      <c r="D3188" s="1" t="s">
        <v>52</v>
      </c>
      <c r="E3188" s="1" t="s">
        <v>87</v>
      </c>
      <c r="F3188" s="2" t="s">
        <v>332</v>
      </c>
      <c r="G3188" s="1">
        <v>74.352000000000004</v>
      </c>
      <c r="H3188" s="1">
        <v>3</v>
      </c>
      <c r="I3188" s="1">
        <v>26.9526</v>
      </c>
    </row>
    <row r="3189" spans="1:9" x14ac:dyDescent="0.35">
      <c r="A3189" s="3">
        <v>43072</v>
      </c>
      <c r="B3189" s="1" t="s">
        <v>68</v>
      </c>
      <c r="C3189" s="1" t="s">
        <v>591</v>
      </c>
      <c r="D3189" s="1" t="s">
        <v>592</v>
      </c>
      <c r="E3189" s="1" t="s">
        <v>33</v>
      </c>
      <c r="F3189" s="2" t="s">
        <v>1451</v>
      </c>
      <c r="G3189" s="1">
        <v>69.930000000000007</v>
      </c>
      <c r="H3189" s="1">
        <v>7</v>
      </c>
      <c r="I3189" s="1">
        <v>32.1678</v>
      </c>
    </row>
    <row r="3190" spans="1:9" x14ac:dyDescent="0.35">
      <c r="A3190" s="3" t="s">
        <v>3259</v>
      </c>
      <c r="B3190" s="1" t="s">
        <v>305</v>
      </c>
      <c r="C3190" s="1" t="s">
        <v>2499</v>
      </c>
      <c r="D3190" s="1" t="s">
        <v>18</v>
      </c>
      <c r="E3190" s="1" t="s">
        <v>19</v>
      </c>
      <c r="F3190" s="2" t="s">
        <v>1947</v>
      </c>
      <c r="G3190" s="1">
        <v>3.75</v>
      </c>
      <c r="H3190" s="1">
        <v>1</v>
      </c>
      <c r="I3190" s="1">
        <v>1.8</v>
      </c>
    </row>
    <row r="3191" spans="1:9" x14ac:dyDescent="0.35">
      <c r="A3191" s="3" t="s">
        <v>3259</v>
      </c>
      <c r="B3191" s="1" t="s">
        <v>305</v>
      </c>
      <c r="C3191" s="1" t="s">
        <v>2499</v>
      </c>
      <c r="D3191" s="1" t="s">
        <v>18</v>
      </c>
      <c r="E3191" s="1" t="s">
        <v>35</v>
      </c>
      <c r="F3191" s="2" t="s">
        <v>2500</v>
      </c>
      <c r="G3191" s="1">
        <v>20.928000000000001</v>
      </c>
      <c r="H3191" s="1">
        <v>4</v>
      </c>
      <c r="I3191" s="1">
        <v>7.5864000000000003</v>
      </c>
    </row>
    <row r="3192" spans="1:9" x14ac:dyDescent="0.35">
      <c r="A3192" s="3" t="s">
        <v>3152</v>
      </c>
      <c r="B3192" s="1" t="s">
        <v>2383</v>
      </c>
      <c r="C3192" s="1" t="s">
        <v>154</v>
      </c>
      <c r="D3192" s="1" t="s">
        <v>106</v>
      </c>
      <c r="E3192" s="1" t="s">
        <v>26</v>
      </c>
      <c r="F3192" s="2" t="s">
        <v>2501</v>
      </c>
      <c r="G3192" s="1">
        <v>12.672000000000001</v>
      </c>
      <c r="H3192" s="1">
        <v>3</v>
      </c>
      <c r="I3192" s="1">
        <v>-3.1680000000000001</v>
      </c>
    </row>
    <row r="3193" spans="1:9" x14ac:dyDescent="0.35">
      <c r="A3193" s="3">
        <v>42776</v>
      </c>
      <c r="B3193" s="1" t="s">
        <v>1245</v>
      </c>
      <c r="C3193" s="1" t="s">
        <v>135</v>
      </c>
      <c r="D3193" s="1" t="s">
        <v>136</v>
      </c>
      <c r="E3193" s="1" t="s">
        <v>33</v>
      </c>
      <c r="F3193" s="2" t="s">
        <v>1368</v>
      </c>
      <c r="G3193" s="1">
        <v>65.989999999999995</v>
      </c>
      <c r="H3193" s="1">
        <v>1</v>
      </c>
      <c r="I3193" s="1">
        <v>17.157399999999999</v>
      </c>
    </row>
    <row r="3194" spans="1:9" x14ac:dyDescent="0.35">
      <c r="A3194" s="3">
        <v>42831</v>
      </c>
      <c r="B3194" s="1" t="s">
        <v>2208</v>
      </c>
      <c r="C3194" s="1" t="s">
        <v>2502</v>
      </c>
      <c r="D3194" s="1" t="s">
        <v>52</v>
      </c>
      <c r="E3194" s="1" t="s">
        <v>35</v>
      </c>
      <c r="F3194" s="2" t="s">
        <v>492</v>
      </c>
      <c r="G3194" s="1">
        <v>6.37</v>
      </c>
      <c r="H3194" s="1">
        <v>7</v>
      </c>
      <c r="I3194" s="1">
        <v>-9.5549999999999997</v>
      </c>
    </row>
    <row r="3195" spans="1:9" x14ac:dyDescent="0.35">
      <c r="A3195" s="3">
        <v>41648</v>
      </c>
      <c r="B3195" s="1" t="s">
        <v>2503</v>
      </c>
      <c r="C3195" s="1" t="s">
        <v>93</v>
      </c>
      <c r="D3195" s="1" t="s">
        <v>52</v>
      </c>
      <c r="E3195" s="1" t="s">
        <v>35</v>
      </c>
      <c r="F3195" s="2" t="s">
        <v>936</v>
      </c>
      <c r="G3195" s="1">
        <v>3.6480000000000001</v>
      </c>
      <c r="H3195" s="1">
        <v>3</v>
      </c>
      <c r="I3195" s="1">
        <v>-6.0191999999999997</v>
      </c>
    </row>
    <row r="3196" spans="1:9" x14ac:dyDescent="0.35">
      <c r="A3196" s="3">
        <v>41648</v>
      </c>
      <c r="B3196" s="1" t="s">
        <v>2503</v>
      </c>
      <c r="C3196" s="1" t="s">
        <v>93</v>
      </c>
      <c r="D3196" s="1" t="s">
        <v>52</v>
      </c>
      <c r="E3196" s="1" t="s">
        <v>44</v>
      </c>
      <c r="F3196" s="2" t="s">
        <v>507</v>
      </c>
      <c r="G3196" s="1">
        <v>31.103999999999999</v>
      </c>
      <c r="H3196" s="1">
        <v>6</v>
      </c>
      <c r="I3196" s="1">
        <v>10.8864</v>
      </c>
    </row>
    <row r="3197" spans="1:9" x14ac:dyDescent="0.35">
      <c r="A3197" s="3">
        <v>42590</v>
      </c>
      <c r="B3197" s="1" t="s">
        <v>1701</v>
      </c>
      <c r="C3197" s="1" t="s">
        <v>167</v>
      </c>
      <c r="D3197" s="1" t="s">
        <v>704</v>
      </c>
      <c r="E3197" s="1" t="s">
        <v>137</v>
      </c>
      <c r="F3197" s="2" t="s">
        <v>2504</v>
      </c>
      <c r="G3197" s="1">
        <v>23.34</v>
      </c>
      <c r="H3197" s="1">
        <v>3</v>
      </c>
      <c r="I3197" s="1">
        <v>0.2334</v>
      </c>
    </row>
    <row r="3198" spans="1:9" x14ac:dyDescent="0.35">
      <c r="A3198" s="3" t="s">
        <v>3349</v>
      </c>
      <c r="B3198" s="1" t="s">
        <v>389</v>
      </c>
      <c r="C3198" s="1" t="s">
        <v>135</v>
      </c>
      <c r="D3198" s="1" t="s">
        <v>136</v>
      </c>
      <c r="E3198" s="1" t="s">
        <v>33</v>
      </c>
      <c r="F3198" s="2" t="s">
        <v>587</v>
      </c>
      <c r="G3198" s="1">
        <v>29.97</v>
      </c>
      <c r="H3198" s="1">
        <v>3</v>
      </c>
      <c r="I3198" s="1">
        <v>14.085900000000001</v>
      </c>
    </row>
    <row r="3199" spans="1:9" x14ac:dyDescent="0.35">
      <c r="A3199" s="3">
        <v>42284</v>
      </c>
      <c r="B3199" s="1" t="s">
        <v>79</v>
      </c>
      <c r="C3199" s="1" t="s">
        <v>1730</v>
      </c>
      <c r="D3199" s="1" t="s">
        <v>158</v>
      </c>
      <c r="E3199" s="1" t="s">
        <v>35</v>
      </c>
      <c r="F3199" s="2" t="s">
        <v>2303</v>
      </c>
      <c r="G3199" s="1">
        <v>3.3660000000000001</v>
      </c>
      <c r="H3199" s="1">
        <v>3</v>
      </c>
      <c r="I3199" s="1">
        <v>-2.2440000000000002</v>
      </c>
    </row>
    <row r="3200" spans="1:9" x14ac:dyDescent="0.35">
      <c r="A3200" s="3">
        <v>41651</v>
      </c>
      <c r="B3200" s="1" t="s">
        <v>1805</v>
      </c>
      <c r="C3200" s="1" t="s">
        <v>719</v>
      </c>
      <c r="D3200" s="1" t="s">
        <v>43</v>
      </c>
      <c r="E3200" s="1" t="s">
        <v>33</v>
      </c>
      <c r="F3200" s="2" t="s">
        <v>2505</v>
      </c>
      <c r="G3200" s="1">
        <v>95.968000000000004</v>
      </c>
      <c r="H3200" s="1">
        <v>4</v>
      </c>
      <c r="I3200" s="1">
        <v>9.5968</v>
      </c>
    </row>
    <row r="3201" spans="1:9" x14ac:dyDescent="0.35">
      <c r="A3201" s="3" t="s">
        <v>3291</v>
      </c>
      <c r="B3201" s="1" t="s">
        <v>2506</v>
      </c>
      <c r="C3201" s="1" t="s">
        <v>74</v>
      </c>
      <c r="D3201" s="1" t="s">
        <v>75</v>
      </c>
      <c r="E3201" s="1" t="s">
        <v>31</v>
      </c>
      <c r="F3201" s="2" t="s">
        <v>2338</v>
      </c>
      <c r="G3201" s="1">
        <v>18.704000000000001</v>
      </c>
      <c r="H3201" s="1">
        <v>7</v>
      </c>
      <c r="I3201" s="1">
        <v>2.3380000000000001</v>
      </c>
    </row>
    <row r="3202" spans="1:9" x14ac:dyDescent="0.35">
      <c r="A3202" s="3" t="s">
        <v>3350</v>
      </c>
      <c r="B3202" s="1" t="s">
        <v>325</v>
      </c>
      <c r="C3202" s="1" t="s">
        <v>392</v>
      </c>
      <c r="D3202" s="1" t="s">
        <v>250</v>
      </c>
      <c r="E3202" s="1" t="s">
        <v>29</v>
      </c>
      <c r="F3202" s="2" t="s">
        <v>2145</v>
      </c>
      <c r="G3202" s="1">
        <v>149.232</v>
      </c>
      <c r="H3202" s="1">
        <v>3</v>
      </c>
      <c r="I3202" s="1">
        <v>3.7307999999999999</v>
      </c>
    </row>
    <row r="3203" spans="1:9" x14ac:dyDescent="0.35">
      <c r="A3203" s="3" t="s">
        <v>3350</v>
      </c>
      <c r="B3203" s="1" t="s">
        <v>325</v>
      </c>
      <c r="C3203" s="1" t="s">
        <v>392</v>
      </c>
      <c r="D3203" s="1" t="s">
        <v>250</v>
      </c>
      <c r="E3203" s="1" t="s">
        <v>44</v>
      </c>
      <c r="F3203" s="2" t="s">
        <v>1769</v>
      </c>
      <c r="G3203" s="1">
        <v>15.936</v>
      </c>
      <c r="H3203" s="1">
        <v>4</v>
      </c>
      <c r="I3203" s="1">
        <v>5.7767999999999997</v>
      </c>
    </row>
    <row r="3204" spans="1:9" x14ac:dyDescent="0.35">
      <c r="A3204" s="3">
        <v>41923</v>
      </c>
      <c r="B3204" s="1" t="s">
        <v>329</v>
      </c>
      <c r="C3204" s="1" t="s">
        <v>461</v>
      </c>
      <c r="D3204" s="1" t="s">
        <v>18</v>
      </c>
      <c r="E3204" s="1" t="s">
        <v>33</v>
      </c>
      <c r="F3204" s="2" t="s">
        <v>957</v>
      </c>
      <c r="G3204" s="1">
        <v>601.53599999999994</v>
      </c>
      <c r="H3204" s="1">
        <v>8</v>
      </c>
      <c r="I3204" s="1">
        <v>60.153599999999997</v>
      </c>
    </row>
    <row r="3205" spans="1:9" x14ac:dyDescent="0.35">
      <c r="A3205" s="3">
        <v>41923</v>
      </c>
      <c r="B3205" s="1" t="s">
        <v>329</v>
      </c>
      <c r="C3205" s="1" t="s">
        <v>461</v>
      </c>
      <c r="D3205" s="1" t="s">
        <v>18</v>
      </c>
      <c r="E3205" s="1" t="s">
        <v>81</v>
      </c>
      <c r="F3205" s="2" t="s">
        <v>1536</v>
      </c>
      <c r="G3205" s="1">
        <v>10.99</v>
      </c>
      <c r="H3205" s="1">
        <v>1</v>
      </c>
      <c r="I3205" s="1">
        <v>4.2861000000000002</v>
      </c>
    </row>
    <row r="3206" spans="1:9" x14ac:dyDescent="0.35">
      <c r="A3206" s="3">
        <v>41923</v>
      </c>
      <c r="B3206" s="1" t="s">
        <v>329</v>
      </c>
      <c r="C3206" s="1" t="s">
        <v>461</v>
      </c>
      <c r="D3206" s="1" t="s">
        <v>18</v>
      </c>
      <c r="E3206" s="1" t="s">
        <v>29</v>
      </c>
      <c r="F3206" s="2" t="s">
        <v>152</v>
      </c>
      <c r="G3206" s="1">
        <v>39.880000000000003</v>
      </c>
      <c r="H3206" s="1">
        <v>2</v>
      </c>
      <c r="I3206" s="1">
        <v>11.166399999999999</v>
      </c>
    </row>
    <row r="3207" spans="1:9" x14ac:dyDescent="0.35">
      <c r="A3207" s="3">
        <v>41923</v>
      </c>
      <c r="B3207" s="1" t="s">
        <v>329</v>
      </c>
      <c r="C3207" s="1" t="s">
        <v>461</v>
      </c>
      <c r="D3207" s="1" t="s">
        <v>18</v>
      </c>
      <c r="E3207" s="1" t="s">
        <v>44</v>
      </c>
      <c r="F3207" s="2" t="s">
        <v>1002</v>
      </c>
      <c r="G3207" s="1">
        <v>62.24</v>
      </c>
      <c r="H3207" s="1">
        <v>8</v>
      </c>
      <c r="I3207" s="1">
        <v>28.007999999999999</v>
      </c>
    </row>
    <row r="3208" spans="1:9" x14ac:dyDescent="0.35">
      <c r="A3208" s="3">
        <v>41923</v>
      </c>
      <c r="B3208" s="1" t="s">
        <v>329</v>
      </c>
      <c r="C3208" s="1" t="s">
        <v>461</v>
      </c>
      <c r="D3208" s="1" t="s">
        <v>18</v>
      </c>
      <c r="E3208" s="1" t="s">
        <v>29</v>
      </c>
      <c r="F3208" s="2" t="s">
        <v>1487</v>
      </c>
      <c r="G3208" s="1">
        <v>53.2</v>
      </c>
      <c r="H3208" s="1">
        <v>5</v>
      </c>
      <c r="I3208" s="1">
        <v>14.896000000000001</v>
      </c>
    </row>
    <row r="3209" spans="1:9" x14ac:dyDescent="0.35">
      <c r="A3209" s="3">
        <v>41923</v>
      </c>
      <c r="B3209" s="1" t="s">
        <v>329</v>
      </c>
      <c r="C3209" s="1" t="s">
        <v>461</v>
      </c>
      <c r="D3209" s="1" t="s">
        <v>18</v>
      </c>
      <c r="E3209" s="1" t="s">
        <v>19</v>
      </c>
      <c r="F3209" s="2" t="s">
        <v>2507</v>
      </c>
      <c r="G3209" s="1">
        <v>39.840000000000003</v>
      </c>
      <c r="H3209" s="1">
        <v>8</v>
      </c>
      <c r="I3209" s="1">
        <v>18.3264</v>
      </c>
    </row>
    <row r="3210" spans="1:9" x14ac:dyDescent="0.35">
      <c r="A3210" s="3">
        <v>42614</v>
      </c>
      <c r="B3210" s="1" t="s">
        <v>637</v>
      </c>
      <c r="C3210" s="1" t="s">
        <v>1510</v>
      </c>
      <c r="D3210" s="1" t="s">
        <v>18</v>
      </c>
      <c r="E3210" s="1" t="s">
        <v>81</v>
      </c>
      <c r="F3210" s="2" t="s">
        <v>2508</v>
      </c>
      <c r="G3210" s="1">
        <v>349.95</v>
      </c>
      <c r="H3210" s="1">
        <v>5</v>
      </c>
      <c r="I3210" s="1">
        <v>118.983</v>
      </c>
    </row>
    <row r="3211" spans="1:9" x14ac:dyDescent="0.35">
      <c r="A3211" s="3">
        <v>42614</v>
      </c>
      <c r="B3211" s="1" t="s">
        <v>637</v>
      </c>
      <c r="C3211" s="1" t="s">
        <v>1510</v>
      </c>
      <c r="D3211" s="1" t="s">
        <v>18</v>
      </c>
      <c r="E3211" s="1" t="s">
        <v>33</v>
      </c>
      <c r="F3211" s="2" t="s">
        <v>160</v>
      </c>
      <c r="G3211" s="1">
        <v>377.928</v>
      </c>
      <c r="H3211" s="1">
        <v>9</v>
      </c>
      <c r="I3211" s="1">
        <v>141.72300000000001</v>
      </c>
    </row>
    <row r="3212" spans="1:9" x14ac:dyDescent="0.35">
      <c r="A3212" s="3" t="s">
        <v>3351</v>
      </c>
      <c r="B3212" s="1" t="s">
        <v>292</v>
      </c>
      <c r="C3212" s="1" t="s">
        <v>2509</v>
      </c>
      <c r="D3212" s="1" t="s">
        <v>52</v>
      </c>
      <c r="E3212" s="1" t="s">
        <v>87</v>
      </c>
      <c r="F3212" s="2" t="s">
        <v>332</v>
      </c>
      <c r="G3212" s="1">
        <v>13.391999999999999</v>
      </c>
      <c r="H3212" s="1">
        <v>3</v>
      </c>
      <c r="I3212" s="1">
        <v>5.0220000000000002</v>
      </c>
    </row>
    <row r="3213" spans="1:9" x14ac:dyDescent="0.35">
      <c r="A3213" s="3" t="s">
        <v>3351</v>
      </c>
      <c r="B3213" s="1" t="s">
        <v>292</v>
      </c>
      <c r="C3213" s="1" t="s">
        <v>2509</v>
      </c>
      <c r="D3213" s="1" t="s">
        <v>52</v>
      </c>
      <c r="E3213" s="1" t="s">
        <v>35</v>
      </c>
      <c r="F3213" s="2" t="s">
        <v>720</v>
      </c>
      <c r="G3213" s="1">
        <v>11.228</v>
      </c>
      <c r="H3213" s="1">
        <v>7</v>
      </c>
      <c r="I3213" s="1">
        <v>-18.526199999999999</v>
      </c>
    </row>
    <row r="3214" spans="1:9" x14ac:dyDescent="0.35">
      <c r="A3214" s="3" t="s">
        <v>3352</v>
      </c>
      <c r="B3214" s="1" t="s">
        <v>894</v>
      </c>
      <c r="C3214" s="1" t="s">
        <v>693</v>
      </c>
      <c r="D3214" s="1" t="s">
        <v>129</v>
      </c>
      <c r="E3214" s="1" t="s">
        <v>37</v>
      </c>
      <c r="F3214" s="2" t="s">
        <v>978</v>
      </c>
      <c r="G3214" s="1">
        <v>207.24</v>
      </c>
      <c r="H3214" s="1">
        <v>11</v>
      </c>
      <c r="I3214" s="1">
        <v>58.027200000000001</v>
      </c>
    </row>
    <row r="3215" spans="1:9" x14ac:dyDescent="0.35">
      <c r="A3215" s="3" t="s">
        <v>3353</v>
      </c>
      <c r="B3215" s="1" t="s">
        <v>990</v>
      </c>
      <c r="C3215" s="1" t="s">
        <v>74</v>
      </c>
      <c r="D3215" s="1" t="s">
        <v>75</v>
      </c>
      <c r="E3215" s="1" t="s">
        <v>31</v>
      </c>
      <c r="F3215" s="2" t="s">
        <v>1467</v>
      </c>
      <c r="G3215" s="1">
        <v>1.504</v>
      </c>
      <c r="H3215" s="1">
        <v>1</v>
      </c>
      <c r="I3215" s="1">
        <v>0.16919999999999999</v>
      </c>
    </row>
    <row r="3216" spans="1:9" x14ac:dyDescent="0.35">
      <c r="A3216" s="3" t="s">
        <v>3353</v>
      </c>
      <c r="B3216" s="1" t="s">
        <v>990</v>
      </c>
      <c r="C3216" s="1" t="s">
        <v>74</v>
      </c>
      <c r="D3216" s="1" t="s">
        <v>75</v>
      </c>
      <c r="E3216" s="1" t="s">
        <v>37</v>
      </c>
      <c r="F3216" s="2" t="s">
        <v>1857</v>
      </c>
      <c r="G3216" s="1">
        <v>34.847999999999999</v>
      </c>
      <c r="H3216" s="1">
        <v>2</v>
      </c>
      <c r="I3216" s="1">
        <v>6.5339999999999998</v>
      </c>
    </row>
    <row r="3217" spans="1:9" x14ac:dyDescent="0.35">
      <c r="A3217" s="3">
        <v>42954</v>
      </c>
      <c r="B3217" s="1" t="s">
        <v>1318</v>
      </c>
      <c r="C3217" s="1" t="s">
        <v>2510</v>
      </c>
      <c r="D3217" s="1" t="s">
        <v>18</v>
      </c>
      <c r="E3217" s="1" t="s">
        <v>19</v>
      </c>
      <c r="F3217" s="2" t="s">
        <v>131</v>
      </c>
      <c r="G3217" s="1">
        <v>75.180000000000007</v>
      </c>
      <c r="H3217" s="1">
        <v>6</v>
      </c>
      <c r="I3217" s="1">
        <v>35.334600000000002</v>
      </c>
    </row>
    <row r="3218" spans="1:9" x14ac:dyDescent="0.35">
      <c r="A3218" s="3" t="s">
        <v>3146</v>
      </c>
      <c r="B3218" s="1" t="s">
        <v>1016</v>
      </c>
      <c r="C3218" s="1" t="s">
        <v>1391</v>
      </c>
      <c r="D3218" s="1" t="s">
        <v>18</v>
      </c>
      <c r="E3218" s="1" t="s">
        <v>81</v>
      </c>
      <c r="F3218" s="2" t="s">
        <v>2033</v>
      </c>
      <c r="G3218" s="1">
        <v>149.97</v>
      </c>
      <c r="H3218" s="1">
        <v>3</v>
      </c>
      <c r="I3218" s="1">
        <v>52.4895</v>
      </c>
    </row>
    <row r="3219" spans="1:9" x14ac:dyDescent="0.35">
      <c r="A3219" s="3">
        <v>43019</v>
      </c>
      <c r="B3219" s="1" t="s">
        <v>1426</v>
      </c>
      <c r="C3219" s="1" t="s">
        <v>135</v>
      </c>
      <c r="D3219" s="1" t="s">
        <v>136</v>
      </c>
      <c r="E3219" s="1" t="s">
        <v>35</v>
      </c>
      <c r="F3219" s="2" t="s">
        <v>1307</v>
      </c>
      <c r="G3219" s="1">
        <v>931.17600000000004</v>
      </c>
      <c r="H3219" s="1">
        <v>3</v>
      </c>
      <c r="I3219" s="1">
        <v>314.27190000000002</v>
      </c>
    </row>
    <row r="3220" spans="1:9" x14ac:dyDescent="0.35">
      <c r="A3220" s="3">
        <v>43019</v>
      </c>
      <c r="B3220" s="1" t="s">
        <v>1426</v>
      </c>
      <c r="C3220" s="1" t="s">
        <v>135</v>
      </c>
      <c r="D3220" s="1" t="s">
        <v>136</v>
      </c>
      <c r="E3220" s="1" t="s">
        <v>33</v>
      </c>
      <c r="F3220" s="2" t="s">
        <v>2483</v>
      </c>
      <c r="G3220" s="1">
        <v>430.88</v>
      </c>
      <c r="H3220" s="1">
        <v>2</v>
      </c>
      <c r="I3220" s="1">
        <v>124.9552</v>
      </c>
    </row>
    <row r="3221" spans="1:9" x14ac:dyDescent="0.35">
      <c r="A3221" s="3">
        <v>42045</v>
      </c>
      <c r="B3221" s="1" t="s">
        <v>2485</v>
      </c>
      <c r="C3221" s="1" t="s">
        <v>536</v>
      </c>
      <c r="D3221" s="1" t="s">
        <v>388</v>
      </c>
      <c r="E3221" s="1" t="s">
        <v>44</v>
      </c>
      <c r="F3221" s="2" t="s">
        <v>2041</v>
      </c>
      <c r="G3221" s="1">
        <v>94.85</v>
      </c>
      <c r="H3221" s="1">
        <v>5</v>
      </c>
      <c r="I3221" s="1">
        <v>45.527999999999999</v>
      </c>
    </row>
    <row r="3222" spans="1:9" x14ac:dyDescent="0.35">
      <c r="A3222" s="3">
        <v>42045</v>
      </c>
      <c r="B3222" s="1" t="s">
        <v>2485</v>
      </c>
      <c r="C3222" s="1" t="s">
        <v>536</v>
      </c>
      <c r="D3222" s="1" t="s">
        <v>388</v>
      </c>
      <c r="E3222" s="1" t="s">
        <v>87</v>
      </c>
      <c r="F3222" s="2" t="s">
        <v>264</v>
      </c>
      <c r="G3222" s="1">
        <v>51.12</v>
      </c>
      <c r="H3222" s="1">
        <v>4</v>
      </c>
      <c r="I3222" s="1">
        <v>23.004000000000001</v>
      </c>
    </row>
    <row r="3223" spans="1:9" x14ac:dyDescent="0.35">
      <c r="A3223" s="3">
        <v>42045</v>
      </c>
      <c r="B3223" s="1" t="s">
        <v>2485</v>
      </c>
      <c r="C3223" s="1" t="s">
        <v>536</v>
      </c>
      <c r="D3223" s="1" t="s">
        <v>388</v>
      </c>
      <c r="E3223" s="1" t="s">
        <v>81</v>
      </c>
      <c r="F3223" s="2" t="s">
        <v>557</v>
      </c>
      <c r="G3223" s="1">
        <v>90</v>
      </c>
      <c r="H3223" s="1">
        <v>1</v>
      </c>
      <c r="I3223" s="1">
        <v>32.4</v>
      </c>
    </row>
    <row r="3224" spans="1:9" x14ac:dyDescent="0.35">
      <c r="A3224" s="3">
        <v>41680</v>
      </c>
      <c r="B3224" s="1" t="s">
        <v>110</v>
      </c>
      <c r="C3224" s="1" t="s">
        <v>1730</v>
      </c>
      <c r="D3224" s="1" t="s">
        <v>158</v>
      </c>
      <c r="E3224" s="1" t="s">
        <v>44</v>
      </c>
      <c r="F3224" s="2" t="s">
        <v>1706</v>
      </c>
      <c r="G3224" s="1">
        <v>9.4079999999999995</v>
      </c>
      <c r="H3224" s="1">
        <v>2</v>
      </c>
      <c r="I3224" s="1">
        <v>3.4104000000000001</v>
      </c>
    </row>
    <row r="3225" spans="1:9" x14ac:dyDescent="0.35">
      <c r="A3225" s="3">
        <v>41680</v>
      </c>
      <c r="B3225" s="1" t="s">
        <v>110</v>
      </c>
      <c r="C3225" s="1" t="s">
        <v>1730</v>
      </c>
      <c r="D3225" s="1" t="s">
        <v>158</v>
      </c>
      <c r="E3225" s="1" t="s">
        <v>137</v>
      </c>
      <c r="F3225" s="2" t="s">
        <v>281</v>
      </c>
      <c r="G3225" s="1">
        <v>4.6719999999999997</v>
      </c>
      <c r="H3225" s="1">
        <v>2</v>
      </c>
      <c r="I3225" s="1">
        <v>1.46</v>
      </c>
    </row>
    <row r="3226" spans="1:9" x14ac:dyDescent="0.35">
      <c r="A3226" s="3">
        <v>41680</v>
      </c>
      <c r="B3226" s="1" t="s">
        <v>110</v>
      </c>
      <c r="C3226" s="1" t="s">
        <v>1730</v>
      </c>
      <c r="D3226" s="1" t="s">
        <v>158</v>
      </c>
      <c r="E3226" s="1" t="s">
        <v>33</v>
      </c>
      <c r="F3226" s="2" t="s">
        <v>503</v>
      </c>
      <c r="G3226" s="1">
        <v>318.39999999999998</v>
      </c>
      <c r="H3226" s="1">
        <v>2</v>
      </c>
      <c r="I3226" s="1">
        <v>107.46</v>
      </c>
    </row>
    <row r="3227" spans="1:9" x14ac:dyDescent="0.35">
      <c r="A3227" s="3">
        <v>41680</v>
      </c>
      <c r="B3227" s="1" t="s">
        <v>110</v>
      </c>
      <c r="C3227" s="1" t="s">
        <v>1730</v>
      </c>
      <c r="D3227" s="1" t="s">
        <v>158</v>
      </c>
      <c r="E3227" s="1" t="s">
        <v>87</v>
      </c>
      <c r="F3227" s="2" t="s">
        <v>2511</v>
      </c>
      <c r="G3227" s="1">
        <v>12.768000000000001</v>
      </c>
      <c r="H3227" s="1">
        <v>6</v>
      </c>
      <c r="I3227" s="1">
        <v>4.6284000000000001</v>
      </c>
    </row>
    <row r="3228" spans="1:9" x14ac:dyDescent="0.35">
      <c r="A3228" s="3">
        <v>41680</v>
      </c>
      <c r="B3228" s="1" t="s">
        <v>110</v>
      </c>
      <c r="C3228" s="1" t="s">
        <v>1730</v>
      </c>
      <c r="D3228" s="1" t="s">
        <v>158</v>
      </c>
      <c r="E3228" s="1" t="s">
        <v>289</v>
      </c>
      <c r="F3228" s="2" t="s">
        <v>2512</v>
      </c>
      <c r="G3228" s="1">
        <v>15.36</v>
      </c>
      <c r="H3228" s="1">
        <v>2</v>
      </c>
      <c r="I3228" s="1">
        <v>-3.2639999999999998</v>
      </c>
    </row>
    <row r="3229" spans="1:9" x14ac:dyDescent="0.35">
      <c r="A3229" s="3">
        <v>41680</v>
      </c>
      <c r="B3229" s="1" t="s">
        <v>110</v>
      </c>
      <c r="C3229" s="1" t="s">
        <v>1730</v>
      </c>
      <c r="D3229" s="1" t="s">
        <v>158</v>
      </c>
      <c r="E3229" s="1" t="s">
        <v>33</v>
      </c>
      <c r="F3229" s="2" t="s">
        <v>1162</v>
      </c>
      <c r="G3229" s="1">
        <v>230.376</v>
      </c>
      <c r="H3229" s="1">
        <v>3</v>
      </c>
      <c r="I3229" s="1">
        <v>20.157900000000001</v>
      </c>
    </row>
    <row r="3230" spans="1:9" x14ac:dyDescent="0.35">
      <c r="A3230" s="3">
        <v>41680</v>
      </c>
      <c r="B3230" s="1" t="s">
        <v>110</v>
      </c>
      <c r="C3230" s="1" t="s">
        <v>1730</v>
      </c>
      <c r="D3230" s="1" t="s">
        <v>158</v>
      </c>
      <c r="E3230" s="1" t="s">
        <v>81</v>
      </c>
      <c r="F3230" s="2" t="s">
        <v>1760</v>
      </c>
      <c r="G3230" s="1">
        <v>7.16</v>
      </c>
      <c r="H3230" s="1">
        <v>1</v>
      </c>
      <c r="I3230" s="1">
        <v>-8.9499999999999996E-2</v>
      </c>
    </row>
    <row r="3231" spans="1:9" x14ac:dyDescent="0.35">
      <c r="A3231" s="3">
        <v>41951</v>
      </c>
      <c r="B3231" s="1" t="s">
        <v>446</v>
      </c>
      <c r="C3231" s="1" t="s">
        <v>135</v>
      </c>
      <c r="D3231" s="1" t="s">
        <v>136</v>
      </c>
      <c r="E3231" s="1" t="s">
        <v>26</v>
      </c>
      <c r="F3231" s="2" t="s">
        <v>827</v>
      </c>
      <c r="G3231" s="1">
        <v>375.34</v>
      </c>
      <c r="H3231" s="1">
        <v>1</v>
      </c>
      <c r="I3231" s="1">
        <v>18.766999999999999</v>
      </c>
    </row>
    <row r="3232" spans="1:9" x14ac:dyDescent="0.35">
      <c r="A3232" s="3">
        <v>42744</v>
      </c>
      <c r="B3232" s="1" t="s">
        <v>819</v>
      </c>
      <c r="C3232" s="1" t="s">
        <v>135</v>
      </c>
      <c r="D3232" s="1" t="s">
        <v>136</v>
      </c>
      <c r="E3232" s="1" t="s">
        <v>29</v>
      </c>
      <c r="F3232" s="2" t="s">
        <v>1565</v>
      </c>
      <c r="G3232" s="1">
        <v>114.9</v>
      </c>
      <c r="H3232" s="1">
        <v>5</v>
      </c>
      <c r="I3232" s="1">
        <v>39.066000000000003</v>
      </c>
    </row>
    <row r="3233" spans="1:9" x14ac:dyDescent="0.35">
      <c r="A3233" s="3" t="s">
        <v>3192</v>
      </c>
      <c r="B3233" s="1" t="s">
        <v>1602</v>
      </c>
      <c r="C3233" s="1" t="s">
        <v>93</v>
      </c>
      <c r="D3233" s="1" t="s">
        <v>52</v>
      </c>
      <c r="E3233" s="1" t="s">
        <v>35</v>
      </c>
      <c r="F3233" s="2" t="s">
        <v>2179</v>
      </c>
      <c r="G3233" s="1">
        <v>26.045999999999999</v>
      </c>
      <c r="H3233" s="1">
        <v>3</v>
      </c>
      <c r="I3233" s="1">
        <v>-44.278199999999998</v>
      </c>
    </row>
    <row r="3234" spans="1:9" x14ac:dyDescent="0.35">
      <c r="A3234" s="3" t="s">
        <v>3192</v>
      </c>
      <c r="B3234" s="1" t="s">
        <v>1602</v>
      </c>
      <c r="C3234" s="1" t="s">
        <v>93</v>
      </c>
      <c r="D3234" s="1" t="s">
        <v>52</v>
      </c>
      <c r="E3234" s="1" t="s">
        <v>35</v>
      </c>
      <c r="F3234" s="2" t="s">
        <v>889</v>
      </c>
      <c r="G3234" s="1">
        <v>2.8959999999999999</v>
      </c>
      <c r="H3234" s="1">
        <v>1</v>
      </c>
      <c r="I3234" s="1">
        <v>-4.7784000000000004</v>
      </c>
    </row>
    <row r="3235" spans="1:9" x14ac:dyDescent="0.35">
      <c r="A3235" s="3" t="s">
        <v>3192</v>
      </c>
      <c r="B3235" s="1" t="s">
        <v>1602</v>
      </c>
      <c r="C3235" s="1" t="s">
        <v>93</v>
      </c>
      <c r="D3235" s="1" t="s">
        <v>52</v>
      </c>
      <c r="E3235" s="1" t="s">
        <v>26</v>
      </c>
      <c r="F3235" s="2" t="s">
        <v>2513</v>
      </c>
      <c r="G3235" s="1">
        <v>32.543999999999997</v>
      </c>
      <c r="H3235" s="1">
        <v>2</v>
      </c>
      <c r="I3235" s="1">
        <v>-7.7291999999999996</v>
      </c>
    </row>
    <row r="3236" spans="1:9" x14ac:dyDescent="0.35">
      <c r="A3236" s="3" t="s">
        <v>3354</v>
      </c>
      <c r="B3236" s="1" t="s">
        <v>2503</v>
      </c>
      <c r="C3236" s="1" t="s">
        <v>1263</v>
      </c>
      <c r="D3236" s="1" t="s">
        <v>18</v>
      </c>
      <c r="E3236" s="1" t="s">
        <v>35</v>
      </c>
      <c r="F3236" s="2" t="s">
        <v>1045</v>
      </c>
      <c r="G3236" s="1">
        <v>3.984</v>
      </c>
      <c r="H3236" s="1">
        <v>1</v>
      </c>
      <c r="I3236" s="1">
        <v>1.3944000000000001</v>
      </c>
    </row>
    <row r="3237" spans="1:9" x14ac:dyDescent="0.35">
      <c r="A3237" s="3" t="s">
        <v>3286</v>
      </c>
      <c r="B3237" s="1" t="s">
        <v>475</v>
      </c>
      <c r="C3237" s="1" t="s">
        <v>367</v>
      </c>
      <c r="D3237" s="1" t="s">
        <v>368</v>
      </c>
      <c r="E3237" s="1" t="s">
        <v>24</v>
      </c>
      <c r="F3237" s="2" t="s">
        <v>505</v>
      </c>
      <c r="G3237" s="1">
        <v>181.797</v>
      </c>
      <c r="H3237" s="1">
        <v>1</v>
      </c>
      <c r="I3237" s="1">
        <v>-15.582599999999999</v>
      </c>
    </row>
    <row r="3238" spans="1:9" x14ac:dyDescent="0.35">
      <c r="A3238" s="3">
        <v>42405</v>
      </c>
      <c r="B3238" s="1" t="s">
        <v>2514</v>
      </c>
      <c r="C3238" s="1" t="s">
        <v>135</v>
      </c>
      <c r="D3238" s="1" t="s">
        <v>136</v>
      </c>
      <c r="E3238" s="1" t="s">
        <v>26</v>
      </c>
      <c r="F3238" s="2" t="s">
        <v>668</v>
      </c>
      <c r="G3238" s="1">
        <v>44.94</v>
      </c>
      <c r="H3238" s="1">
        <v>3</v>
      </c>
      <c r="I3238" s="1">
        <v>12.5832</v>
      </c>
    </row>
    <row r="3239" spans="1:9" x14ac:dyDescent="0.35">
      <c r="A3239" s="3">
        <v>42405</v>
      </c>
      <c r="B3239" s="1" t="s">
        <v>2514</v>
      </c>
      <c r="C3239" s="1" t="s">
        <v>135</v>
      </c>
      <c r="D3239" s="1" t="s">
        <v>136</v>
      </c>
      <c r="E3239" s="1" t="s">
        <v>35</v>
      </c>
      <c r="F3239" s="2" t="s">
        <v>752</v>
      </c>
      <c r="G3239" s="1">
        <v>45.576000000000001</v>
      </c>
      <c r="H3239" s="1">
        <v>3</v>
      </c>
      <c r="I3239" s="1">
        <v>15.951599999999999</v>
      </c>
    </row>
    <row r="3240" spans="1:9" x14ac:dyDescent="0.35">
      <c r="A3240" s="3" t="s">
        <v>3355</v>
      </c>
      <c r="B3240" s="1" t="s">
        <v>2515</v>
      </c>
      <c r="C3240" s="1" t="s">
        <v>93</v>
      </c>
      <c r="D3240" s="1" t="s">
        <v>52</v>
      </c>
      <c r="E3240" s="1" t="s">
        <v>14</v>
      </c>
      <c r="F3240" s="2" t="s">
        <v>1997</v>
      </c>
      <c r="G3240" s="1">
        <v>318.43</v>
      </c>
      <c r="H3240" s="1">
        <v>5</v>
      </c>
      <c r="I3240" s="1">
        <v>-77.332999999999998</v>
      </c>
    </row>
    <row r="3241" spans="1:9" x14ac:dyDescent="0.35">
      <c r="A3241" s="3" t="s">
        <v>3355</v>
      </c>
      <c r="B3241" s="1" t="s">
        <v>2515</v>
      </c>
      <c r="C3241" s="1" t="s">
        <v>93</v>
      </c>
      <c r="D3241" s="1" t="s">
        <v>52</v>
      </c>
      <c r="E3241" s="1" t="s">
        <v>33</v>
      </c>
      <c r="F3241" s="2" t="s">
        <v>2516</v>
      </c>
      <c r="G3241" s="1">
        <v>122.92</v>
      </c>
      <c r="H3241" s="1">
        <v>7</v>
      </c>
      <c r="I3241" s="1">
        <v>46.094999999999999</v>
      </c>
    </row>
    <row r="3242" spans="1:9" x14ac:dyDescent="0.35">
      <c r="A3242" s="3" t="s">
        <v>3355</v>
      </c>
      <c r="B3242" s="1" t="s">
        <v>2515</v>
      </c>
      <c r="C3242" s="1" t="s">
        <v>93</v>
      </c>
      <c r="D3242" s="1" t="s">
        <v>52</v>
      </c>
      <c r="E3242" s="1" t="s">
        <v>29</v>
      </c>
      <c r="F3242" s="2" t="s">
        <v>609</v>
      </c>
      <c r="G3242" s="1">
        <v>7.0679999999999996</v>
      </c>
      <c r="H3242" s="1">
        <v>3</v>
      </c>
      <c r="I3242" s="1">
        <v>-2.8271999999999999</v>
      </c>
    </row>
    <row r="3243" spans="1:9" x14ac:dyDescent="0.35">
      <c r="A3243" s="3">
        <v>42371</v>
      </c>
      <c r="B3243" s="1" t="s">
        <v>1182</v>
      </c>
      <c r="C3243" s="1" t="s">
        <v>540</v>
      </c>
      <c r="D3243" s="1" t="s">
        <v>163</v>
      </c>
      <c r="E3243" s="1" t="s">
        <v>26</v>
      </c>
      <c r="F3243" s="2" t="s">
        <v>1697</v>
      </c>
      <c r="G3243" s="1">
        <v>56.45</v>
      </c>
      <c r="H3243" s="1">
        <v>5</v>
      </c>
      <c r="I3243" s="1">
        <v>14.677</v>
      </c>
    </row>
    <row r="3244" spans="1:9" x14ac:dyDescent="0.35">
      <c r="A3244" s="3" t="s">
        <v>3335</v>
      </c>
      <c r="B3244" s="1" t="s">
        <v>1060</v>
      </c>
      <c r="C3244" s="1" t="s">
        <v>154</v>
      </c>
      <c r="D3244" s="1" t="s">
        <v>106</v>
      </c>
      <c r="E3244" s="1" t="s">
        <v>35</v>
      </c>
      <c r="F3244" s="2" t="s">
        <v>2448</v>
      </c>
      <c r="G3244" s="1">
        <v>13.468</v>
      </c>
      <c r="H3244" s="1">
        <v>13</v>
      </c>
      <c r="I3244" s="1">
        <v>-22.895600000000002</v>
      </c>
    </row>
    <row r="3245" spans="1:9" x14ac:dyDescent="0.35">
      <c r="A3245" s="3">
        <v>42747</v>
      </c>
      <c r="B3245" s="1" t="s">
        <v>2517</v>
      </c>
      <c r="C3245" s="1" t="s">
        <v>373</v>
      </c>
      <c r="D3245" s="1" t="s">
        <v>52</v>
      </c>
      <c r="E3245" s="1" t="s">
        <v>33</v>
      </c>
      <c r="F3245" s="2" t="s">
        <v>2518</v>
      </c>
      <c r="G3245" s="1">
        <v>219.8</v>
      </c>
      <c r="H3245" s="1">
        <v>5</v>
      </c>
      <c r="I3245" s="1">
        <v>24.727499999999999</v>
      </c>
    </row>
    <row r="3246" spans="1:9" x14ac:dyDescent="0.35">
      <c r="A3246" s="3">
        <v>42747</v>
      </c>
      <c r="B3246" s="1" t="s">
        <v>2517</v>
      </c>
      <c r="C3246" s="1" t="s">
        <v>373</v>
      </c>
      <c r="D3246" s="1" t="s">
        <v>52</v>
      </c>
      <c r="E3246" s="1" t="s">
        <v>14</v>
      </c>
      <c r="F3246" s="2" t="s">
        <v>556</v>
      </c>
      <c r="G3246" s="1">
        <v>317.05799999999999</v>
      </c>
      <c r="H3246" s="1">
        <v>3</v>
      </c>
      <c r="I3246" s="1">
        <v>-18.117599999999999</v>
      </c>
    </row>
    <row r="3247" spans="1:9" x14ac:dyDescent="0.35">
      <c r="A3247" s="3">
        <v>43020</v>
      </c>
      <c r="B3247" s="1" t="s">
        <v>542</v>
      </c>
      <c r="C3247" s="1" t="s">
        <v>47</v>
      </c>
      <c r="D3247" s="1" t="s">
        <v>48</v>
      </c>
      <c r="E3247" s="1" t="s">
        <v>81</v>
      </c>
      <c r="F3247" s="2" t="s">
        <v>1615</v>
      </c>
      <c r="G3247" s="1">
        <v>49.08</v>
      </c>
      <c r="H3247" s="1">
        <v>3</v>
      </c>
      <c r="I3247" s="1">
        <v>4.9080000000000004</v>
      </c>
    </row>
    <row r="3248" spans="1:9" x14ac:dyDescent="0.35">
      <c r="A3248" s="3">
        <v>43020</v>
      </c>
      <c r="B3248" s="1" t="s">
        <v>542</v>
      </c>
      <c r="C3248" s="1" t="s">
        <v>47</v>
      </c>
      <c r="D3248" s="1" t="s">
        <v>48</v>
      </c>
      <c r="E3248" s="1" t="s">
        <v>26</v>
      </c>
      <c r="F3248" s="2" t="s">
        <v>726</v>
      </c>
      <c r="G3248" s="1">
        <v>324.89999999999998</v>
      </c>
      <c r="H3248" s="1">
        <v>5</v>
      </c>
      <c r="I3248" s="1">
        <v>38.988</v>
      </c>
    </row>
    <row r="3249" spans="1:9" x14ac:dyDescent="0.35">
      <c r="A3249" s="3">
        <v>43020</v>
      </c>
      <c r="B3249" s="1" t="s">
        <v>542</v>
      </c>
      <c r="C3249" s="1" t="s">
        <v>47</v>
      </c>
      <c r="D3249" s="1" t="s">
        <v>48</v>
      </c>
      <c r="E3249" s="1" t="s">
        <v>31</v>
      </c>
      <c r="F3249" s="2" t="s">
        <v>2519</v>
      </c>
      <c r="G3249" s="1">
        <v>18.239999999999998</v>
      </c>
      <c r="H3249" s="1">
        <v>3</v>
      </c>
      <c r="I3249" s="1">
        <v>5.2896000000000001</v>
      </c>
    </row>
    <row r="3250" spans="1:9" x14ac:dyDescent="0.35">
      <c r="A3250" s="3" t="s">
        <v>3168</v>
      </c>
      <c r="B3250" s="1" t="s">
        <v>1192</v>
      </c>
      <c r="C3250" s="1" t="s">
        <v>47</v>
      </c>
      <c r="D3250" s="1" t="s">
        <v>48</v>
      </c>
      <c r="E3250" s="1" t="s">
        <v>14</v>
      </c>
      <c r="F3250" s="2" t="s">
        <v>2422</v>
      </c>
      <c r="G3250" s="1">
        <v>113.88800000000001</v>
      </c>
      <c r="H3250" s="1">
        <v>2</v>
      </c>
      <c r="I3250" s="1">
        <v>9.9651999999999994</v>
      </c>
    </row>
    <row r="3251" spans="1:9" x14ac:dyDescent="0.35">
      <c r="A3251" s="3" t="s">
        <v>3168</v>
      </c>
      <c r="B3251" s="1" t="s">
        <v>1192</v>
      </c>
      <c r="C3251" s="1" t="s">
        <v>47</v>
      </c>
      <c r="D3251" s="1" t="s">
        <v>48</v>
      </c>
      <c r="E3251" s="1" t="s">
        <v>33</v>
      </c>
      <c r="F3251" s="2" t="s">
        <v>1163</v>
      </c>
      <c r="G3251" s="1">
        <v>105.584</v>
      </c>
      <c r="H3251" s="1">
        <v>2</v>
      </c>
      <c r="I3251" s="1">
        <v>7.9188000000000001</v>
      </c>
    </row>
    <row r="3252" spans="1:9" x14ac:dyDescent="0.35">
      <c r="A3252" s="3" t="s">
        <v>3356</v>
      </c>
      <c r="B3252" s="1" t="s">
        <v>2024</v>
      </c>
      <c r="C3252" s="1" t="s">
        <v>2520</v>
      </c>
      <c r="D3252" s="1" t="s">
        <v>120</v>
      </c>
      <c r="E3252" s="1" t="s">
        <v>137</v>
      </c>
      <c r="F3252" s="2" t="s">
        <v>1772</v>
      </c>
      <c r="G3252" s="1">
        <v>24.85</v>
      </c>
      <c r="H3252" s="1">
        <v>7</v>
      </c>
      <c r="I3252" s="1">
        <v>11.679500000000001</v>
      </c>
    </row>
    <row r="3253" spans="1:9" x14ac:dyDescent="0.35">
      <c r="A3253" s="3" t="s">
        <v>3318</v>
      </c>
      <c r="B3253" s="1" t="s">
        <v>2521</v>
      </c>
      <c r="C3253" s="1" t="s">
        <v>74</v>
      </c>
      <c r="D3253" s="1" t="s">
        <v>75</v>
      </c>
      <c r="E3253" s="1" t="s">
        <v>29</v>
      </c>
      <c r="F3253" s="2" t="s">
        <v>2102</v>
      </c>
      <c r="G3253" s="1">
        <v>60.311999999999998</v>
      </c>
      <c r="H3253" s="1">
        <v>3</v>
      </c>
      <c r="I3253" s="1">
        <v>5.2773000000000003</v>
      </c>
    </row>
    <row r="3254" spans="1:9" x14ac:dyDescent="0.35">
      <c r="A3254" s="3" t="s">
        <v>3357</v>
      </c>
      <c r="B3254" s="1" t="s">
        <v>92</v>
      </c>
      <c r="C3254" s="1" t="s">
        <v>154</v>
      </c>
      <c r="D3254" s="1" t="s">
        <v>106</v>
      </c>
      <c r="E3254" s="1" t="s">
        <v>31</v>
      </c>
      <c r="F3254" s="2" t="s">
        <v>772</v>
      </c>
      <c r="G3254" s="1">
        <v>7.056</v>
      </c>
      <c r="H3254" s="1">
        <v>3</v>
      </c>
      <c r="I3254" s="1">
        <v>2.2050000000000001</v>
      </c>
    </row>
    <row r="3255" spans="1:9" x14ac:dyDescent="0.35">
      <c r="A3255" s="3" t="s">
        <v>3357</v>
      </c>
      <c r="B3255" s="1" t="s">
        <v>92</v>
      </c>
      <c r="C3255" s="1" t="s">
        <v>154</v>
      </c>
      <c r="D3255" s="1" t="s">
        <v>106</v>
      </c>
      <c r="E3255" s="1" t="s">
        <v>33</v>
      </c>
      <c r="F3255" s="2" t="s">
        <v>2078</v>
      </c>
      <c r="G3255" s="1">
        <v>27.184000000000001</v>
      </c>
      <c r="H3255" s="1">
        <v>2</v>
      </c>
      <c r="I3255" s="1">
        <v>2.0388000000000002</v>
      </c>
    </row>
    <row r="3256" spans="1:9" x14ac:dyDescent="0.35">
      <c r="A3256" s="3">
        <v>42589</v>
      </c>
      <c r="B3256" s="1" t="s">
        <v>1524</v>
      </c>
      <c r="C3256" s="1" t="s">
        <v>47</v>
      </c>
      <c r="D3256" s="1" t="s">
        <v>48</v>
      </c>
      <c r="E3256" s="1" t="s">
        <v>33</v>
      </c>
      <c r="F3256" s="2" t="s">
        <v>468</v>
      </c>
      <c r="G3256" s="1">
        <v>107.98399999999999</v>
      </c>
      <c r="H3256" s="1">
        <v>1</v>
      </c>
      <c r="I3256" s="1">
        <v>9.4486000000000008</v>
      </c>
    </row>
    <row r="3257" spans="1:9" x14ac:dyDescent="0.35">
      <c r="A3257" s="3">
        <v>42589</v>
      </c>
      <c r="B3257" s="1" t="s">
        <v>1524</v>
      </c>
      <c r="C3257" s="1" t="s">
        <v>47</v>
      </c>
      <c r="D3257" s="1" t="s">
        <v>48</v>
      </c>
      <c r="E3257" s="1" t="s">
        <v>35</v>
      </c>
      <c r="F3257" s="2" t="s">
        <v>2032</v>
      </c>
      <c r="G3257" s="1">
        <v>19.295999999999999</v>
      </c>
      <c r="H3257" s="1">
        <v>3</v>
      </c>
      <c r="I3257" s="1">
        <v>6.03</v>
      </c>
    </row>
    <row r="3258" spans="1:9" x14ac:dyDescent="0.35">
      <c r="A3258" s="3">
        <v>42255</v>
      </c>
      <c r="B3258" s="1" t="s">
        <v>108</v>
      </c>
      <c r="C3258" s="1" t="s">
        <v>719</v>
      </c>
      <c r="D3258" s="1" t="s">
        <v>23</v>
      </c>
      <c r="E3258" s="1" t="s">
        <v>19</v>
      </c>
      <c r="F3258" s="2" t="s">
        <v>1287</v>
      </c>
      <c r="G3258" s="1">
        <v>4.6079999999999997</v>
      </c>
      <c r="H3258" s="1">
        <v>2</v>
      </c>
      <c r="I3258" s="1">
        <v>1.6704000000000001</v>
      </c>
    </row>
    <row r="3259" spans="1:9" x14ac:dyDescent="0.35">
      <c r="A3259" s="3">
        <v>42625</v>
      </c>
      <c r="B3259" s="1" t="s">
        <v>1652</v>
      </c>
      <c r="C3259" s="1" t="s">
        <v>306</v>
      </c>
      <c r="D3259" s="1" t="s">
        <v>171</v>
      </c>
      <c r="E3259" s="1" t="s">
        <v>24</v>
      </c>
      <c r="F3259" s="2" t="s">
        <v>1634</v>
      </c>
      <c r="G3259" s="1">
        <v>79.974000000000004</v>
      </c>
      <c r="H3259" s="1">
        <v>3</v>
      </c>
      <c r="I3259" s="1">
        <v>-29.323799999999999</v>
      </c>
    </row>
    <row r="3260" spans="1:9" x14ac:dyDescent="0.35">
      <c r="A3260" s="3">
        <v>42625</v>
      </c>
      <c r="B3260" s="1" t="s">
        <v>1652</v>
      </c>
      <c r="C3260" s="1" t="s">
        <v>306</v>
      </c>
      <c r="D3260" s="1" t="s">
        <v>171</v>
      </c>
      <c r="E3260" s="1" t="s">
        <v>35</v>
      </c>
      <c r="F3260" s="2" t="s">
        <v>1209</v>
      </c>
      <c r="G3260" s="1">
        <v>2.9460000000000002</v>
      </c>
      <c r="H3260" s="1">
        <v>2</v>
      </c>
      <c r="I3260" s="1">
        <v>-2.0621999999999998</v>
      </c>
    </row>
    <row r="3261" spans="1:9" x14ac:dyDescent="0.35">
      <c r="A3261" s="3" t="s">
        <v>3358</v>
      </c>
      <c r="B3261" s="1" t="s">
        <v>2522</v>
      </c>
      <c r="C3261" s="1" t="s">
        <v>2407</v>
      </c>
      <c r="D3261" s="1" t="s">
        <v>106</v>
      </c>
      <c r="E3261" s="1" t="s">
        <v>35</v>
      </c>
      <c r="F3261" s="2" t="s">
        <v>830</v>
      </c>
      <c r="G3261" s="1">
        <v>3.1360000000000001</v>
      </c>
      <c r="H3261" s="1">
        <v>2</v>
      </c>
      <c r="I3261" s="1">
        <v>-4.7039999999999997</v>
      </c>
    </row>
    <row r="3262" spans="1:9" x14ac:dyDescent="0.35">
      <c r="A3262" s="3" t="s">
        <v>3359</v>
      </c>
      <c r="B3262" s="1" t="s">
        <v>2523</v>
      </c>
      <c r="C3262" s="1" t="s">
        <v>301</v>
      </c>
      <c r="D3262" s="1" t="s">
        <v>52</v>
      </c>
      <c r="E3262" s="1" t="s">
        <v>44</v>
      </c>
      <c r="F3262" s="2" t="s">
        <v>2524</v>
      </c>
      <c r="G3262" s="1">
        <v>20.736000000000001</v>
      </c>
      <c r="H3262" s="1">
        <v>4</v>
      </c>
      <c r="I3262" s="1">
        <v>7.2576000000000001</v>
      </c>
    </row>
    <row r="3263" spans="1:9" x14ac:dyDescent="0.35">
      <c r="A3263" s="3" t="s">
        <v>3330</v>
      </c>
      <c r="B3263" s="1" t="s">
        <v>547</v>
      </c>
      <c r="C3263" s="1" t="s">
        <v>64</v>
      </c>
      <c r="D3263" s="1" t="s">
        <v>18</v>
      </c>
      <c r="E3263" s="1" t="s">
        <v>81</v>
      </c>
      <c r="F3263" s="2" t="s">
        <v>1612</v>
      </c>
      <c r="G3263" s="1">
        <v>99.98</v>
      </c>
      <c r="H3263" s="1">
        <v>2</v>
      </c>
      <c r="I3263" s="1">
        <v>7.9984000000000002</v>
      </c>
    </row>
    <row r="3264" spans="1:9" x14ac:dyDescent="0.35">
      <c r="A3264" s="3" t="s">
        <v>3330</v>
      </c>
      <c r="B3264" s="1" t="s">
        <v>547</v>
      </c>
      <c r="C3264" s="1" t="s">
        <v>64</v>
      </c>
      <c r="D3264" s="1" t="s">
        <v>18</v>
      </c>
      <c r="E3264" s="1" t="s">
        <v>44</v>
      </c>
      <c r="F3264" s="2" t="s">
        <v>1152</v>
      </c>
      <c r="G3264" s="1">
        <v>733.95</v>
      </c>
      <c r="H3264" s="1">
        <v>7</v>
      </c>
      <c r="I3264" s="1">
        <v>352.29599999999999</v>
      </c>
    </row>
    <row r="3265" spans="1:9" x14ac:dyDescent="0.35">
      <c r="A3265" s="3" t="s">
        <v>3330</v>
      </c>
      <c r="B3265" s="1" t="s">
        <v>547</v>
      </c>
      <c r="C3265" s="1" t="s">
        <v>64</v>
      </c>
      <c r="D3265" s="1" t="s">
        <v>18</v>
      </c>
      <c r="E3265" s="1" t="s">
        <v>37</v>
      </c>
      <c r="F3265" s="2" t="s">
        <v>2369</v>
      </c>
      <c r="G3265" s="1">
        <v>241.44</v>
      </c>
      <c r="H3265" s="1">
        <v>3</v>
      </c>
      <c r="I3265" s="1">
        <v>72.432000000000002</v>
      </c>
    </row>
    <row r="3266" spans="1:9" x14ac:dyDescent="0.35">
      <c r="A3266" s="3">
        <v>42463</v>
      </c>
      <c r="B3266" s="1" t="s">
        <v>2067</v>
      </c>
      <c r="C3266" s="1" t="s">
        <v>672</v>
      </c>
      <c r="D3266" s="1" t="s">
        <v>23</v>
      </c>
      <c r="E3266" s="1" t="s">
        <v>19</v>
      </c>
      <c r="F3266" s="2" t="s">
        <v>1754</v>
      </c>
      <c r="G3266" s="1">
        <v>10.08</v>
      </c>
      <c r="H3266" s="1">
        <v>4</v>
      </c>
      <c r="I3266" s="1">
        <v>3.528</v>
      </c>
    </row>
    <row r="3267" spans="1:9" x14ac:dyDescent="0.35">
      <c r="A3267" s="3">
        <v>41953</v>
      </c>
      <c r="B3267" s="1" t="s">
        <v>1893</v>
      </c>
      <c r="C3267" s="1" t="s">
        <v>74</v>
      </c>
      <c r="D3267" s="1" t="s">
        <v>75</v>
      </c>
      <c r="E3267" s="1" t="s">
        <v>26</v>
      </c>
      <c r="F3267" s="2" t="s">
        <v>1241</v>
      </c>
      <c r="G3267" s="1">
        <v>281.904</v>
      </c>
      <c r="H3267" s="1">
        <v>2</v>
      </c>
      <c r="I3267" s="1">
        <v>10.571400000000001</v>
      </c>
    </row>
    <row r="3268" spans="1:9" x14ac:dyDescent="0.35">
      <c r="A3268" s="3">
        <v>41953</v>
      </c>
      <c r="B3268" s="1" t="s">
        <v>1893</v>
      </c>
      <c r="C3268" s="1" t="s">
        <v>74</v>
      </c>
      <c r="D3268" s="1" t="s">
        <v>75</v>
      </c>
      <c r="E3268" s="1" t="s">
        <v>87</v>
      </c>
      <c r="F3268" s="2" t="s">
        <v>986</v>
      </c>
      <c r="G3268" s="1">
        <v>201.43199999999999</v>
      </c>
      <c r="H3268" s="1">
        <v>3</v>
      </c>
      <c r="I3268" s="1">
        <v>67.9833</v>
      </c>
    </row>
    <row r="3269" spans="1:9" x14ac:dyDescent="0.35">
      <c r="A3269" s="3" t="s">
        <v>3360</v>
      </c>
      <c r="B3269" s="1" t="s">
        <v>2525</v>
      </c>
      <c r="C3269" s="1" t="s">
        <v>181</v>
      </c>
      <c r="D3269" s="1" t="s">
        <v>182</v>
      </c>
      <c r="E3269" s="1" t="s">
        <v>33</v>
      </c>
      <c r="F3269" s="2" t="s">
        <v>1221</v>
      </c>
      <c r="G3269" s="1">
        <v>135.97999999999999</v>
      </c>
      <c r="H3269" s="1">
        <v>2</v>
      </c>
      <c r="I3269" s="1">
        <v>33.994999999999997</v>
      </c>
    </row>
    <row r="3270" spans="1:9" x14ac:dyDescent="0.35">
      <c r="A3270" s="3" t="s">
        <v>3360</v>
      </c>
      <c r="B3270" s="1" t="s">
        <v>2525</v>
      </c>
      <c r="C3270" s="1" t="s">
        <v>181</v>
      </c>
      <c r="D3270" s="1" t="s">
        <v>182</v>
      </c>
      <c r="E3270" s="1" t="s">
        <v>33</v>
      </c>
      <c r="F3270" s="2" t="s">
        <v>2526</v>
      </c>
      <c r="G3270" s="1">
        <v>44.95</v>
      </c>
      <c r="H3270" s="1">
        <v>1</v>
      </c>
      <c r="I3270" s="1">
        <v>12.586</v>
      </c>
    </row>
    <row r="3271" spans="1:9" x14ac:dyDescent="0.35">
      <c r="A3271" s="3" t="s">
        <v>3361</v>
      </c>
      <c r="B3271" s="1" t="s">
        <v>413</v>
      </c>
      <c r="C3271" s="1" t="s">
        <v>2161</v>
      </c>
      <c r="D3271" s="1" t="s">
        <v>2162</v>
      </c>
      <c r="E3271" s="1" t="s">
        <v>81</v>
      </c>
      <c r="F3271" s="2" t="s">
        <v>2364</v>
      </c>
      <c r="G3271" s="1">
        <v>2.97</v>
      </c>
      <c r="H3271" s="1">
        <v>3</v>
      </c>
      <c r="I3271" s="1">
        <v>1.3068</v>
      </c>
    </row>
    <row r="3272" spans="1:9" x14ac:dyDescent="0.35">
      <c r="A3272" s="3" t="s">
        <v>3361</v>
      </c>
      <c r="B3272" s="1" t="s">
        <v>413</v>
      </c>
      <c r="C3272" s="1" t="s">
        <v>2161</v>
      </c>
      <c r="D3272" s="1" t="s">
        <v>2162</v>
      </c>
      <c r="E3272" s="1" t="s">
        <v>137</v>
      </c>
      <c r="F3272" s="2" t="s">
        <v>138</v>
      </c>
      <c r="G3272" s="1">
        <v>6.54</v>
      </c>
      <c r="H3272" s="1">
        <v>3</v>
      </c>
      <c r="I3272" s="1">
        <v>2.6814</v>
      </c>
    </row>
    <row r="3273" spans="1:9" x14ac:dyDescent="0.35">
      <c r="A3273" s="3" t="s">
        <v>3152</v>
      </c>
      <c r="B3273" s="1" t="s">
        <v>2293</v>
      </c>
      <c r="C3273" s="1" t="s">
        <v>2527</v>
      </c>
      <c r="D3273" s="1" t="s">
        <v>18</v>
      </c>
      <c r="E3273" s="1" t="s">
        <v>81</v>
      </c>
      <c r="F3273" s="2" t="s">
        <v>2364</v>
      </c>
      <c r="G3273" s="1">
        <v>7.92</v>
      </c>
      <c r="H3273" s="1">
        <v>8</v>
      </c>
      <c r="I3273" s="1">
        <v>3.4847999999999999</v>
      </c>
    </row>
    <row r="3274" spans="1:9" x14ac:dyDescent="0.35">
      <c r="A3274" s="3">
        <v>42249</v>
      </c>
      <c r="B3274" s="1" t="s">
        <v>2517</v>
      </c>
      <c r="C3274" s="1" t="s">
        <v>17</v>
      </c>
      <c r="D3274" s="1" t="s">
        <v>18</v>
      </c>
      <c r="E3274" s="1" t="s">
        <v>14</v>
      </c>
      <c r="F3274" s="2" t="s">
        <v>76</v>
      </c>
      <c r="G3274" s="1">
        <v>203.92</v>
      </c>
      <c r="H3274" s="1">
        <v>5</v>
      </c>
      <c r="I3274" s="1">
        <v>22.940999999999999</v>
      </c>
    </row>
    <row r="3275" spans="1:9" x14ac:dyDescent="0.35">
      <c r="A3275" s="3">
        <v>42952</v>
      </c>
      <c r="B3275" s="1" t="s">
        <v>1399</v>
      </c>
      <c r="C3275" s="1" t="s">
        <v>17</v>
      </c>
      <c r="D3275" s="1" t="s">
        <v>18</v>
      </c>
      <c r="E3275" s="1" t="s">
        <v>579</v>
      </c>
      <c r="F3275" s="2" t="s">
        <v>1497</v>
      </c>
      <c r="G3275" s="1">
        <v>3359.9520000000002</v>
      </c>
      <c r="H3275" s="1">
        <v>6</v>
      </c>
      <c r="I3275" s="1">
        <v>1049.9849999999999</v>
      </c>
    </row>
    <row r="3276" spans="1:9" x14ac:dyDescent="0.35">
      <c r="A3276" s="3">
        <v>42777</v>
      </c>
      <c r="B3276" s="1" t="s">
        <v>1324</v>
      </c>
      <c r="C3276" s="1" t="s">
        <v>2528</v>
      </c>
      <c r="D3276" s="1" t="s">
        <v>1891</v>
      </c>
      <c r="E3276" s="1" t="s">
        <v>137</v>
      </c>
      <c r="F3276" s="2" t="s">
        <v>281</v>
      </c>
      <c r="G3276" s="1">
        <v>18.239999999999998</v>
      </c>
      <c r="H3276" s="1">
        <v>3</v>
      </c>
      <c r="I3276" s="1">
        <v>9.1199999999999992</v>
      </c>
    </row>
    <row r="3277" spans="1:9" x14ac:dyDescent="0.35">
      <c r="A3277" s="3">
        <v>42777</v>
      </c>
      <c r="B3277" s="1" t="s">
        <v>1324</v>
      </c>
      <c r="C3277" s="1" t="s">
        <v>2528</v>
      </c>
      <c r="D3277" s="1" t="s">
        <v>1891</v>
      </c>
      <c r="E3277" s="1" t="s">
        <v>31</v>
      </c>
      <c r="F3277" s="2" t="s">
        <v>384</v>
      </c>
      <c r="G3277" s="1">
        <v>27.78</v>
      </c>
      <c r="H3277" s="1">
        <v>6</v>
      </c>
      <c r="I3277" s="1">
        <v>9.1674000000000007</v>
      </c>
    </row>
    <row r="3278" spans="1:9" x14ac:dyDescent="0.35">
      <c r="A3278" s="3">
        <v>41763</v>
      </c>
      <c r="B3278" s="1" t="s">
        <v>2236</v>
      </c>
      <c r="C3278" s="1" t="s">
        <v>1247</v>
      </c>
      <c r="D3278" s="1" t="s">
        <v>163</v>
      </c>
      <c r="E3278" s="1" t="s">
        <v>31</v>
      </c>
      <c r="F3278" s="2" t="s">
        <v>647</v>
      </c>
      <c r="G3278" s="1">
        <v>22.96</v>
      </c>
      <c r="H3278" s="1">
        <v>7</v>
      </c>
      <c r="I3278" s="1">
        <v>7.5768000000000004</v>
      </c>
    </row>
    <row r="3279" spans="1:9" x14ac:dyDescent="0.35">
      <c r="A3279" s="3">
        <v>41763</v>
      </c>
      <c r="B3279" s="1" t="s">
        <v>2236</v>
      </c>
      <c r="C3279" s="1" t="s">
        <v>1247</v>
      </c>
      <c r="D3279" s="1" t="s">
        <v>163</v>
      </c>
      <c r="E3279" s="1" t="s">
        <v>33</v>
      </c>
      <c r="F3279" s="2" t="s">
        <v>1882</v>
      </c>
      <c r="G3279" s="1">
        <v>28.99</v>
      </c>
      <c r="H3279" s="1">
        <v>1</v>
      </c>
      <c r="I3279" s="1">
        <v>8.4070999999999998</v>
      </c>
    </row>
    <row r="3280" spans="1:9" x14ac:dyDescent="0.35">
      <c r="A3280" s="3">
        <v>41763</v>
      </c>
      <c r="B3280" s="1" t="s">
        <v>2236</v>
      </c>
      <c r="C3280" s="1" t="s">
        <v>1247</v>
      </c>
      <c r="D3280" s="1" t="s">
        <v>163</v>
      </c>
      <c r="E3280" s="1" t="s">
        <v>44</v>
      </c>
      <c r="F3280" s="2" t="s">
        <v>447</v>
      </c>
      <c r="G3280" s="1">
        <v>12.96</v>
      </c>
      <c r="H3280" s="1">
        <v>2</v>
      </c>
      <c r="I3280" s="1">
        <v>6.3503999999999996</v>
      </c>
    </row>
    <row r="3281" spans="1:9" x14ac:dyDescent="0.35">
      <c r="A3281" s="3">
        <v>41763</v>
      </c>
      <c r="B3281" s="1" t="s">
        <v>2236</v>
      </c>
      <c r="C3281" s="1" t="s">
        <v>1247</v>
      </c>
      <c r="D3281" s="1" t="s">
        <v>163</v>
      </c>
      <c r="E3281" s="1" t="s">
        <v>31</v>
      </c>
      <c r="F3281" s="2" t="s">
        <v>1998</v>
      </c>
      <c r="G3281" s="1">
        <v>22.96</v>
      </c>
      <c r="H3281" s="1">
        <v>7</v>
      </c>
      <c r="I3281" s="1">
        <v>6.6584000000000003</v>
      </c>
    </row>
    <row r="3282" spans="1:9" x14ac:dyDescent="0.35">
      <c r="A3282" s="3">
        <v>41763</v>
      </c>
      <c r="B3282" s="1" t="s">
        <v>2236</v>
      </c>
      <c r="C3282" s="1" t="s">
        <v>1247</v>
      </c>
      <c r="D3282" s="1" t="s">
        <v>163</v>
      </c>
      <c r="E3282" s="1" t="s">
        <v>289</v>
      </c>
      <c r="F3282" s="2" t="s">
        <v>839</v>
      </c>
      <c r="G3282" s="1">
        <v>4164.05</v>
      </c>
      <c r="H3282" s="1">
        <v>5</v>
      </c>
      <c r="I3282" s="1">
        <v>83.281000000000006</v>
      </c>
    </row>
    <row r="3283" spans="1:9" x14ac:dyDescent="0.35">
      <c r="A3283" s="3" t="s">
        <v>3362</v>
      </c>
      <c r="B3283" s="1" t="s">
        <v>1605</v>
      </c>
      <c r="C3283" s="1" t="s">
        <v>1912</v>
      </c>
      <c r="D3283" s="1" t="s">
        <v>43</v>
      </c>
      <c r="E3283" s="1" t="s">
        <v>81</v>
      </c>
      <c r="F3283" s="2" t="s">
        <v>1703</v>
      </c>
      <c r="G3283" s="1">
        <v>47.984000000000002</v>
      </c>
      <c r="H3283" s="1">
        <v>2</v>
      </c>
      <c r="I3283" s="1">
        <v>13.195600000000001</v>
      </c>
    </row>
    <row r="3284" spans="1:9" x14ac:dyDescent="0.35">
      <c r="A3284" s="3" t="s">
        <v>3362</v>
      </c>
      <c r="B3284" s="1" t="s">
        <v>1605</v>
      </c>
      <c r="C3284" s="1" t="s">
        <v>1912</v>
      </c>
      <c r="D3284" s="1" t="s">
        <v>43</v>
      </c>
      <c r="E3284" s="1" t="s">
        <v>44</v>
      </c>
      <c r="F3284" s="2" t="s">
        <v>1475</v>
      </c>
      <c r="G3284" s="1">
        <v>4.6239999999999997</v>
      </c>
      <c r="H3284" s="1">
        <v>1</v>
      </c>
      <c r="I3284" s="1">
        <v>1.6761999999999999</v>
      </c>
    </row>
    <row r="3285" spans="1:9" x14ac:dyDescent="0.35">
      <c r="A3285" s="3" t="s">
        <v>3325</v>
      </c>
      <c r="B3285" s="1" t="s">
        <v>760</v>
      </c>
      <c r="C3285" s="1" t="s">
        <v>135</v>
      </c>
      <c r="D3285" s="1" t="s">
        <v>136</v>
      </c>
      <c r="E3285" s="1" t="s">
        <v>29</v>
      </c>
      <c r="F3285" s="2" t="s">
        <v>950</v>
      </c>
      <c r="G3285" s="1">
        <v>15.24</v>
      </c>
      <c r="H3285" s="1">
        <v>3</v>
      </c>
      <c r="I3285" s="1">
        <v>5.1816000000000004</v>
      </c>
    </row>
    <row r="3286" spans="1:9" x14ac:dyDescent="0.35">
      <c r="A3286" s="3">
        <v>41982</v>
      </c>
      <c r="B3286" s="1" t="s">
        <v>1178</v>
      </c>
      <c r="C3286" s="1" t="s">
        <v>367</v>
      </c>
      <c r="D3286" s="1" t="s">
        <v>250</v>
      </c>
      <c r="E3286" s="1" t="s">
        <v>35</v>
      </c>
      <c r="F3286" s="2" t="s">
        <v>852</v>
      </c>
      <c r="G3286" s="1">
        <v>63.923999999999999</v>
      </c>
      <c r="H3286" s="1">
        <v>7</v>
      </c>
      <c r="I3286" s="1">
        <v>-46.877600000000001</v>
      </c>
    </row>
    <row r="3287" spans="1:9" x14ac:dyDescent="0.35">
      <c r="A3287" s="3" t="s">
        <v>3363</v>
      </c>
      <c r="B3287" s="1" t="s">
        <v>2362</v>
      </c>
      <c r="C3287" s="1" t="s">
        <v>1916</v>
      </c>
      <c r="D3287" s="1" t="s">
        <v>322</v>
      </c>
      <c r="E3287" s="1" t="s">
        <v>31</v>
      </c>
      <c r="F3287" s="2" t="s">
        <v>1420</v>
      </c>
      <c r="G3287" s="1">
        <v>6.56</v>
      </c>
      <c r="H3287" s="1">
        <v>2</v>
      </c>
      <c r="I3287" s="1">
        <v>1.9024000000000001</v>
      </c>
    </row>
    <row r="3288" spans="1:9" x14ac:dyDescent="0.35">
      <c r="A3288" s="3" t="s">
        <v>3363</v>
      </c>
      <c r="B3288" s="1" t="s">
        <v>2362</v>
      </c>
      <c r="C3288" s="1" t="s">
        <v>1916</v>
      </c>
      <c r="D3288" s="1" t="s">
        <v>322</v>
      </c>
      <c r="E3288" s="1" t="s">
        <v>37</v>
      </c>
      <c r="F3288" s="2" t="s">
        <v>2529</v>
      </c>
      <c r="G3288" s="1">
        <v>13.11</v>
      </c>
      <c r="H3288" s="1">
        <v>3</v>
      </c>
      <c r="I3288" s="1">
        <v>3.4085999999999999</v>
      </c>
    </row>
    <row r="3289" spans="1:9" x14ac:dyDescent="0.35">
      <c r="A3289" s="3" t="s">
        <v>3364</v>
      </c>
      <c r="B3289" s="1" t="s">
        <v>1309</v>
      </c>
      <c r="C3289" s="1" t="s">
        <v>2530</v>
      </c>
      <c r="D3289" s="1" t="s">
        <v>18</v>
      </c>
      <c r="E3289" s="1" t="s">
        <v>33</v>
      </c>
      <c r="F3289" s="2" t="s">
        <v>1308</v>
      </c>
      <c r="G3289" s="1">
        <v>494.37599999999998</v>
      </c>
      <c r="H3289" s="1">
        <v>3</v>
      </c>
      <c r="I3289" s="1">
        <v>49.437600000000003</v>
      </c>
    </row>
    <row r="3290" spans="1:9" x14ac:dyDescent="0.35">
      <c r="A3290" s="3" t="s">
        <v>3364</v>
      </c>
      <c r="B3290" s="1" t="s">
        <v>1309</v>
      </c>
      <c r="C3290" s="1" t="s">
        <v>2530</v>
      </c>
      <c r="D3290" s="1" t="s">
        <v>18</v>
      </c>
      <c r="E3290" s="1" t="s">
        <v>35</v>
      </c>
      <c r="F3290" s="2" t="s">
        <v>649</v>
      </c>
      <c r="G3290" s="1">
        <v>29.2</v>
      </c>
      <c r="H3290" s="1">
        <v>5</v>
      </c>
      <c r="I3290" s="1">
        <v>9.8550000000000004</v>
      </c>
    </row>
    <row r="3291" spans="1:9" x14ac:dyDescent="0.35">
      <c r="A3291" s="3" t="s">
        <v>3364</v>
      </c>
      <c r="B3291" s="1" t="s">
        <v>1309</v>
      </c>
      <c r="C3291" s="1" t="s">
        <v>2530</v>
      </c>
      <c r="D3291" s="1" t="s">
        <v>18</v>
      </c>
      <c r="E3291" s="1" t="s">
        <v>81</v>
      </c>
      <c r="F3291" s="2" t="s">
        <v>230</v>
      </c>
      <c r="G3291" s="1">
        <v>248.85</v>
      </c>
      <c r="H3291" s="1">
        <v>5</v>
      </c>
      <c r="I3291" s="1">
        <v>27.3735</v>
      </c>
    </row>
    <row r="3292" spans="1:9" x14ac:dyDescent="0.35">
      <c r="A3292" s="3" t="s">
        <v>3364</v>
      </c>
      <c r="B3292" s="1" t="s">
        <v>1309</v>
      </c>
      <c r="C3292" s="1" t="s">
        <v>2530</v>
      </c>
      <c r="D3292" s="1" t="s">
        <v>18</v>
      </c>
      <c r="E3292" s="1" t="s">
        <v>81</v>
      </c>
      <c r="F3292" s="2" t="s">
        <v>2531</v>
      </c>
      <c r="G3292" s="1">
        <v>36.24</v>
      </c>
      <c r="H3292" s="1">
        <v>1</v>
      </c>
      <c r="I3292" s="1">
        <v>15.220800000000001</v>
      </c>
    </row>
    <row r="3293" spans="1:9" x14ac:dyDescent="0.35">
      <c r="A3293" s="3" t="s">
        <v>3365</v>
      </c>
      <c r="B3293" s="1" t="s">
        <v>2304</v>
      </c>
      <c r="C3293" s="1" t="s">
        <v>2438</v>
      </c>
      <c r="D3293" s="1" t="s">
        <v>120</v>
      </c>
      <c r="E3293" s="1" t="s">
        <v>31</v>
      </c>
      <c r="F3293" s="2" t="s">
        <v>915</v>
      </c>
      <c r="G3293" s="1">
        <v>11.68</v>
      </c>
      <c r="H3293" s="1">
        <v>2</v>
      </c>
      <c r="I3293" s="1">
        <v>3.504</v>
      </c>
    </row>
    <row r="3294" spans="1:9" x14ac:dyDescent="0.35">
      <c r="A3294" s="3" t="s">
        <v>3176</v>
      </c>
      <c r="B3294" s="1" t="s">
        <v>935</v>
      </c>
      <c r="C3294" s="1" t="s">
        <v>461</v>
      </c>
      <c r="D3294" s="1" t="s">
        <v>18</v>
      </c>
      <c r="E3294" s="1" t="s">
        <v>289</v>
      </c>
      <c r="F3294" s="2" t="s">
        <v>355</v>
      </c>
      <c r="G3294" s="1">
        <v>11.91</v>
      </c>
      <c r="H3294" s="1">
        <v>3</v>
      </c>
      <c r="I3294" s="1">
        <v>0.1191</v>
      </c>
    </row>
    <row r="3295" spans="1:9" x14ac:dyDescent="0.35">
      <c r="A3295" s="3" t="s">
        <v>3176</v>
      </c>
      <c r="B3295" s="1" t="s">
        <v>935</v>
      </c>
      <c r="C3295" s="1" t="s">
        <v>461</v>
      </c>
      <c r="D3295" s="1" t="s">
        <v>18</v>
      </c>
      <c r="E3295" s="1" t="s">
        <v>29</v>
      </c>
      <c r="F3295" s="2" t="s">
        <v>1439</v>
      </c>
      <c r="G3295" s="1">
        <v>3.48</v>
      </c>
      <c r="H3295" s="1">
        <v>2</v>
      </c>
      <c r="I3295" s="1">
        <v>1.1135999999999999</v>
      </c>
    </row>
    <row r="3296" spans="1:9" x14ac:dyDescent="0.35">
      <c r="A3296" s="3" t="s">
        <v>3366</v>
      </c>
      <c r="B3296" s="1" t="s">
        <v>677</v>
      </c>
      <c r="C3296" s="1" t="s">
        <v>399</v>
      </c>
      <c r="D3296" s="1" t="s">
        <v>52</v>
      </c>
      <c r="E3296" s="1" t="s">
        <v>35</v>
      </c>
      <c r="F3296" s="2" t="s">
        <v>1081</v>
      </c>
      <c r="G3296" s="1">
        <v>30.96</v>
      </c>
      <c r="H3296" s="1">
        <v>8</v>
      </c>
      <c r="I3296" s="1">
        <v>-52.631999999999998</v>
      </c>
    </row>
    <row r="3297" spans="1:9" x14ac:dyDescent="0.35">
      <c r="A3297" s="3">
        <v>42745</v>
      </c>
      <c r="B3297" s="1" t="s">
        <v>1701</v>
      </c>
      <c r="C3297" s="1" t="s">
        <v>135</v>
      </c>
      <c r="D3297" s="1" t="s">
        <v>136</v>
      </c>
      <c r="E3297" s="1" t="s">
        <v>338</v>
      </c>
      <c r="F3297" s="2" t="s">
        <v>2532</v>
      </c>
      <c r="G3297" s="1">
        <v>1704.89</v>
      </c>
      <c r="H3297" s="1">
        <v>11</v>
      </c>
      <c r="I3297" s="1">
        <v>767.20050000000003</v>
      </c>
    </row>
    <row r="3298" spans="1:9" x14ac:dyDescent="0.35">
      <c r="A3298" s="3" t="s">
        <v>3367</v>
      </c>
      <c r="B3298" s="1" t="s">
        <v>77</v>
      </c>
      <c r="C3298" s="1" t="s">
        <v>272</v>
      </c>
      <c r="D3298" s="1" t="s">
        <v>158</v>
      </c>
      <c r="E3298" s="1" t="s">
        <v>35</v>
      </c>
      <c r="F3298" s="2" t="s">
        <v>1102</v>
      </c>
      <c r="G3298" s="1">
        <v>19.193999999999999</v>
      </c>
      <c r="H3298" s="1">
        <v>7</v>
      </c>
      <c r="I3298" s="1">
        <v>-12.795999999999999</v>
      </c>
    </row>
    <row r="3299" spans="1:9" x14ac:dyDescent="0.35">
      <c r="A3299" s="3" t="s">
        <v>3367</v>
      </c>
      <c r="B3299" s="1" t="s">
        <v>77</v>
      </c>
      <c r="C3299" s="1" t="s">
        <v>272</v>
      </c>
      <c r="D3299" s="1" t="s">
        <v>158</v>
      </c>
      <c r="E3299" s="1" t="s">
        <v>37</v>
      </c>
      <c r="F3299" s="2" t="s">
        <v>917</v>
      </c>
      <c r="G3299" s="1">
        <v>121.792</v>
      </c>
      <c r="H3299" s="1">
        <v>4</v>
      </c>
      <c r="I3299" s="1">
        <v>13.701599999999999</v>
      </c>
    </row>
    <row r="3300" spans="1:9" x14ac:dyDescent="0.35">
      <c r="A3300" s="3" t="s">
        <v>3283</v>
      </c>
      <c r="B3300" s="1" t="s">
        <v>1305</v>
      </c>
      <c r="C3300" s="1" t="s">
        <v>64</v>
      </c>
      <c r="D3300" s="1" t="s">
        <v>18</v>
      </c>
      <c r="E3300" s="1" t="s">
        <v>338</v>
      </c>
      <c r="F3300" s="2" t="s">
        <v>1918</v>
      </c>
      <c r="G3300" s="1">
        <v>1919.9760000000001</v>
      </c>
      <c r="H3300" s="1">
        <v>3</v>
      </c>
      <c r="I3300" s="1">
        <v>215.9973</v>
      </c>
    </row>
    <row r="3301" spans="1:9" x14ac:dyDescent="0.35">
      <c r="A3301" s="3" t="s">
        <v>3368</v>
      </c>
      <c r="B3301" s="1" t="s">
        <v>899</v>
      </c>
      <c r="C3301" s="1" t="s">
        <v>74</v>
      </c>
      <c r="D3301" s="1" t="s">
        <v>75</v>
      </c>
      <c r="E3301" s="1" t="s">
        <v>35</v>
      </c>
      <c r="F3301" s="2" t="s">
        <v>49</v>
      </c>
      <c r="G3301" s="1">
        <v>50.997</v>
      </c>
      <c r="H3301" s="1">
        <v>1</v>
      </c>
      <c r="I3301" s="1">
        <v>-40.797600000000003</v>
      </c>
    </row>
    <row r="3302" spans="1:9" x14ac:dyDescent="0.35">
      <c r="A3302" s="3" t="s">
        <v>3368</v>
      </c>
      <c r="B3302" s="1" t="s">
        <v>899</v>
      </c>
      <c r="C3302" s="1" t="s">
        <v>74</v>
      </c>
      <c r="D3302" s="1" t="s">
        <v>75</v>
      </c>
      <c r="E3302" s="1" t="s">
        <v>26</v>
      </c>
      <c r="F3302" s="2" t="s">
        <v>192</v>
      </c>
      <c r="G3302" s="1">
        <v>76.792000000000002</v>
      </c>
      <c r="H3302" s="1">
        <v>1</v>
      </c>
      <c r="I3302" s="1">
        <v>-16.318300000000001</v>
      </c>
    </row>
    <row r="3303" spans="1:9" x14ac:dyDescent="0.35">
      <c r="A3303" s="3" t="s">
        <v>3368</v>
      </c>
      <c r="B3303" s="1" t="s">
        <v>899</v>
      </c>
      <c r="C3303" s="1" t="s">
        <v>74</v>
      </c>
      <c r="D3303" s="1" t="s">
        <v>75</v>
      </c>
      <c r="E3303" s="1" t="s">
        <v>33</v>
      </c>
      <c r="F3303" s="2" t="s">
        <v>2533</v>
      </c>
      <c r="G3303" s="1">
        <v>539.96400000000006</v>
      </c>
      <c r="H3303" s="1">
        <v>6</v>
      </c>
      <c r="I3303" s="1">
        <v>-107.9928</v>
      </c>
    </row>
    <row r="3304" spans="1:9" x14ac:dyDescent="0.35">
      <c r="A3304" s="3" t="s">
        <v>3368</v>
      </c>
      <c r="B3304" s="1" t="s">
        <v>899</v>
      </c>
      <c r="C3304" s="1" t="s">
        <v>74</v>
      </c>
      <c r="D3304" s="1" t="s">
        <v>75</v>
      </c>
      <c r="E3304" s="1" t="s">
        <v>29</v>
      </c>
      <c r="F3304" s="2" t="s">
        <v>2102</v>
      </c>
      <c r="G3304" s="1">
        <v>60.311999999999998</v>
      </c>
      <c r="H3304" s="1">
        <v>3</v>
      </c>
      <c r="I3304" s="1">
        <v>5.2773000000000003</v>
      </c>
    </row>
    <row r="3305" spans="1:9" x14ac:dyDescent="0.35">
      <c r="A3305" s="3" t="s">
        <v>3368</v>
      </c>
      <c r="B3305" s="1" t="s">
        <v>899</v>
      </c>
      <c r="C3305" s="1" t="s">
        <v>74</v>
      </c>
      <c r="D3305" s="1" t="s">
        <v>75</v>
      </c>
      <c r="E3305" s="1" t="s">
        <v>35</v>
      </c>
      <c r="F3305" s="2" t="s">
        <v>1470</v>
      </c>
      <c r="G3305" s="1">
        <v>1.944</v>
      </c>
      <c r="H3305" s="1">
        <v>3</v>
      </c>
      <c r="I3305" s="1">
        <v>-1.4256</v>
      </c>
    </row>
    <row r="3306" spans="1:9" x14ac:dyDescent="0.35">
      <c r="A3306" s="3" t="s">
        <v>3369</v>
      </c>
      <c r="B3306" s="1" t="s">
        <v>1485</v>
      </c>
      <c r="C3306" s="1" t="s">
        <v>914</v>
      </c>
      <c r="D3306" s="1" t="s">
        <v>52</v>
      </c>
      <c r="E3306" s="1" t="s">
        <v>87</v>
      </c>
      <c r="F3306" s="2" t="s">
        <v>1508</v>
      </c>
      <c r="G3306" s="1">
        <v>12.984</v>
      </c>
      <c r="H3306" s="1">
        <v>3</v>
      </c>
      <c r="I3306" s="1">
        <v>4.7066999999999997</v>
      </c>
    </row>
    <row r="3307" spans="1:9" x14ac:dyDescent="0.35">
      <c r="A3307" s="3" t="s">
        <v>3369</v>
      </c>
      <c r="B3307" s="1" t="s">
        <v>1485</v>
      </c>
      <c r="C3307" s="1" t="s">
        <v>914</v>
      </c>
      <c r="D3307" s="1" t="s">
        <v>52</v>
      </c>
      <c r="E3307" s="1" t="s">
        <v>33</v>
      </c>
      <c r="F3307" s="2" t="s">
        <v>2039</v>
      </c>
      <c r="G3307" s="1">
        <v>217.584</v>
      </c>
      <c r="H3307" s="1">
        <v>2</v>
      </c>
      <c r="I3307" s="1">
        <v>19.038599999999999</v>
      </c>
    </row>
    <row r="3308" spans="1:9" x14ac:dyDescent="0.35">
      <c r="A3308" s="3" t="s">
        <v>3369</v>
      </c>
      <c r="B3308" s="1" t="s">
        <v>1485</v>
      </c>
      <c r="C3308" s="1" t="s">
        <v>914</v>
      </c>
      <c r="D3308" s="1" t="s">
        <v>52</v>
      </c>
      <c r="E3308" s="1" t="s">
        <v>33</v>
      </c>
      <c r="F3308" s="2" t="s">
        <v>1395</v>
      </c>
      <c r="G3308" s="1">
        <v>328.77600000000001</v>
      </c>
      <c r="H3308" s="1">
        <v>3</v>
      </c>
      <c r="I3308" s="1">
        <v>28.767900000000001</v>
      </c>
    </row>
    <row r="3309" spans="1:9" x14ac:dyDescent="0.35">
      <c r="A3309" s="3" t="s">
        <v>3369</v>
      </c>
      <c r="B3309" s="1" t="s">
        <v>1485</v>
      </c>
      <c r="C3309" s="1" t="s">
        <v>914</v>
      </c>
      <c r="D3309" s="1" t="s">
        <v>52</v>
      </c>
      <c r="E3309" s="1" t="s">
        <v>35</v>
      </c>
      <c r="F3309" s="2" t="s">
        <v>596</v>
      </c>
      <c r="G3309" s="1">
        <v>2.286</v>
      </c>
      <c r="H3309" s="1">
        <v>3</v>
      </c>
      <c r="I3309" s="1">
        <v>-3.6576</v>
      </c>
    </row>
    <row r="3310" spans="1:9" x14ac:dyDescent="0.35">
      <c r="A3310" s="3" t="s">
        <v>3369</v>
      </c>
      <c r="B3310" s="1" t="s">
        <v>1485</v>
      </c>
      <c r="C3310" s="1" t="s">
        <v>914</v>
      </c>
      <c r="D3310" s="1" t="s">
        <v>52</v>
      </c>
      <c r="E3310" s="1" t="s">
        <v>81</v>
      </c>
      <c r="F3310" s="2" t="s">
        <v>490</v>
      </c>
      <c r="G3310" s="1">
        <v>47.984000000000002</v>
      </c>
      <c r="H3310" s="1">
        <v>2</v>
      </c>
      <c r="I3310" s="1">
        <v>14.395200000000001</v>
      </c>
    </row>
    <row r="3311" spans="1:9" x14ac:dyDescent="0.35">
      <c r="A3311" s="3">
        <v>42135</v>
      </c>
      <c r="B3311" s="1" t="s">
        <v>1010</v>
      </c>
      <c r="C3311" s="1" t="s">
        <v>135</v>
      </c>
      <c r="D3311" s="1" t="s">
        <v>136</v>
      </c>
      <c r="E3311" s="1" t="s">
        <v>35</v>
      </c>
      <c r="F3311" s="2" t="s">
        <v>1819</v>
      </c>
      <c r="G3311" s="1">
        <v>25.344000000000001</v>
      </c>
      <c r="H3311" s="1">
        <v>6</v>
      </c>
      <c r="I3311" s="1">
        <v>8.8704000000000001</v>
      </c>
    </row>
    <row r="3312" spans="1:9" x14ac:dyDescent="0.35">
      <c r="A3312" s="3" t="s">
        <v>3168</v>
      </c>
      <c r="B3312" s="1" t="s">
        <v>2010</v>
      </c>
      <c r="C3312" s="1" t="s">
        <v>135</v>
      </c>
      <c r="D3312" s="1" t="s">
        <v>136</v>
      </c>
      <c r="E3312" s="1" t="s">
        <v>35</v>
      </c>
      <c r="F3312" s="2" t="s">
        <v>1540</v>
      </c>
      <c r="G3312" s="1">
        <v>232.4</v>
      </c>
      <c r="H3312" s="1">
        <v>5</v>
      </c>
      <c r="I3312" s="1">
        <v>78.435000000000002</v>
      </c>
    </row>
    <row r="3313" spans="1:9" x14ac:dyDescent="0.35">
      <c r="A3313" s="3" t="s">
        <v>3370</v>
      </c>
      <c r="B3313" s="1" t="s">
        <v>2506</v>
      </c>
      <c r="C3313" s="1" t="s">
        <v>1507</v>
      </c>
      <c r="D3313" s="1" t="s">
        <v>704</v>
      </c>
      <c r="E3313" s="1" t="s">
        <v>29</v>
      </c>
      <c r="F3313" s="2" t="s">
        <v>1502</v>
      </c>
      <c r="G3313" s="1">
        <v>86.45</v>
      </c>
      <c r="H3313" s="1">
        <v>7</v>
      </c>
      <c r="I3313" s="1">
        <v>38.037999999999997</v>
      </c>
    </row>
    <row r="3314" spans="1:9" x14ac:dyDescent="0.35">
      <c r="A3314" s="3" t="s">
        <v>3371</v>
      </c>
      <c r="B3314" s="1" t="s">
        <v>1820</v>
      </c>
      <c r="C3314" s="1" t="s">
        <v>461</v>
      </c>
      <c r="D3314" s="1" t="s">
        <v>18</v>
      </c>
      <c r="E3314" s="1" t="s">
        <v>14</v>
      </c>
      <c r="F3314" s="2" t="s">
        <v>556</v>
      </c>
      <c r="G3314" s="1">
        <v>603.91999999999996</v>
      </c>
      <c r="H3314" s="1">
        <v>5</v>
      </c>
      <c r="I3314" s="1">
        <v>45.293999999999997</v>
      </c>
    </row>
    <row r="3315" spans="1:9" x14ac:dyDescent="0.35">
      <c r="A3315" s="3" t="s">
        <v>3371</v>
      </c>
      <c r="B3315" s="1" t="s">
        <v>1820</v>
      </c>
      <c r="C3315" s="1" t="s">
        <v>461</v>
      </c>
      <c r="D3315" s="1" t="s">
        <v>18</v>
      </c>
      <c r="E3315" s="1" t="s">
        <v>44</v>
      </c>
      <c r="F3315" s="2" t="s">
        <v>1879</v>
      </c>
      <c r="G3315" s="1">
        <v>81.98</v>
      </c>
      <c r="H3315" s="1">
        <v>2</v>
      </c>
      <c r="I3315" s="1">
        <v>40.170200000000001</v>
      </c>
    </row>
    <row r="3316" spans="1:9" x14ac:dyDescent="0.35">
      <c r="A3316" s="3" t="s">
        <v>3372</v>
      </c>
      <c r="B3316" s="1" t="s">
        <v>2320</v>
      </c>
      <c r="C3316" s="1" t="s">
        <v>1061</v>
      </c>
      <c r="D3316" s="1" t="s">
        <v>136</v>
      </c>
      <c r="E3316" s="1" t="s">
        <v>14</v>
      </c>
      <c r="F3316" s="2" t="s">
        <v>556</v>
      </c>
      <c r="G3316" s="1">
        <v>271.76400000000001</v>
      </c>
      <c r="H3316" s="1">
        <v>2</v>
      </c>
      <c r="I3316" s="1">
        <v>48.313600000000001</v>
      </c>
    </row>
    <row r="3317" spans="1:9" x14ac:dyDescent="0.35">
      <c r="A3317" s="3" t="s">
        <v>3372</v>
      </c>
      <c r="B3317" s="1" t="s">
        <v>2320</v>
      </c>
      <c r="C3317" s="1" t="s">
        <v>1061</v>
      </c>
      <c r="D3317" s="1" t="s">
        <v>136</v>
      </c>
      <c r="E3317" s="1" t="s">
        <v>35</v>
      </c>
      <c r="F3317" s="2" t="s">
        <v>1868</v>
      </c>
      <c r="G3317" s="1">
        <v>14.375999999999999</v>
      </c>
      <c r="H3317" s="1">
        <v>3</v>
      </c>
      <c r="I3317" s="1">
        <v>4.8518999999999997</v>
      </c>
    </row>
    <row r="3318" spans="1:9" x14ac:dyDescent="0.35">
      <c r="A3318" s="3">
        <v>43019</v>
      </c>
      <c r="B3318" s="1" t="s">
        <v>1753</v>
      </c>
      <c r="C3318" s="1" t="s">
        <v>1277</v>
      </c>
      <c r="D3318" s="1" t="s">
        <v>52</v>
      </c>
      <c r="E3318" s="1" t="s">
        <v>29</v>
      </c>
      <c r="F3318" s="2" t="s">
        <v>2169</v>
      </c>
      <c r="G3318" s="1">
        <v>341.96</v>
      </c>
      <c r="H3318" s="1">
        <v>5</v>
      </c>
      <c r="I3318" s="1">
        <v>-427.45</v>
      </c>
    </row>
    <row r="3319" spans="1:9" x14ac:dyDescent="0.35">
      <c r="A3319" s="3">
        <v>42317</v>
      </c>
      <c r="B3319" s="1" t="s">
        <v>260</v>
      </c>
      <c r="C3319" s="1" t="s">
        <v>381</v>
      </c>
      <c r="D3319" s="1" t="s">
        <v>18</v>
      </c>
      <c r="E3319" s="1" t="s">
        <v>31</v>
      </c>
      <c r="F3319" s="2" t="s">
        <v>1104</v>
      </c>
      <c r="G3319" s="1">
        <v>181.35</v>
      </c>
      <c r="H3319" s="1">
        <v>9</v>
      </c>
      <c r="I3319" s="1">
        <v>48.964500000000001</v>
      </c>
    </row>
    <row r="3320" spans="1:9" x14ac:dyDescent="0.35">
      <c r="A3320" s="3">
        <v>42317</v>
      </c>
      <c r="B3320" s="1" t="s">
        <v>260</v>
      </c>
      <c r="C3320" s="1" t="s">
        <v>381</v>
      </c>
      <c r="D3320" s="1" t="s">
        <v>18</v>
      </c>
      <c r="E3320" s="1" t="s">
        <v>19</v>
      </c>
      <c r="F3320" s="2" t="s">
        <v>1968</v>
      </c>
      <c r="G3320" s="1">
        <v>8.64</v>
      </c>
      <c r="H3320" s="1">
        <v>3</v>
      </c>
      <c r="I3320" s="1">
        <v>4.2336</v>
      </c>
    </row>
    <row r="3321" spans="1:9" x14ac:dyDescent="0.35">
      <c r="A3321" s="3" t="s">
        <v>3340</v>
      </c>
      <c r="B3321" s="1" t="s">
        <v>2534</v>
      </c>
      <c r="C3321" s="1" t="s">
        <v>193</v>
      </c>
      <c r="D3321" s="1" t="s">
        <v>171</v>
      </c>
      <c r="E3321" s="1" t="s">
        <v>37</v>
      </c>
      <c r="F3321" s="2" t="s">
        <v>1743</v>
      </c>
      <c r="G3321" s="1">
        <v>43.512</v>
      </c>
      <c r="H3321" s="1">
        <v>7</v>
      </c>
      <c r="I3321" s="1">
        <v>3.8073000000000001</v>
      </c>
    </row>
    <row r="3322" spans="1:9" x14ac:dyDescent="0.35">
      <c r="A3322" s="3" t="s">
        <v>3340</v>
      </c>
      <c r="B3322" s="1" t="s">
        <v>2534</v>
      </c>
      <c r="C3322" s="1" t="s">
        <v>193</v>
      </c>
      <c r="D3322" s="1" t="s">
        <v>171</v>
      </c>
      <c r="E3322" s="1" t="s">
        <v>14</v>
      </c>
      <c r="F3322" s="2" t="s">
        <v>341</v>
      </c>
      <c r="G3322" s="1">
        <v>662.88</v>
      </c>
      <c r="H3322" s="1">
        <v>3</v>
      </c>
      <c r="I3322" s="1">
        <v>74.573999999999998</v>
      </c>
    </row>
    <row r="3323" spans="1:9" x14ac:dyDescent="0.35">
      <c r="A3323" s="3" t="s">
        <v>3340</v>
      </c>
      <c r="B3323" s="1" t="s">
        <v>2534</v>
      </c>
      <c r="C3323" s="1" t="s">
        <v>193</v>
      </c>
      <c r="D3323" s="1" t="s">
        <v>171</v>
      </c>
      <c r="E3323" s="1" t="s">
        <v>44</v>
      </c>
      <c r="F3323" s="2" t="s">
        <v>1806</v>
      </c>
      <c r="G3323" s="1">
        <v>25.92</v>
      </c>
      <c r="H3323" s="1">
        <v>5</v>
      </c>
      <c r="I3323" s="1">
        <v>9.0719999999999992</v>
      </c>
    </row>
    <row r="3324" spans="1:9" x14ac:dyDescent="0.35">
      <c r="A3324" s="3" t="s">
        <v>3373</v>
      </c>
      <c r="B3324" s="1" t="s">
        <v>1037</v>
      </c>
      <c r="C3324" s="1" t="s">
        <v>135</v>
      </c>
      <c r="D3324" s="1" t="s">
        <v>136</v>
      </c>
      <c r="E3324" s="1" t="s">
        <v>37</v>
      </c>
      <c r="F3324" s="2" t="s">
        <v>38</v>
      </c>
      <c r="G3324" s="1">
        <v>68.94</v>
      </c>
      <c r="H3324" s="1">
        <v>3</v>
      </c>
      <c r="I3324" s="1">
        <v>20.681999999999999</v>
      </c>
    </row>
    <row r="3325" spans="1:9" x14ac:dyDescent="0.35">
      <c r="A3325" s="3" t="s">
        <v>3373</v>
      </c>
      <c r="B3325" s="1" t="s">
        <v>1037</v>
      </c>
      <c r="C3325" s="1" t="s">
        <v>135</v>
      </c>
      <c r="D3325" s="1" t="s">
        <v>136</v>
      </c>
      <c r="E3325" s="1" t="s">
        <v>29</v>
      </c>
      <c r="F3325" s="2" t="s">
        <v>1047</v>
      </c>
      <c r="G3325" s="1">
        <v>128.82</v>
      </c>
      <c r="H3325" s="1">
        <v>3</v>
      </c>
      <c r="I3325" s="1">
        <v>50.239800000000002</v>
      </c>
    </row>
    <row r="3326" spans="1:9" x14ac:dyDescent="0.35">
      <c r="A3326" s="3">
        <v>41954</v>
      </c>
      <c r="B3326" s="1" t="s">
        <v>161</v>
      </c>
      <c r="C3326" s="1" t="s">
        <v>93</v>
      </c>
      <c r="D3326" s="1" t="s">
        <v>52</v>
      </c>
      <c r="E3326" s="1" t="s">
        <v>35</v>
      </c>
      <c r="F3326" s="2" t="s">
        <v>1956</v>
      </c>
      <c r="G3326" s="1">
        <v>896.99</v>
      </c>
      <c r="H3326" s="1">
        <v>5</v>
      </c>
      <c r="I3326" s="1">
        <v>-1480.0335</v>
      </c>
    </row>
    <row r="3327" spans="1:9" x14ac:dyDescent="0.35">
      <c r="A3327" s="3">
        <v>41954</v>
      </c>
      <c r="B3327" s="1" t="s">
        <v>161</v>
      </c>
      <c r="C3327" s="1" t="s">
        <v>93</v>
      </c>
      <c r="D3327" s="1" t="s">
        <v>52</v>
      </c>
      <c r="E3327" s="1" t="s">
        <v>35</v>
      </c>
      <c r="F3327" s="2" t="s">
        <v>2476</v>
      </c>
      <c r="G3327" s="1">
        <v>1.234</v>
      </c>
      <c r="H3327" s="1">
        <v>1</v>
      </c>
      <c r="I3327" s="1">
        <v>-1.9743999999999999</v>
      </c>
    </row>
    <row r="3328" spans="1:9" x14ac:dyDescent="0.35">
      <c r="A3328" s="3">
        <v>41954</v>
      </c>
      <c r="B3328" s="1" t="s">
        <v>161</v>
      </c>
      <c r="C3328" s="1" t="s">
        <v>93</v>
      </c>
      <c r="D3328" s="1" t="s">
        <v>52</v>
      </c>
      <c r="E3328" s="1" t="s">
        <v>31</v>
      </c>
      <c r="F3328" s="2" t="s">
        <v>2451</v>
      </c>
      <c r="G3328" s="1">
        <v>67.56</v>
      </c>
      <c r="H3328" s="1">
        <v>3</v>
      </c>
      <c r="I3328" s="1">
        <v>6.7560000000000002</v>
      </c>
    </row>
    <row r="3329" spans="1:9" x14ac:dyDescent="0.35">
      <c r="A3329" s="3">
        <v>41954</v>
      </c>
      <c r="B3329" s="1" t="s">
        <v>161</v>
      </c>
      <c r="C3329" s="1" t="s">
        <v>93</v>
      </c>
      <c r="D3329" s="1" t="s">
        <v>52</v>
      </c>
      <c r="E3329" s="1" t="s">
        <v>44</v>
      </c>
      <c r="F3329" s="2" t="s">
        <v>679</v>
      </c>
      <c r="G3329" s="1">
        <v>21.72</v>
      </c>
      <c r="H3329" s="1">
        <v>5</v>
      </c>
      <c r="I3329" s="1">
        <v>7.8734999999999999</v>
      </c>
    </row>
    <row r="3330" spans="1:9" x14ac:dyDescent="0.35">
      <c r="A3330" s="3">
        <v>41954</v>
      </c>
      <c r="B3330" s="1" t="s">
        <v>161</v>
      </c>
      <c r="C3330" s="1" t="s">
        <v>93</v>
      </c>
      <c r="D3330" s="1" t="s">
        <v>52</v>
      </c>
      <c r="E3330" s="1" t="s">
        <v>44</v>
      </c>
      <c r="F3330" s="2" t="s">
        <v>2535</v>
      </c>
      <c r="G3330" s="1">
        <v>262.33600000000001</v>
      </c>
      <c r="H3330" s="1">
        <v>8</v>
      </c>
      <c r="I3330" s="1">
        <v>95.096800000000002</v>
      </c>
    </row>
    <row r="3331" spans="1:9" x14ac:dyDescent="0.35">
      <c r="A3331" s="3">
        <v>41954</v>
      </c>
      <c r="B3331" s="1" t="s">
        <v>161</v>
      </c>
      <c r="C3331" s="1" t="s">
        <v>93</v>
      </c>
      <c r="D3331" s="1" t="s">
        <v>52</v>
      </c>
      <c r="E3331" s="1" t="s">
        <v>33</v>
      </c>
      <c r="F3331" s="2" t="s">
        <v>1538</v>
      </c>
      <c r="G3331" s="1">
        <v>148.47999999999999</v>
      </c>
      <c r="H3331" s="1">
        <v>2</v>
      </c>
      <c r="I3331" s="1">
        <v>16.704000000000001</v>
      </c>
    </row>
    <row r="3332" spans="1:9" x14ac:dyDescent="0.35">
      <c r="A3332" s="3">
        <v>41954</v>
      </c>
      <c r="B3332" s="1" t="s">
        <v>161</v>
      </c>
      <c r="C3332" s="1" t="s">
        <v>93</v>
      </c>
      <c r="D3332" s="1" t="s">
        <v>52</v>
      </c>
      <c r="E3332" s="1" t="s">
        <v>33</v>
      </c>
      <c r="F3332" s="2" t="s">
        <v>1933</v>
      </c>
      <c r="G3332" s="1">
        <v>241.17599999999999</v>
      </c>
      <c r="H3332" s="1">
        <v>3</v>
      </c>
      <c r="I3332" s="1">
        <v>15.073499999999999</v>
      </c>
    </row>
    <row r="3333" spans="1:9" x14ac:dyDescent="0.35">
      <c r="A3333" s="3" t="s">
        <v>3305</v>
      </c>
      <c r="B3333" s="1" t="s">
        <v>200</v>
      </c>
      <c r="C3333" s="1" t="s">
        <v>154</v>
      </c>
      <c r="D3333" s="1" t="s">
        <v>106</v>
      </c>
      <c r="E3333" s="1" t="s">
        <v>81</v>
      </c>
      <c r="F3333" s="2" t="s">
        <v>2536</v>
      </c>
      <c r="G3333" s="1">
        <v>227.976</v>
      </c>
      <c r="H3333" s="1">
        <v>3</v>
      </c>
      <c r="I3333" s="1">
        <v>28.497</v>
      </c>
    </row>
    <row r="3334" spans="1:9" x14ac:dyDescent="0.35">
      <c r="A3334" s="3" t="s">
        <v>3305</v>
      </c>
      <c r="B3334" s="1" t="s">
        <v>200</v>
      </c>
      <c r="C3334" s="1" t="s">
        <v>154</v>
      </c>
      <c r="D3334" s="1" t="s">
        <v>106</v>
      </c>
      <c r="E3334" s="1" t="s">
        <v>33</v>
      </c>
      <c r="F3334" s="2" t="s">
        <v>2516</v>
      </c>
      <c r="G3334" s="1">
        <v>52.68</v>
      </c>
      <c r="H3334" s="1">
        <v>3</v>
      </c>
      <c r="I3334" s="1">
        <v>19.754999999999999</v>
      </c>
    </row>
    <row r="3335" spans="1:9" x14ac:dyDescent="0.35">
      <c r="A3335" s="3" t="s">
        <v>3305</v>
      </c>
      <c r="B3335" s="1" t="s">
        <v>200</v>
      </c>
      <c r="C3335" s="1" t="s">
        <v>154</v>
      </c>
      <c r="D3335" s="1" t="s">
        <v>106</v>
      </c>
      <c r="E3335" s="1" t="s">
        <v>29</v>
      </c>
      <c r="F3335" s="2" t="s">
        <v>2537</v>
      </c>
      <c r="G3335" s="1">
        <v>2.032</v>
      </c>
      <c r="H3335" s="1">
        <v>1</v>
      </c>
      <c r="I3335" s="1">
        <v>-1.3208</v>
      </c>
    </row>
    <row r="3336" spans="1:9" x14ac:dyDescent="0.35">
      <c r="A3336" s="3" t="s">
        <v>3374</v>
      </c>
      <c r="B3336" s="1" t="s">
        <v>2538</v>
      </c>
      <c r="C3336" s="1" t="s">
        <v>1391</v>
      </c>
      <c r="D3336" s="1" t="s">
        <v>18</v>
      </c>
      <c r="E3336" s="1" t="s">
        <v>31</v>
      </c>
      <c r="F3336" s="2" t="s">
        <v>1346</v>
      </c>
      <c r="G3336" s="1">
        <v>17.12</v>
      </c>
      <c r="H3336" s="1">
        <v>4</v>
      </c>
      <c r="I3336" s="1">
        <v>4.9648000000000003</v>
      </c>
    </row>
    <row r="3337" spans="1:9" x14ac:dyDescent="0.35">
      <c r="A3337" s="3" t="s">
        <v>3374</v>
      </c>
      <c r="B3337" s="1" t="s">
        <v>2538</v>
      </c>
      <c r="C3337" s="1" t="s">
        <v>1391</v>
      </c>
      <c r="D3337" s="1" t="s">
        <v>18</v>
      </c>
      <c r="E3337" s="1" t="s">
        <v>33</v>
      </c>
      <c r="F3337" s="2" t="s">
        <v>934</v>
      </c>
      <c r="G3337" s="1">
        <v>431.96800000000002</v>
      </c>
      <c r="H3337" s="1">
        <v>4</v>
      </c>
      <c r="I3337" s="1">
        <v>37.797199999999997</v>
      </c>
    </row>
    <row r="3338" spans="1:9" x14ac:dyDescent="0.35">
      <c r="A3338" s="3" t="s">
        <v>3374</v>
      </c>
      <c r="B3338" s="1" t="s">
        <v>2538</v>
      </c>
      <c r="C3338" s="1" t="s">
        <v>1391</v>
      </c>
      <c r="D3338" s="1" t="s">
        <v>18</v>
      </c>
      <c r="E3338" s="1" t="s">
        <v>29</v>
      </c>
      <c r="F3338" s="2" t="s">
        <v>2539</v>
      </c>
      <c r="G3338" s="1">
        <v>129.91999999999999</v>
      </c>
      <c r="H3338" s="1">
        <v>4</v>
      </c>
      <c r="I3338" s="1">
        <v>10.393599999999999</v>
      </c>
    </row>
    <row r="3339" spans="1:9" x14ac:dyDescent="0.35">
      <c r="A3339" s="3" t="s">
        <v>3374</v>
      </c>
      <c r="B3339" s="1" t="s">
        <v>2538</v>
      </c>
      <c r="C3339" s="1" t="s">
        <v>1391</v>
      </c>
      <c r="D3339" s="1" t="s">
        <v>18</v>
      </c>
      <c r="E3339" s="1" t="s">
        <v>24</v>
      </c>
      <c r="F3339" s="2" t="s">
        <v>39</v>
      </c>
      <c r="G3339" s="1">
        <v>568.72799999999995</v>
      </c>
      <c r="H3339" s="1">
        <v>3</v>
      </c>
      <c r="I3339" s="1">
        <v>28.436399999999999</v>
      </c>
    </row>
    <row r="3340" spans="1:9" x14ac:dyDescent="0.35">
      <c r="A3340" s="3" t="s">
        <v>3374</v>
      </c>
      <c r="B3340" s="1" t="s">
        <v>2538</v>
      </c>
      <c r="C3340" s="1" t="s">
        <v>1391</v>
      </c>
      <c r="D3340" s="1" t="s">
        <v>18</v>
      </c>
      <c r="E3340" s="1" t="s">
        <v>35</v>
      </c>
      <c r="F3340" s="2" t="s">
        <v>2540</v>
      </c>
      <c r="G3340" s="1">
        <v>117.14400000000001</v>
      </c>
      <c r="H3340" s="1">
        <v>9</v>
      </c>
      <c r="I3340" s="1">
        <v>42.464700000000001</v>
      </c>
    </row>
    <row r="3341" spans="1:9" x14ac:dyDescent="0.35">
      <c r="A3341" s="3" t="s">
        <v>3374</v>
      </c>
      <c r="B3341" s="1" t="s">
        <v>2538</v>
      </c>
      <c r="C3341" s="1" t="s">
        <v>1391</v>
      </c>
      <c r="D3341" s="1" t="s">
        <v>18</v>
      </c>
      <c r="E3341" s="1" t="s">
        <v>37</v>
      </c>
      <c r="F3341" s="2" t="s">
        <v>2541</v>
      </c>
      <c r="G3341" s="1">
        <v>203.52</v>
      </c>
      <c r="H3341" s="1">
        <v>3</v>
      </c>
      <c r="I3341" s="1">
        <v>54.950400000000002</v>
      </c>
    </row>
    <row r="3342" spans="1:9" x14ac:dyDescent="0.35">
      <c r="A3342" s="3" t="s">
        <v>3374</v>
      </c>
      <c r="B3342" s="1" t="s">
        <v>2538</v>
      </c>
      <c r="C3342" s="1" t="s">
        <v>1391</v>
      </c>
      <c r="D3342" s="1" t="s">
        <v>18</v>
      </c>
      <c r="E3342" s="1" t="s">
        <v>19</v>
      </c>
      <c r="F3342" s="2" t="s">
        <v>605</v>
      </c>
      <c r="G3342" s="1">
        <v>51.75</v>
      </c>
      <c r="H3342" s="1">
        <v>5</v>
      </c>
      <c r="I3342" s="1">
        <v>24.84</v>
      </c>
    </row>
    <row r="3343" spans="1:9" x14ac:dyDescent="0.35">
      <c r="A3343" s="3" t="s">
        <v>3375</v>
      </c>
      <c r="B3343" s="1" t="s">
        <v>140</v>
      </c>
      <c r="C3343" s="1" t="s">
        <v>626</v>
      </c>
      <c r="D3343" s="1" t="s">
        <v>592</v>
      </c>
      <c r="E3343" s="1" t="s">
        <v>44</v>
      </c>
      <c r="F3343" s="2" t="s">
        <v>1879</v>
      </c>
      <c r="G3343" s="1">
        <v>122.97</v>
      </c>
      <c r="H3343" s="1">
        <v>3</v>
      </c>
      <c r="I3343" s="1">
        <v>60.255299999999998</v>
      </c>
    </row>
    <row r="3344" spans="1:9" x14ac:dyDescent="0.35">
      <c r="A3344" s="3" t="s">
        <v>3375</v>
      </c>
      <c r="B3344" s="1" t="s">
        <v>140</v>
      </c>
      <c r="C3344" s="1" t="s">
        <v>626</v>
      </c>
      <c r="D3344" s="1" t="s">
        <v>592</v>
      </c>
      <c r="E3344" s="1" t="s">
        <v>24</v>
      </c>
      <c r="F3344" s="2" t="s">
        <v>1856</v>
      </c>
      <c r="G3344" s="1">
        <v>244.61500000000001</v>
      </c>
      <c r="H3344" s="1">
        <v>1</v>
      </c>
      <c r="I3344" s="1">
        <v>20.966999999999999</v>
      </c>
    </row>
    <row r="3345" spans="1:9" x14ac:dyDescent="0.35">
      <c r="A3345" s="3" t="s">
        <v>3375</v>
      </c>
      <c r="B3345" s="1" t="s">
        <v>140</v>
      </c>
      <c r="C3345" s="1" t="s">
        <v>626</v>
      </c>
      <c r="D3345" s="1" t="s">
        <v>592</v>
      </c>
      <c r="E3345" s="1" t="s">
        <v>33</v>
      </c>
      <c r="F3345" s="2" t="s">
        <v>450</v>
      </c>
      <c r="G3345" s="1">
        <v>59.97</v>
      </c>
      <c r="H3345" s="1">
        <v>3</v>
      </c>
      <c r="I3345" s="1">
        <v>28.785599999999999</v>
      </c>
    </row>
    <row r="3346" spans="1:9" x14ac:dyDescent="0.35">
      <c r="A3346" s="3" t="s">
        <v>3375</v>
      </c>
      <c r="B3346" s="1" t="s">
        <v>140</v>
      </c>
      <c r="C3346" s="1" t="s">
        <v>626</v>
      </c>
      <c r="D3346" s="1" t="s">
        <v>592</v>
      </c>
      <c r="E3346" s="1" t="s">
        <v>44</v>
      </c>
      <c r="F3346" s="2" t="s">
        <v>393</v>
      </c>
      <c r="G3346" s="1">
        <v>81.540000000000006</v>
      </c>
      <c r="H3346" s="1">
        <v>9</v>
      </c>
      <c r="I3346" s="1">
        <v>36.692999999999998</v>
      </c>
    </row>
    <row r="3347" spans="1:9" x14ac:dyDescent="0.35">
      <c r="A3347" s="3" t="s">
        <v>3375</v>
      </c>
      <c r="B3347" s="1" t="s">
        <v>140</v>
      </c>
      <c r="C3347" s="1" t="s">
        <v>626</v>
      </c>
      <c r="D3347" s="1" t="s">
        <v>592</v>
      </c>
      <c r="E3347" s="1" t="s">
        <v>137</v>
      </c>
      <c r="F3347" s="2" t="s">
        <v>281</v>
      </c>
      <c r="G3347" s="1">
        <v>11.68</v>
      </c>
      <c r="H3347" s="1">
        <v>4</v>
      </c>
      <c r="I3347" s="1">
        <v>5.2560000000000002</v>
      </c>
    </row>
    <row r="3348" spans="1:9" x14ac:dyDescent="0.35">
      <c r="A3348" s="3" t="s">
        <v>3375</v>
      </c>
      <c r="B3348" s="1" t="s">
        <v>140</v>
      </c>
      <c r="C3348" s="1" t="s">
        <v>626</v>
      </c>
      <c r="D3348" s="1" t="s">
        <v>592</v>
      </c>
      <c r="E3348" s="1" t="s">
        <v>35</v>
      </c>
      <c r="F3348" s="2" t="s">
        <v>2420</v>
      </c>
      <c r="G3348" s="1">
        <v>29</v>
      </c>
      <c r="H3348" s="1">
        <v>5</v>
      </c>
      <c r="I3348" s="1">
        <v>13.92</v>
      </c>
    </row>
    <row r="3349" spans="1:9" x14ac:dyDescent="0.35">
      <c r="A3349" s="3" t="s">
        <v>3376</v>
      </c>
      <c r="B3349" s="1" t="s">
        <v>113</v>
      </c>
      <c r="C3349" s="1" t="s">
        <v>2542</v>
      </c>
      <c r="D3349" s="1" t="s">
        <v>18</v>
      </c>
      <c r="E3349" s="1" t="s">
        <v>31</v>
      </c>
      <c r="F3349" s="2" t="s">
        <v>738</v>
      </c>
      <c r="G3349" s="1">
        <v>50.8</v>
      </c>
      <c r="H3349" s="1">
        <v>5</v>
      </c>
      <c r="I3349" s="1">
        <v>13.208</v>
      </c>
    </row>
    <row r="3350" spans="1:9" x14ac:dyDescent="0.35">
      <c r="A3350" s="3">
        <v>42866</v>
      </c>
      <c r="B3350" s="1" t="s">
        <v>508</v>
      </c>
      <c r="C3350" s="1" t="s">
        <v>154</v>
      </c>
      <c r="D3350" s="1" t="s">
        <v>106</v>
      </c>
      <c r="E3350" s="1" t="s">
        <v>35</v>
      </c>
      <c r="F3350" s="2" t="s">
        <v>85</v>
      </c>
      <c r="G3350" s="1">
        <v>16.03</v>
      </c>
      <c r="H3350" s="1">
        <v>5</v>
      </c>
      <c r="I3350" s="1">
        <v>-25.648</v>
      </c>
    </row>
    <row r="3351" spans="1:9" x14ac:dyDescent="0.35">
      <c r="A3351" s="3" t="s">
        <v>3377</v>
      </c>
      <c r="B3351" s="1" t="s">
        <v>1407</v>
      </c>
      <c r="C3351" s="1" t="s">
        <v>47</v>
      </c>
      <c r="D3351" s="1" t="s">
        <v>48</v>
      </c>
      <c r="E3351" s="1" t="s">
        <v>35</v>
      </c>
      <c r="F3351" s="2" t="s">
        <v>1209</v>
      </c>
      <c r="G3351" s="1">
        <v>15.712</v>
      </c>
      <c r="H3351" s="1">
        <v>4</v>
      </c>
      <c r="I3351" s="1">
        <v>5.6955999999999998</v>
      </c>
    </row>
    <row r="3352" spans="1:9" x14ac:dyDescent="0.35">
      <c r="A3352" s="3" t="s">
        <v>3378</v>
      </c>
      <c r="B3352" s="1" t="s">
        <v>927</v>
      </c>
      <c r="C3352" s="1" t="s">
        <v>135</v>
      </c>
      <c r="D3352" s="1" t="s">
        <v>136</v>
      </c>
      <c r="E3352" s="1" t="s">
        <v>81</v>
      </c>
      <c r="F3352" s="2" t="s">
        <v>1764</v>
      </c>
      <c r="G3352" s="1">
        <v>89.97</v>
      </c>
      <c r="H3352" s="1">
        <v>3</v>
      </c>
      <c r="I3352" s="1">
        <v>18.893699999999999</v>
      </c>
    </row>
    <row r="3353" spans="1:9" x14ac:dyDescent="0.35">
      <c r="A3353" s="3" t="s">
        <v>3379</v>
      </c>
      <c r="B3353" s="1" t="s">
        <v>1170</v>
      </c>
      <c r="C3353" s="1" t="s">
        <v>461</v>
      </c>
      <c r="D3353" s="1" t="s">
        <v>18</v>
      </c>
      <c r="E3353" s="1" t="s">
        <v>12</v>
      </c>
      <c r="F3353" s="2" t="s">
        <v>2543</v>
      </c>
      <c r="G3353" s="1">
        <v>435.99900000000002</v>
      </c>
      <c r="H3353" s="1">
        <v>3</v>
      </c>
      <c r="I3353" s="1">
        <v>20.517600000000002</v>
      </c>
    </row>
    <row r="3354" spans="1:9" x14ac:dyDescent="0.35">
      <c r="A3354" s="3" t="s">
        <v>3379</v>
      </c>
      <c r="B3354" s="1" t="s">
        <v>1170</v>
      </c>
      <c r="C3354" s="1" t="s">
        <v>461</v>
      </c>
      <c r="D3354" s="1" t="s">
        <v>18</v>
      </c>
      <c r="E3354" s="1" t="s">
        <v>33</v>
      </c>
      <c r="F3354" s="2" t="s">
        <v>160</v>
      </c>
      <c r="G3354" s="1">
        <v>83.983999999999995</v>
      </c>
      <c r="H3354" s="1">
        <v>2</v>
      </c>
      <c r="I3354" s="1">
        <v>31.494</v>
      </c>
    </row>
    <row r="3355" spans="1:9" x14ac:dyDescent="0.35">
      <c r="A3355" s="3" t="s">
        <v>3380</v>
      </c>
      <c r="B3355" s="1" t="s">
        <v>484</v>
      </c>
      <c r="C3355" s="1" t="s">
        <v>258</v>
      </c>
      <c r="D3355" s="1" t="s">
        <v>368</v>
      </c>
      <c r="E3355" s="1" t="s">
        <v>33</v>
      </c>
      <c r="F3355" s="2" t="s">
        <v>1917</v>
      </c>
      <c r="G3355" s="1">
        <v>359.98</v>
      </c>
      <c r="H3355" s="1">
        <v>2</v>
      </c>
      <c r="I3355" s="1">
        <v>93.594800000000006</v>
      </c>
    </row>
    <row r="3356" spans="1:9" x14ac:dyDescent="0.35">
      <c r="A3356" s="3" t="s">
        <v>3380</v>
      </c>
      <c r="B3356" s="1" t="s">
        <v>484</v>
      </c>
      <c r="C3356" s="1" t="s">
        <v>258</v>
      </c>
      <c r="D3356" s="1" t="s">
        <v>368</v>
      </c>
      <c r="E3356" s="1" t="s">
        <v>24</v>
      </c>
      <c r="F3356" s="2" t="s">
        <v>2544</v>
      </c>
      <c r="G3356" s="1">
        <v>70.56</v>
      </c>
      <c r="H3356" s="1">
        <v>1</v>
      </c>
      <c r="I3356" s="1">
        <v>-4.032</v>
      </c>
    </row>
    <row r="3357" spans="1:9" x14ac:dyDescent="0.35">
      <c r="A3357" s="3" t="s">
        <v>3380</v>
      </c>
      <c r="B3357" s="1" t="s">
        <v>484</v>
      </c>
      <c r="C3357" s="1" t="s">
        <v>258</v>
      </c>
      <c r="D3357" s="1" t="s">
        <v>368</v>
      </c>
      <c r="E3357" s="1" t="s">
        <v>35</v>
      </c>
      <c r="F3357" s="2" t="s">
        <v>1460</v>
      </c>
      <c r="G3357" s="1">
        <v>20.88</v>
      </c>
      <c r="H3357" s="1">
        <v>2</v>
      </c>
      <c r="I3357" s="1">
        <v>9.6047999999999991</v>
      </c>
    </row>
    <row r="3358" spans="1:9" x14ac:dyDescent="0.35">
      <c r="A3358" s="3" t="s">
        <v>3380</v>
      </c>
      <c r="B3358" s="1" t="s">
        <v>484</v>
      </c>
      <c r="C3358" s="1" t="s">
        <v>258</v>
      </c>
      <c r="D3358" s="1" t="s">
        <v>368</v>
      </c>
      <c r="E3358" s="1" t="s">
        <v>35</v>
      </c>
      <c r="F3358" s="2" t="s">
        <v>596</v>
      </c>
      <c r="G3358" s="1">
        <v>3.81</v>
      </c>
      <c r="H3358" s="1">
        <v>1</v>
      </c>
      <c r="I3358" s="1">
        <v>1.8288</v>
      </c>
    </row>
    <row r="3359" spans="1:9" x14ac:dyDescent="0.35">
      <c r="A3359" s="3">
        <v>42925</v>
      </c>
      <c r="B3359" s="1" t="s">
        <v>1359</v>
      </c>
      <c r="C3359" s="1" t="s">
        <v>154</v>
      </c>
      <c r="D3359" s="1" t="s">
        <v>106</v>
      </c>
      <c r="E3359" s="1" t="s">
        <v>44</v>
      </c>
      <c r="F3359" s="2" t="s">
        <v>94</v>
      </c>
      <c r="G3359" s="1">
        <v>73.007999999999996</v>
      </c>
      <c r="H3359" s="1">
        <v>9</v>
      </c>
      <c r="I3359" s="1">
        <v>26.465399999999999</v>
      </c>
    </row>
    <row r="3360" spans="1:9" x14ac:dyDescent="0.35">
      <c r="A3360" s="3">
        <v>42526</v>
      </c>
      <c r="B3360" s="1" t="s">
        <v>2079</v>
      </c>
      <c r="C3360" s="1" t="s">
        <v>154</v>
      </c>
      <c r="D3360" s="1" t="s">
        <v>106</v>
      </c>
      <c r="E3360" s="1" t="s">
        <v>35</v>
      </c>
      <c r="F3360" s="2" t="s">
        <v>720</v>
      </c>
      <c r="G3360" s="1">
        <v>3.2080000000000002</v>
      </c>
      <c r="H3360" s="1">
        <v>2</v>
      </c>
      <c r="I3360" s="1">
        <v>-5.2931999999999997</v>
      </c>
    </row>
    <row r="3361" spans="1:9" x14ac:dyDescent="0.35">
      <c r="A3361" s="3">
        <v>42526</v>
      </c>
      <c r="B3361" s="1" t="s">
        <v>2079</v>
      </c>
      <c r="C3361" s="1" t="s">
        <v>154</v>
      </c>
      <c r="D3361" s="1" t="s">
        <v>106</v>
      </c>
      <c r="E3361" s="1" t="s">
        <v>81</v>
      </c>
      <c r="F3361" s="2" t="s">
        <v>1615</v>
      </c>
      <c r="G3361" s="1">
        <v>26.175999999999998</v>
      </c>
      <c r="H3361" s="1">
        <v>2</v>
      </c>
      <c r="I3361" s="1">
        <v>-3.2719999999999998</v>
      </c>
    </row>
    <row r="3362" spans="1:9" x14ac:dyDescent="0.35">
      <c r="A3362" s="3">
        <v>42100</v>
      </c>
      <c r="B3362" s="1" t="s">
        <v>1555</v>
      </c>
      <c r="C3362" s="1" t="s">
        <v>135</v>
      </c>
      <c r="D3362" s="1" t="s">
        <v>136</v>
      </c>
      <c r="E3362" s="1" t="s">
        <v>44</v>
      </c>
      <c r="F3362" s="2" t="s">
        <v>462</v>
      </c>
      <c r="G3362" s="1">
        <v>30.44</v>
      </c>
      <c r="H3362" s="1">
        <v>4</v>
      </c>
      <c r="I3362" s="1">
        <v>14.306800000000001</v>
      </c>
    </row>
    <row r="3363" spans="1:9" x14ac:dyDescent="0.35">
      <c r="A3363" s="3">
        <v>42100</v>
      </c>
      <c r="B3363" s="1" t="s">
        <v>1555</v>
      </c>
      <c r="C3363" s="1" t="s">
        <v>135</v>
      </c>
      <c r="D3363" s="1" t="s">
        <v>136</v>
      </c>
      <c r="E3363" s="1" t="s">
        <v>29</v>
      </c>
      <c r="F3363" s="2" t="s">
        <v>2545</v>
      </c>
      <c r="G3363" s="1">
        <v>35.28</v>
      </c>
      <c r="H3363" s="1">
        <v>3</v>
      </c>
      <c r="I3363" s="1">
        <v>11.995200000000001</v>
      </c>
    </row>
    <row r="3364" spans="1:9" x14ac:dyDescent="0.35">
      <c r="A3364" s="3" t="s">
        <v>3364</v>
      </c>
      <c r="B3364" s="1" t="s">
        <v>2363</v>
      </c>
      <c r="C3364" s="1" t="s">
        <v>2546</v>
      </c>
      <c r="D3364" s="1" t="s">
        <v>592</v>
      </c>
      <c r="E3364" s="1" t="s">
        <v>44</v>
      </c>
      <c r="F3364" s="2" t="s">
        <v>890</v>
      </c>
      <c r="G3364" s="1">
        <v>19.440000000000001</v>
      </c>
      <c r="H3364" s="1">
        <v>3</v>
      </c>
      <c r="I3364" s="1">
        <v>9.3312000000000008</v>
      </c>
    </row>
    <row r="3365" spans="1:9" x14ac:dyDescent="0.35">
      <c r="A3365" s="3" t="s">
        <v>3364</v>
      </c>
      <c r="B3365" s="1" t="s">
        <v>2363</v>
      </c>
      <c r="C3365" s="1" t="s">
        <v>2546</v>
      </c>
      <c r="D3365" s="1" t="s">
        <v>592</v>
      </c>
      <c r="E3365" s="1" t="s">
        <v>35</v>
      </c>
      <c r="F3365" s="2" t="s">
        <v>213</v>
      </c>
      <c r="G3365" s="1">
        <v>37.880000000000003</v>
      </c>
      <c r="H3365" s="1">
        <v>2</v>
      </c>
      <c r="I3365" s="1">
        <v>18.940000000000001</v>
      </c>
    </row>
    <row r="3366" spans="1:9" x14ac:dyDescent="0.35">
      <c r="A3366" s="3" t="s">
        <v>3381</v>
      </c>
      <c r="B3366" s="1" t="s">
        <v>1668</v>
      </c>
      <c r="C3366" s="1" t="s">
        <v>93</v>
      </c>
      <c r="D3366" s="1" t="s">
        <v>52</v>
      </c>
      <c r="E3366" s="1" t="s">
        <v>29</v>
      </c>
      <c r="F3366" s="2" t="s">
        <v>449</v>
      </c>
      <c r="G3366" s="1">
        <v>9.5519999999999996</v>
      </c>
      <c r="H3366" s="1">
        <v>3</v>
      </c>
      <c r="I3366" s="1">
        <v>-3.8208000000000002</v>
      </c>
    </row>
    <row r="3367" spans="1:9" x14ac:dyDescent="0.35">
      <c r="A3367" s="3" t="s">
        <v>3382</v>
      </c>
      <c r="B3367" s="1" t="s">
        <v>2547</v>
      </c>
      <c r="C3367" s="1" t="s">
        <v>969</v>
      </c>
      <c r="D3367" s="1" t="s">
        <v>18</v>
      </c>
      <c r="E3367" s="1" t="s">
        <v>12</v>
      </c>
      <c r="F3367" s="2" t="s">
        <v>1851</v>
      </c>
      <c r="G3367" s="1">
        <v>290.666</v>
      </c>
      <c r="H3367" s="1">
        <v>2</v>
      </c>
      <c r="I3367" s="1">
        <v>3.4196</v>
      </c>
    </row>
    <row r="3368" spans="1:9" x14ac:dyDescent="0.35">
      <c r="A3368" s="3">
        <v>41889</v>
      </c>
      <c r="B3368" s="1" t="s">
        <v>1170</v>
      </c>
      <c r="C3368" s="1" t="s">
        <v>399</v>
      </c>
      <c r="D3368" s="1" t="s">
        <v>52</v>
      </c>
      <c r="E3368" s="1" t="s">
        <v>44</v>
      </c>
      <c r="F3368" s="2" t="s">
        <v>1564</v>
      </c>
      <c r="G3368" s="1">
        <v>10.368</v>
      </c>
      <c r="H3368" s="1">
        <v>2</v>
      </c>
      <c r="I3368" s="1">
        <v>3.6288</v>
      </c>
    </row>
    <row r="3369" spans="1:9" x14ac:dyDescent="0.35">
      <c r="A3369" s="3">
        <v>41889</v>
      </c>
      <c r="B3369" s="1" t="s">
        <v>1170</v>
      </c>
      <c r="C3369" s="1" t="s">
        <v>399</v>
      </c>
      <c r="D3369" s="1" t="s">
        <v>52</v>
      </c>
      <c r="E3369" s="1" t="s">
        <v>44</v>
      </c>
      <c r="F3369" s="2" t="s">
        <v>2243</v>
      </c>
      <c r="G3369" s="1">
        <v>14.352</v>
      </c>
      <c r="H3369" s="1">
        <v>3</v>
      </c>
      <c r="I3369" s="1">
        <v>4.4850000000000003</v>
      </c>
    </row>
    <row r="3370" spans="1:9" x14ac:dyDescent="0.35">
      <c r="A3370" s="3" t="s">
        <v>3383</v>
      </c>
      <c r="B3370" s="1" t="s">
        <v>1802</v>
      </c>
      <c r="C3370" s="1" t="s">
        <v>658</v>
      </c>
      <c r="D3370" s="1" t="s">
        <v>659</v>
      </c>
      <c r="E3370" s="1" t="s">
        <v>12</v>
      </c>
      <c r="F3370" s="2" t="s">
        <v>2548</v>
      </c>
      <c r="G3370" s="1">
        <v>141.96</v>
      </c>
      <c r="H3370" s="1">
        <v>2</v>
      </c>
      <c r="I3370" s="1">
        <v>41.168399999999998</v>
      </c>
    </row>
    <row r="3371" spans="1:9" x14ac:dyDescent="0.35">
      <c r="A3371" s="3" t="s">
        <v>3383</v>
      </c>
      <c r="B3371" s="1" t="s">
        <v>1802</v>
      </c>
      <c r="C3371" s="1" t="s">
        <v>658</v>
      </c>
      <c r="D3371" s="1" t="s">
        <v>659</v>
      </c>
      <c r="E3371" s="1" t="s">
        <v>35</v>
      </c>
      <c r="F3371" s="2" t="s">
        <v>636</v>
      </c>
      <c r="G3371" s="1">
        <v>66.048000000000002</v>
      </c>
      <c r="H3371" s="1">
        <v>4</v>
      </c>
      <c r="I3371" s="1">
        <v>23.116800000000001</v>
      </c>
    </row>
    <row r="3372" spans="1:9" x14ac:dyDescent="0.35">
      <c r="A3372" s="3" t="s">
        <v>3384</v>
      </c>
      <c r="B3372" s="1" t="s">
        <v>1805</v>
      </c>
      <c r="C3372" s="1" t="s">
        <v>742</v>
      </c>
      <c r="D3372" s="1" t="s">
        <v>322</v>
      </c>
      <c r="E3372" s="1" t="s">
        <v>81</v>
      </c>
      <c r="F3372" s="2" t="s">
        <v>442</v>
      </c>
      <c r="G3372" s="1">
        <v>1287.45</v>
      </c>
      <c r="H3372" s="1">
        <v>5</v>
      </c>
      <c r="I3372" s="1">
        <v>244.6155</v>
      </c>
    </row>
    <row r="3373" spans="1:9" x14ac:dyDescent="0.35">
      <c r="A3373" s="3" t="s">
        <v>3348</v>
      </c>
      <c r="B3373" s="1" t="s">
        <v>394</v>
      </c>
      <c r="C3373" s="1" t="s">
        <v>64</v>
      </c>
      <c r="D3373" s="1" t="s">
        <v>18</v>
      </c>
      <c r="E3373" s="1" t="s">
        <v>35</v>
      </c>
      <c r="F3373" s="2" t="s">
        <v>1635</v>
      </c>
      <c r="G3373" s="1">
        <v>25.824000000000002</v>
      </c>
      <c r="H3373" s="1">
        <v>6</v>
      </c>
      <c r="I3373" s="1">
        <v>9.0383999999999993</v>
      </c>
    </row>
    <row r="3374" spans="1:9" x14ac:dyDescent="0.35">
      <c r="A3374" s="3" t="s">
        <v>3348</v>
      </c>
      <c r="B3374" s="1" t="s">
        <v>394</v>
      </c>
      <c r="C3374" s="1" t="s">
        <v>64</v>
      </c>
      <c r="D3374" s="1" t="s">
        <v>18</v>
      </c>
      <c r="E3374" s="1" t="s">
        <v>37</v>
      </c>
      <c r="F3374" s="2" t="s">
        <v>2369</v>
      </c>
      <c r="G3374" s="1">
        <v>160.96</v>
      </c>
      <c r="H3374" s="1">
        <v>2</v>
      </c>
      <c r="I3374" s="1">
        <v>48.287999999999997</v>
      </c>
    </row>
    <row r="3375" spans="1:9" x14ac:dyDescent="0.35">
      <c r="A3375" s="3">
        <v>42106</v>
      </c>
      <c r="B3375" s="1" t="s">
        <v>21</v>
      </c>
      <c r="C3375" s="1" t="s">
        <v>2410</v>
      </c>
      <c r="D3375" s="1" t="s">
        <v>136</v>
      </c>
      <c r="E3375" s="1" t="s">
        <v>29</v>
      </c>
      <c r="F3375" s="2" t="s">
        <v>2427</v>
      </c>
      <c r="G3375" s="1">
        <v>28.44</v>
      </c>
      <c r="H3375" s="1">
        <v>3</v>
      </c>
      <c r="I3375" s="1">
        <v>11.375999999999999</v>
      </c>
    </row>
    <row r="3376" spans="1:9" x14ac:dyDescent="0.35">
      <c r="A3376" s="3">
        <v>42106</v>
      </c>
      <c r="B3376" s="1" t="s">
        <v>21</v>
      </c>
      <c r="C3376" s="1" t="s">
        <v>2410</v>
      </c>
      <c r="D3376" s="1" t="s">
        <v>136</v>
      </c>
      <c r="E3376" s="1" t="s">
        <v>14</v>
      </c>
      <c r="F3376" s="2" t="s">
        <v>729</v>
      </c>
      <c r="G3376" s="1">
        <v>364.41</v>
      </c>
      <c r="H3376" s="1">
        <v>5</v>
      </c>
      <c r="I3376" s="1">
        <v>8.0980000000000008</v>
      </c>
    </row>
    <row r="3377" spans="1:9" x14ac:dyDescent="0.35">
      <c r="A3377" s="3">
        <v>42106</v>
      </c>
      <c r="B3377" s="1" t="s">
        <v>21</v>
      </c>
      <c r="C3377" s="1" t="s">
        <v>2410</v>
      </c>
      <c r="D3377" s="1" t="s">
        <v>136</v>
      </c>
      <c r="E3377" s="1" t="s">
        <v>33</v>
      </c>
      <c r="F3377" s="2" t="s">
        <v>786</v>
      </c>
      <c r="G3377" s="1">
        <v>39.96</v>
      </c>
      <c r="H3377" s="1">
        <v>4</v>
      </c>
      <c r="I3377" s="1">
        <v>10.3896</v>
      </c>
    </row>
    <row r="3378" spans="1:9" x14ac:dyDescent="0.35">
      <c r="A3378" s="3">
        <v>42106</v>
      </c>
      <c r="B3378" s="1" t="s">
        <v>21</v>
      </c>
      <c r="C3378" s="1" t="s">
        <v>2410</v>
      </c>
      <c r="D3378" s="1" t="s">
        <v>136</v>
      </c>
      <c r="E3378" s="1" t="s">
        <v>14</v>
      </c>
      <c r="F3378" s="2" t="s">
        <v>459</v>
      </c>
      <c r="G3378" s="1">
        <v>361.76400000000001</v>
      </c>
      <c r="H3378" s="1">
        <v>2</v>
      </c>
      <c r="I3378" s="1">
        <v>68.333200000000005</v>
      </c>
    </row>
    <row r="3379" spans="1:9" x14ac:dyDescent="0.35">
      <c r="A3379" s="3">
        <v>42380</v>
      </c>
      <c r="B3379" s="1" t="s">
        <v>2549</v>
      </c>
      <c r="C3379" s="1" t="s">
        <v>2550</v>
      </c>
      <c r="D3379" s="1" t="s">
        <v>52</v>
      </c>
      <c r="E3379" s="1" t="s">
        <v>26</v>
      </c>
      <c r="F3379" s="2" t="s">
        <v>2551</v>
      </c>
      <c r="G3379" s="1">
        <v>111.672</v>
      </c>
      <c r="H3379" s="1">
        <v>9</v>
      </c>
      <c r="I3379" s="1">
        <v>6.9794999999999998</v>
      </c>
    </row>
    <row r="3380" spans="1:9" x14ac:dyDescent="0.35">
      <c r="A3380" s="3" t="s">
        <v>3385</v>
      </c>
      <c r="B3380" s="1" t="s">
        <v>721</v>
      </c>
      <c r="C3380" s="1" t="s">
        <v>93</v>
      </c>
      <c r="D3380" s="1" t="s">
        <v>52</v>
      </c>
      <c r="E3380" s="1" t="s">
        <v>35</v>
      </c>
      <c r="F3380" s="2" t="s">
        <v>2365</v>
      </c>
      <c r="G3380" s="1">
        <v>13.776</v>
      </c>
      <c r="H3380" s="1">
        <v>6</v>
      </c>
      <c r="I3380" s="1">
        <v>-22.041599999999999</v>
      </c>
    </row>
    <row r="3381" spans="1:9" x14ac:dyDescent="0.35">
      <c r="A3381" s="3" t="s">
        <v>3385</v>
      </c>
      <c r="B3381" s="1" t="s">
        <v>721</v>
      </c>
      <c r="C3381" s="1" t="s">
        <v>93</v>
      </c>
      <c r="D3381" s="1" t="s">
        <v>52</v>
      </c>
      <c r="E3381" s="1" t="s">
        <v>44</v>
      </c>
      <c r="F3381" s="2" t="s">
        <v>2552</v>
      </c>
      <c r="G3381" s="1">
        <v>10.272</v>
      </c>
      <c r="H3381" s="1">
        <v>3</v>
      </c>
      <c r="I3381" s="1">
        <v>3.21</v>
      </c>
    </row>
    <row r="3382" spans="1:9" x14ac:dyDescent="0.35">
      <c r="A3382" s="3" t="s">
        <v>3172</v>
      </c>
      <c r="B3382" s="1" t="s">
        <v>590</v>
      </c>
      <c r="C3382" s="1" t="s">
        <v>74</v>
      </c>
      <c r="D3382" s="1" t="s">
        <v>75</v>
      </c>
      <c r="E3382" s="1" t="s">
        <v>29</v>
      </c>
      <c r="F3382" s="2" t="s">
        <v>2553</v>
      </c>
      <c r="G3382" s="1">
        <v>24.047999999999998</v>
      </c>
      <c r="H3382" s="1">
        <v>9</v>
      </c>
      <c r="I3382" s="1">
        <v>7.2144000000000004</v>
      </c>
    </row>
    <row r="3383" spans="1:9" x14ac:dyDescent="0.35">
      <c r="A3383" s="3" t="s">
        <v>3298</v>
      </c>
      <c r="B3383" s="1" t="s">
        <v>1485</v>
      </c>
      <c r="C3383" s="1" t="s">
        <v>438</v>
      </c>
      <c r="D3383" s="1" t="s">
        <v>23</v>
      </c>
      <c r="E3383" s="1" t="s">
        <v>87</v>
      </c>
      <c r="F3383" s="2" t="s">
        <v>294</v>
      </c>
      <c r="G3383" s="1">
        <v>2.8959999999999999</v>
      </c>
      <c r="H3383" s="1">
        <v>1</v>
      </c>
      <c r="I3383" s="1">
        <v>0.97740000000000005</v>
      </c>
    </row>
    <row r="3384" spans="1:9" x14ac:dyDescent="0.35">
      <c r="A3384" s="3">
        <v>42106</v>
      </c>
      <c r="B3384" s="1" t="s">
        <v>1225</v>
      </c>
      <c r="C3384" s="1" t="s">
        <v>135</v>
      </c>
      <c r="D3384" s="1" t="s">
        <v>136</v>
      </c>
      <c r="E3384" s="1" t="s">
        <v>87</v>
      </c>
      <c r="F3384" s="2" t="s">
        <v>2168</v>
      </c>
      <c r="G3384" s="1">
        <v>17.940000000000001</v>
      </c>
      <c r="H3384" s="1">
        <v>3</v>
      </c>
      <c r="I3384" s="1">
        <v>8.7905999999999995</v>
      </c>
    </row>
    <row r="3385" spans="1:9" x14ac:dyDescent="0.35">
      <c r="A3385" s="3">
        <v>42106</v>
      </c>
      <c r="B3385" s="1" t="s">
        <v>1225</v>
      </c>
      <c r="C3385" s="1" t="s">
        <v>135</v>
      </c>
      <c r="D3385" s="1" t="s">
        <v>136</v>
      </c>
      <c r="E3385" s="1" t="s">
        <v>14</v>
      </c>
      <c r="F3385" s="2" t="s">
        <v>2554</v>
      </c>
      <c r="G3385" s="1">
        <v>384.17399999999998</v>
      </c>
      <c r="H3385" s="1">
        <v>7</v>
      </c>
      <c r="I3385" s="1">
        <v>29.880199999999999</v>
      </c>
    </row>
    <row r="3386" spans="1:9" x14ac:dyDescent="0.35">
      <c r="A3386" s="3">
        <v>42106</v>
      </c>
      <c r="B3386" s="1" t="s">
        <v>1225</v>
      </c>
      <c r="C3386" s="1" t="s">
        <v>135</v>
      </c>
      <c r="D3386" s="1" t="s">
        <v>136</v>
      </c>
      <c r="E3386" s="1" t="s">
        <v>33</v>
      </c>
      <c r="F3386" s="2" t="s">
        <v>1520</v>
      </c>
      <c r="G3386" s="1">
        <v>1799.75</v>
      </c>
      <c r="H3386" s="1">
        <v>5</v>
      </c>
      <c r="I3386" s="1">
        <v>539.92499999999995</v>
      </c>
    </row>
    <row r="3387" spans="1:9" x14ac:dyDescent="0.35">
      <c r="A3387" s="3">
        <v>42926</v>
      </c>
      <c r="B3387" s="1" t="s">
        <v>2363</v>
      </c>
      <c r="C3387" s="1" t="s">
        <v>234</v>
      </c>
      <c r="D3387" s="1" t="s">
        <v>43</v>
      </c>
      <c r="E3387" s="1" t="s">
        <v>26</v>
      </c>
      <c r="F3387" s="2" t="s">
        <v>489</v>
      </c>
      <c r="G3387" s="1">
        <v>580.67200000000003</v>
      </c>
      <c r="H3387" s="1">
        <v>4</v>
      </c>
      <c r="I3387" s="1">
        <v>65.325599999999994</v>
      </c>
    </row>
    <row r="3388" spans="1:9" x14ac:dyDescent="0.35">
      <c r="A3388" s="3">
        <v>42926</v>
      </c>
      <c r="B3388" s="1" t="s">
        <v>2363</v>
      </c>
      <c r="C3388" s="1" t="s">
        <v>234</v>
      </c>
      <c r="D3388" s="1" t="s">
        <v>43</v>
      </c>
      <c r="E3388" s="1" t="s">
        <v>137</v>
      </c>
      <c r="F3388" s="2" t="s">
        <v>281</v>
      </c>
      <c r="G3388" s="1">
        <v>18.936</v>
      </c>
      <c r="H3388" s="1">
        <v>3</v>
      </c>
      <c r="I3388" s="1">
        <v>5.9175000000000004</v>
      </c>
    </row>
    <row r="3389" spans="1:9" x14ac:dyDescent="0.35">
      <c r="A3389" s="3">
        <v>42926</v>
      </c>
      <c r="B3389" s="1" t="s">
        <v>2363</v>
      </c>
      <c r="C3389" s="1" t="s">
        <v>234</v>
      </c>
      <c r="D3389" s="1" t="s">
        <v>43</v>
      </c>
      <c r="E3389" s="1" t="s">
        <v>33</v>
      </c>
      <c r="F3389" s="2" t="s">
        <v>1473</v>
      </c>
      <c r="G3389" s="1">
        <v>222.38399999999999</v>
      </c>
      <c r="H3389" s="1">
        <v>2</v>
      </c>
      <c r="I3389" s="1">
        <v>16.678799999999999</v>
      </c>
    </row>
    <row r="3390" spans="1:9" x14ac:dyDescent="0.35">
      <c r="A3390" s="3">
        <v>42926</v>
      </c>
      <c r="B3390" s="1" t="s">
        <v>2363</v>
      </c>
      <c r="C3390" s="1" t="s">
        <v>234</v>
      </c>
      <c r="D3390" s="1" t="s">
        <v>43</v>
      </c>
      <c r="E3390" s="1" t="s">
        <v>35</v>
      </c>
      <c r="F3390" s="2" t="s">
        <v>1530</v>
      </c>
      <c r="G3390" s="1">
        <v>50.454000000000001</v>
      </c>
      <c r="H3390" s="1">
        <v>6</v>
      </c>
      <c r="I3390" s="1">
        <v>-33.636000000000003</v>
      </c>
    </row>
    <row r="3391" spans="1:9" x14ac:dyDescent="0.35">
      <c r="A3391" s="3">
        <v>42926</v>
      </c>
      <c r="B3391" s="1" t="s">
        <v>2363</v>
      </c>
      <c r="C3391" s="1" t="s">
        <v>234</v>
      </c>
      <c r="D3391" s="1" t="s">
        <v>43</v>
      </c>
      <c r="E3391" s="1" t="s">
        <v>24</v>
      </c>
      <c r="F3391" s="2" t="s">
        <v>1421</v>
      </c>
      <c r="G3391" s="1">
        <v>154.76400000000001</v>
      </c>
      <c r="H3391" s="1">
        <v>3</v>
      </c>
      <c r="I3391" s="1">
        <v>-36.111600000000003</v>
      </c>
    </row>
    <row r="3392" spans="1:9" x14ac:dyDescent="0.35">
      <c r="A3392" s="3" t="s">
        <v>3304</v>
      </c>
      <c r="B3392" s="1" t="s">
        <v>1964</v>
      </c>
      <c r="C3392" s="1" t="s">
        <v>399</v>
      </c>
      <c r="D3392" s="1" t="s">
        <v>52</v>
      </c>
      <c r="E3392" s="1" t="s">
        <v>44</v>
      </c>
      <c r="F3392" s="2" t="s">
        <v>2379</v>
      </c>
      <c r="G3392" s="1">
        <v>6.8479999999999999</v>
      </c>
      <c r="H3392" s="1">
        <v>2</v>
      </c>
      <c r="I3392" s="1">
        <v>2.14</v>
      </c>
    </row>
    <row r="3393" spans="1:9" x14ac:dyDescent="0.35">
      <c r="A3393" s="3">
        <v>41890</v>
      </c>
      <c r="B3393" s="1" t="s">
        <v>1365</v>
      </c>
      <c r="C3393" s="1" t="s">
        <v>47</v>
      </c>
      <c r="D3393" s="1" t="s">
        <v>48</v>
      </c>
      <c r="E3393" s="1" t="s">
        <v>33</v>
      </c>
      <c r="F3393" s="2" t="s">
        <v>1122</v>
      </c>
      <c r="G3393" s="1">
        <v>1091.1679999999999</v>
      </c>
      <c r="H3393" s="1">
        <v>4</v>
      </c>
      <c r="I3393" s="1">
        <v>68.197999999999993</v>
      </c>
    </row>
    <row r="3394" spans="1:9" x14ac:dyDescent="0.35">
      <c r="A3394" s="3">
        <v>41890</v>
      </c>
      <c r="B3394" s="1" t="s">
        <v>1365</v>
      </c>
      <c r="C3394" s="1" t="s">
        <v>47</v>
      </c>
      <c r="D3394" s="1" t="s">
        <v>48</v>
      </c>
      <c r="E3394" s="1" t="s">
        <v>33</v>
      </c>
      <c r="F3394" s="2" t="s">
        <v>1804</v>
      </c>
      <c r="G3394" s="1">
        <v>219.16800000000001</v>
      </c>
      <c r="H3394" s="1">
        <v>2</v>
      </c>
      <c r="I3394" s="1">
        <v>-43.833599999999997</v>
      </c>
    </row>
    <row r="3395" spans="1:9" x14ac:dyDescent="0.35">
      <c r="A3395" s="3" t="s">
        <v>3204</v>
      </c>
      <c r="B3395" s="1" t="s">
        <v>2525</v>
      </c>
      <c r="C3395" s="1" t="s">
        <v>301</v>
      </c>
      <c r="D3395" s="1" t="s">
        <v>52</v>
      </c>
      <c r="E3395" s="1" t="s">
        <v>35</v>
      </c>
      <c r="F3395" s="2" t="s">
        <v>1678</v>
      </c>
      <c r="G3395" s="1">
        <v>6.9279999999999999</v>
      </c>
      <c r="H3395" s="1">
        <v>1</v>
      </c>
      <c r="I3395" s="1">
        <v>-11.0848</v>
      </c>
    </row>
    <row r="3396" spans="1:9" x14ac:dyDescent="0.35">
      <c r="A3396" s="3">
        <v>43014</v>
      </c>
      <c r="B3396" s="1" t="s">
        <v>1738</v>
      </c>
      <c r="C3396" s="1" t="s">
        <v>74</v>
      </c>
      <c r="D3396" s="1" t="s">
        <v>75</v>
      </c>
      <c r="E3396" s="1" t="s">
        <v>44</v>
      </c>
      <c r="F3396" s="2" t="s">
        <v>2170</v>
      </c>
      <c r="G3396" s="1">
        <v>40.031999999999996</v>
      </c>
      <c r="H3396" s="1">
        <v>6</v>
      </c>
      <c r="I3396" s="1">
        <v>15.012</v>
      </c>
    </row>
    <row r="3397" spans="1:9" x14ac:dyDescent="0.35">
      <c r="A3397" s="3">
        <v>42742</v>
      </c>
      <c r="B3397" s="1" t="s">
        <v>2085</v>
      </c>
      <c r="C3397" s="1" t="s">
        <v>1840</v>
      </c>
      <c r="D3397" s="1" t="s">
        <v>129</v>
      </c>
      <c r="E3397" s="1" t="s">
        <v>26</v>
      </c>
      <c r="F3397" s="2" t="s">
        <v>2388</v>
      </c>
      <c r="G3397" s="1">
        <v>443.92</v>
      </c>
      <c r="H3397" s="1">
        <v>4</v>
      </c>
      <c r="I3397" s="1">
        <v>13.317600000000001</v>
      </c>
    </row>
    <row r="3398" spans="1:9" x14ac:dyDescent="0.35">
      <c r="A3398" s="3">
        <v>42742</v>
      </c>
      <c r="B3398" s="1" t="s">
        <v>2085</v>
      </c>
      <c r="C3398" s="1" t="s">
        <v>1840</v>
      </c>
      <c r="D3398" s="1" t="s">
        <v>129</v>
      </c>
      <c r="E3398" s="1" t="s">
        <v>35</v>
      </c>
      <c r="F3398" s="2" t="s">
        <v>49</v>
      </c>
      <c r="G3398" s="1">
        <v>169.99</v>
      </c>
      <c r="H3398" s="1">
        <v>1</v>
      </c>
      <c r="I3398" s="1">
        <v>78.195400000000006</v>
      </c>
    </row>
    <row r="3399" spans="1:9" x14ac:dyDescent="0.35">
      <c r="A3399" s="3">
        <v>42742</v>
      </c>
      <c r="B3399" s="1" t="s">
        <v>2085</v>
      </c>
      <c r="C3399" s="1" t="s">
        <v>1840</v>
      </c>
      <c r="D3399" s="1" t="s">
        <v>129</v>
      </c>
      <c r="E3399" s="1" t="s">
        <v>44</v>
      </c>
      <c r="F3399" s="2" t="s">
        <v>878</v>
      </c>
      <c r="G3399" s="1">
        <v>25.92</v>
      </c>
      <c r="H3399" s="1">
        <v>4</v>
      </c>
      <c r="I3399" s="1">
        <v>12.441599999999999</v>
      </c>
    </row>
    <row r="3400" spans="1:9" x14ac:dyDescent="0.35">
      <c r="A3400" s="3" t="s">
        <v>3386</v>
      </c>
      <c r="B3400" s="1" t="s">
        <v>2555</v>
      </c>
      <c r="C3400" s="1" t="s">
        <v>693</v>
      </c>
      <c r="D3400" s="1" t="s">
        <v>11</v>
      </c>
      <c r="E3400" s="1" t="s">
        <v>33</v>
      </c>
      <c r="F3400" s="2" t="s">
        <v>1196</v>
      </c>
      <c r="G3400" s="1">
        <v>36.99</v>
      </c>
      <c r="H3400" s="1">
        <v>1</v>
      </c>
      <c r="I3400" s="1">
        <v>9.9872999999999994</v>
      </c>
    </row>
    <row r="3401" spans="1:9" x14ac:dyDescent="0.35">
      <c r="A3401" s="3" t="s">
        <v>3386</v>
      </c>
      <c r="B3401" s="1" t="s">
        <v>2555</v>
      </c>
      <c r="C3401" s="1" t="s">
        <v>693</v>
      </c>
      <c r="D3401" s="1" t="s">
        <v>11</v>
      </c>
      <c r="E3401" s="1" t="s">
        <v>44</v>
      </c>
      <c r="F3401" s="2" t="s">
        <v>1810</v>
      </c>
      <c r="G3401" s="1">
        <v>629.1</v>
      </c>
      <c r="H3401" s="1">
        <v>6</v>
      </c>
      <c r="I3401" s="1">
        <v>301.96800000000002</v>
      </c>
    </row>
    <row r="3402" spans="1:9" x14ac:dyDescent="0.35">
      <c r="A3402" s="3" t="s">
        <v>3386</v>
      </c>
      <c r="B3402" s="1" t="s">
        <v>2555</v>
      </c>
      <c r="C3402" s="1" t="s">
        <v>693</v>
      </c>
      <c r="D3402" s="1" t="s">
        <v>11</v>
      </c>
      <c r="E3402" s="1" t="s">
        <v>26</v>
      </c>
      <c r="F3402" s="2" t="s">
        <v>988</v>
      </c>
      <c r="G3402" s="1">
        <v>193.95</v>
      </c>
      <c r="H3402" s="1">
        <v>3</v>
      </c>
      <c r="I3402" s="1">
        <v>9.6974999999999998</v>
      </c>
    </row>
    <row r="3403" spans="1:9" x14ac:dyDescent="0.35">
      <c r="A3403" s="3" t="s">
        <v>3386</v>
      </c>
      <c r="B3403" s="1" t="s">
        <v>2555</v>
      </c>
      <c r="C3403" s="1" t="s">
        <v>693</v>
      </c>
      <c r="D3403" s="1" t="s">
        <v>11</v>
      </c>
      <c r="E3403" s="1" t="s">
        <v>31</v>
      </c>
      <c r="F3403" s="2" t="s">
        <v>32</v>
      </c>
      <c r="G3403" s="1">
        <v>5.46</v>
      </c>
      <c r="H3403" s="1">
        <v>3</v>
      </c>
      <c r="I3403" s="1">
        <v>1.4742</v>
      </c>
    </row>
    <row r="3404" spans="1:9" x14ac:dyDescent="0.35">
      <c r="A3404" s="3">
        <v>42099</v>
      </c>
      <c r="B3404" s="1" t="s">
        <v>637</v>
      </c>
      <c r="C3404" s="1" t="s">
        <v>2556</v>
      </c>
      <c r="D3404" s="1" t="s">
        <v>106</v>
      </c>
      <c r="E3404" s="1" t="s">
        <v>29</v>
      </c>
      <c r="F3404" s="2" t="s">
        <v>449</v>
      </c>
      <c r="G3404" s="1">
        <v>22.288</v>
      </c>
      <c r="H3404" s="1">
        <v>7</v>
      </c>
      <c r="I3404" s="1">
        <v>-8.9152000000000005</v>
      </c>
    </row>
    <row r="3405" spans="1:9" x14ac:dyDescent="0.35">
      <c r="A3405" s="3" t="s">
        <v>3387</v>
      </c>
      <c r="B3405" s="1" t="s">
        <v>1841</v>
      </c>
      <c r="C3405" s="1" t="s">
        <v>93</v>
      </c>
      <c r="D3405" s="1" t="s">
        <v>52</v>
      </c>
      <c r="E3405" s="1" t="s">
        <v>29</v>
      </c>
      <c r="F3405" s="2" t="s">
        <v>2557</v>
      </c>
      <c r="G3405" s="1">
        <v>65.424000000000007</v>
      </c>
      <c r="H3405" s="1">
        <v>4</v>
      </c>
      <c r="I3405" s="1">
        <v>-52.339199999999998</v>
      </c>
    </row>
    <row r="3406" spans="1:9" x14ac:dyDescent="0.35">
      <c r="A3406" s="3" t="s">
        <v>3388</v>
      </c>
      <c r="B3406" s="1" t="s">
        <v>1756</v>
      </c>
      <c r="C3406" s="1" t="s">
        <v>17</v>
      </c>
      <c r="D3406" s="1" t="s">
        <v>18</v>
      </c>
      <c r="E3406" s="1" t="s">
        <v>26</v>
      </c>
      <c r="F3406" s="2" t="s">
        <v>109</v>
      </c>
      <c r="G3406" s="1">
        <v>77.88</v>
      </c>
      <c r="H3406" s="1">
        <v>2</v>
      </c>
      <c r="I3406" s="1">
        <v>3.8940000000000001</v>
      </c>
    </row>
    <row r="3407" spans="1:9" x14ac:dyDescent="0.35">
      <c r="A3407" s="3" t="s">
        <v>3389</v>
      </c>
      <c r="B3407" s="1" t="s">
        <v>2522</v>
      </c>
      <c r="C3407" s="1" t="s">
        <v>249</v>
      </c>
      <c r="D3407" s="1" t="s">
        <v>250</v>
      </c>
      <c r="E3407" s="1" t="s">
        <v>14</v>
      </c>
      <c r="F3407" s="2" t="s">
        <v>459</v>
      </c>
      <c r="G3407" s="1">
        <v>281.37200000000001</v>
      </c>
      <c r="H3407" s="1">
        <v>2</v>
      </c>
      <c r="I3407" s="1">
        <v>-12.0588</v>
      </c>
    </row>
    <row r="3408" spans="1:9" x14ac:dyDescent="0.35">
      <c r="A3408" s="3" t="s">
        <v>3389</v>
      </c>
      <c r="B3408" s="1" t="s">
        <v>2522</v>
      </c>
      <c r="C3408" s="1" t="s">
        <v>249</v>
      </c>
      <c r="D3408" s="1" t="s">
        <v>250</v>
      </c>
      <c r="E3408" s="1" t="s">
        <v>14</v>
      </c>
      <c r="F3408" s="2" t="s">
        <v>459</v>
      </c>
      <c r="G3408" s="1">
        <v>281.37200000000001</v>
      </c>
      <c r="H3408" s="1">
        <v>2</v>
      </c>
      <c r="I3408" s="1">
        <v>-12.0588</v>
      </c>
    </row>
    <row r="3409" spans="1:9" x14ac:dyDescent="0.35">
      <c r="A3409" s="3" t="s">
        <v>3389</v>
      </c>
      <c r="B3409" s="1" t="s">
        <v>2522</v>
      </c>
      <c r="C3409" s="1" t="s">
        <v>249</v>
      </c>
      <c r="D3409" s="1" t="s">
        <v>250</v>
      </c>
      <c r="E3409" s="1" t="s">
        <v>35</v>
      </c>
      <c r="F3409" s="2" t="s">
        <v>1285</v>
      </c>
      <c r="G3409" s="1">
        <v>7.4880000000000004</v>
      </c>
      <c r="H3409" s="1">
        <v>8</v>
      </c>
      <c r="I3409" s="1">
        <v>-5.2416</v>
      </c>
    </row>
    <row r="3410" spans="1:9" x14ac:dyDescent="0.35">
      <c r="A3410" s="3" t="s">
        <v>3389</v>
      </c>
      <c r="B3410" s="1" t="s">
        <v>2522</v>
      </c>
      <c r="C3410" s="1" t="s">
        <v>249</v>
      </c>
      <c r="D3410" s="1" t="s">
        <v>250</v>
      </c>
      <c r="E3410" s="1" t="s">
        <v>29</v>
      </c>
      <c r="F3410" s="2" t="s">
        <v>1325</v>
      </c>
      <c r="G3410" s="1">
        <v>22.335999999999999</v>
      </c>
      <c r="H3410" s="1">
        <v>4</v>
      </c>
      <c r="I3410" s="1">
        <v>7.8175999999999997</v>
      </c>
    </row>
    <row r="3411" spans="1:9" x14ac:dyDescent="0.35">
      <c r="A3411" s="3" t="s">
        <v>3255</v>
      </c>
      <c r="B3411" s="1" t="s">
        <v>883</v>
      </c>
      <c r="C3411" s="1" t="s">
        <v>249</v>
      </c>
      <c r="D3411" s="1" t="s">
        <v>250</v>
      </c>
      <c r="E3411" s="1" t="s">
        <v>44</v>
      </c>
      <c r="F3411" s="2" t="s">
        <v>890</v>
      </c>
      <c r="G3411" s="1">
        <v>10.368</v>
      </c>
      <c r="H3411" s="1">
        <v>2</v>
      </c>
      <c r="I3411" s="1">
        <v>3.6288</v>
      </c>
    </row>
    <row r="3412" spans="1:9" x14ac:dyDescent="0.35">
      <c r="A3412" s="3" t="s">
        <v>3390</v>
      </c>
      <c r="B3412" s="1" t="s">
        <v>2236</v>
      </c>
      <c r="C3412" s="1" t="s">
        <v>64</v>
      </c>
      <c r="D3412" s="1" t="s">
        <v>18</v>
      </c>
      <c r="E3412" s="1" t="s">
        <v>44</v>
      </c>
      <c r="F3412" s="2" t="s">
        <v>2479</v>
      </c>
      <c r="G3412" s="1">
        <v>65.790000000000006</v>
      </c>
      <c r="H3412" s="1">
        <v>9</v>
      </c>
      <c r="I3412" s="1">
        <v>30.263400000000001</v>
      </c>
    </row>
    <row r="3413" spans="1:9" x14ac:dyDescent="0.35">
      <c r="A3413" s="3" t="s">
        <v>3390</v>
      </c>
      <c r="B3413" s="1" t="s">
        <v>2236</v>
      </c>
      <c r="C3413" s="1" t="s">
        <v>64</v>
      </c>
      <c r="D3413" s="1" t="s">
        <v>18</v>
      </c>
      <c r="E3413" s="1" t="s">
        <v>35</v>
      </c>
      <c r="F3413" s="2" t="s">
        <v>49</v>
      </c>
      <c r="G3413" s="1">
        <v>271.98399999999998</v>
      </c>
      <c r="H3413" s="1">
        <v>2</v>
      </c>
      <c r="I3413" s="1">
        <v>88.394800000000004</v>
      </c>
    </row>
    <row r="3414" spans="1:9" x14ac:dyDescent="0.35">
      <c r="A3414" s="3" t="s">
        <v>3390</v>
      </c>
      <c r="B3414" s="1" t="s">
        <v>2236</v>
      </c>
      <c r="C3414" s="1" t="s">
        <v>64</v>
      </c>
      <c r="D3414" s="1" t="s">
        <v>18</v>
      </c>
      <c r="E3414" s="1" t="s">
        <v>31</v>
      </c>
      <c r="F3414" s="2" t="s">
        <v>293</v>
      </c>
      <c r="G3414" s="1">
        <v>11.76</v>
      </c>
      <c r="H3414" s="1">
        <v>4</v>
      </c>
      <c r="I3414" s="1">
        <v>3.1751999999999998</v>
      </c>
    </row>
    <row r="3415" spans="1:9" x14ac:dyDescent="0.35">
      <c r="A3415" s="3" t="s">
        <v>3390</v>
      </c>
      <c r="B3415" s="1" t="s">
        <v>2236</v>
      </c>
      <c r="C3415" s="1" t="s">
        <v>64</v>
      </c>
      <c r="D3415" s="1" t="s">
        <v>18</v>
      </c>
      <c r="E3415" s="1" t="s">
        <v>44</v>
      </c>
      <c r="F3415" s="2" t="s">
        <v>2339</v>
      </c>
      <c r="G3415" s="1">
        <v>77.52</v>
      </c>
      <c r="H3415" s="1">
        <v>2</v>
      </c>
      <c r="I3415" s="1">
        <v>37.9848</v>
      </c>
    </row>
    <row r="3416" spans="1:9" x14ac:dyDescent="0.35">
      <c r="A3416" s="3" t="s">
        <v>3390</v>
      </c>
      <c r="B3416" s="1" t="s">
        <v>2236</v>
      </c>
      <c r="C3416" s="1" t="s">
        <v>64</v>
      </c>
      <c r="D3416" s="1" t="s">
        <v>18</v>
      </c>
      <c r="E3416" s="1" t="s">
        <v>35</v>
      </c>
      <c r="F3416" s="2" t="s">
        <v>1672</v>
      </c>
      <c r="G3416" s="1">
        <v>48.64</v>
      </c>
      <c r="H3416" s="1">
        <v>2</v>
      </c>
      <c r="I3416" s="1">
        <v>15.808</v>
      </c>
    </row>
    <row r="3417" spans="1:9" x14ac:dyDescent="0.35">
      <c r="A3417" s="3">
        <v>42409</v>
      </c>
      <c r="B3417" s="1" t="s">
        <v>791</v>
      </c>
      <c r="C3417" s="1" t="s">
        <v>56</v>
      </c>
      <c r="D3417" s="1" t="s">
        <v>57</v>
      </c>
      <c r="E3417" s="1" t="s">
        <v>137</v>
      </c>
      <c r="F3417" s="2" t="s">
        <v>1825</v>
      </c>
      <c r="G3417" s="1">
        <v>1.81</v>
      </c>
      <c r="H3417" s="1">
        <v>1</v>
      </c>
      <c r="I3417" s="1">
        <v>0.65159999999999996</v>
      </c>
    </row>
    <row r="3418" spans="1:9" x14ac:dyDescent="0.35">
      <c r="A3418" s="3">
        <v>42409</v>
      </c>
      <c r="B3418" s="1" t="s">
        <v>791</v>
      </c>
      <c r="C3418" s="1" t="s">
        <v>56</v>
      </c>
      <c r="D3418" s="1" t="s">
        <v>57</v>
      </c>
      <c r="E3418" s="1" t="s">
        <v>35</v>
      </c>
      <c r="F3418" s="2" t="s">
        <v>1548</v>
      </c>
      <c r="G3418" s="1">
        <v>8.26</v>
      </c>
      <c r="H3418" s="1">
        <v>2</v>
      </c>
      <c r="I3418" s="1">
        <v>3.8822000000000001</v>
      </c>
    </row>
    <row r="3419" spans="1:9" x14ac:dyDescent="0.35">
      <c r="A3419" s="3" t="s">
        <v>3391</v>
      </c>
      <c r="B3419" s="1" t="s">
        <v>2457</v>
      </c>
      <c r="C3419" s="1" t="s">
        <v>228</v>
      </c>
      <c r="D3419" s="1" t="s">
        <v>229</v>
      </c>
      <c r="E3419" s="1" t="s">
        <v>37</v>
      </c>
      <c r="F3419" s="2" t="s">
        <v>1559</v>
      </c>
      <c r="G3419" s="1">
        <v>43.56</v>
      </c>
      <c r="H3419" s="1">
        <v>5</v>
      </c>
      <c r="I3419" s="1">
        <v>3.2669999999999999</v>
      </c>
    </row>
    <row r="3420" spans="1:9" x14ac:dyDescent="0.35">
      <c r="A3420" s="3" t="s">
        <v>3391</v>
      </c>
      <c r="B3420" s="1" t="s">
        <v>2457</v>
      </c>
      <c r="C3420" s="1" t="s">
        <v>228</v>
      </c>
      <c r="D3420" s="1" t="s">
        <v>229</v>
      </c>
      <c r="E3420" s="1" t="s">
        <v>289</v>
      </c>
      <c r="F3420" s="2" t="s">
        <v>898</v>
      </c>
      <c r="G3420" s="1">
        <v>5.84</v>
      </c>
      <c r="H3420" s="1">
        <v>2</v>
      </c>
      <c r="I3420" s="1">
        <v>0.73</v>
      </c>
    </row>
    <row r="3421" spans="1:9" x14ac:dyDescent="0.35">
      <c r="A3421" s="3">
        <v>42164</v>
      </c>
      <c r="B3421" s="1" t="s">
        <v>975</v>
      </c>
      <c r="C3421" s="1" t="s">
        <v>135</v>
      </c>
      <c r="D3421" s="1" t="s">
        <v>136</v>
      </c>
      <c r="E3421" s="1" t="s">
        <v>14</v>
      </c>
      <c r="F3421" s="2" t="s">
        <v>1161</v>
      </c>
      <c r="G3421" s="1">
        <v>271.76400000000001</v>
      </c>
      <c r="H3421" s="1">
        <v>2</v>
      </c>
      <c r="I3421" s="1">
        <v>60.392000000000003</v>
      </c>
    </row>
    <row r="3422" spans="1:9" x14ac:dyDescent="0.35">
      <c r="A3422" s="3" t="s">
        <v>3346</v>
      </c>
      <c r="B3422" s="1" t="s">
        <v>243</v>
      </c>
      <c r="C3422" s="1" t="s">
        <v>17</v>
      </c>
      <c r="D3422" s="1" t="s">
        <v>18</v>
      </c>
      <c r="E3422" s="1" t="s">
        <v>37</v>
      </c>
      <c r="F3422" s="2" t="s">
        <v>350</v>
      </c>
      <c r="G3422" s="1">
        <v>262.24</v>
      </c>
      <c r="H3422" s="1">
        <v>2</v>
      </c>
      <c r="I3422" s="1">
        <v>78.671999999999997</v>
      </c>
    </row>
    <row r="3423" spans="1:9" x14ac:dyDescent="0.35">
      <c r="A3423" s="3" t="s">
        <v>3346</v>
      </c>
      <c r="B3423" s="1" t="s">
        <v>243</v>
      </c>
      <c r="C3423" s="1" t="s">
        <v>17</v>
      </c>
      <c r="D3423" s="1" t="s">
        <v>18</v>
      </c>
      <c r="E3423" s="1" t="s">
        <v>44</v>
      </c>
      <c r="F3423" s="2" t="s">
        <v>2115</v>
      </c>
      <c r="G3423" s="1">
        <v>182.72</v>
      </c>
      <c r="H3423" s="1">
        <v>8</v>
      </c>
      <c r="I3423" s="1">
        <v>84.051199999999994</v>
      </c>
    </row>
    <row r="3424" spans="1:9" x14ac:dyDescent="0.35">
      <c r="A3424" s="3" t="s">
        <v>3346</v>
      </c>
      <c r="B3424" s="1" t="s">
        <v>243</v>
      </c>
      <c r="C3424" s="1" t="s">
        <v>17</v>
      </c>
      <c r="D3424" s="1" t="s">
        <v>18</v>
      </c>
      <c r="E3424" s="1" t="s">
        <v>81</v>
      </c>
      <c r="F3424" s="2" t="s">
        <v>1989</v>
      </c>
      <c r="G3424" s="1">
        <v>131.6</v>
      </c>
      <c r="H3424" s="1">
        <v>7</v>
      </c>
      <c r="I3424" s="1">
        <v>7.8959999999999999</v>
      </c>
    </row>
    <row r="3425" spans="1:9" x14ac:dyDescent="0.35">
      <c r="A3425" s="3" t="s">
        <v>3346</v>
      </c>
      <c r="B3425" s="1" t="s">
        <v>243</v>
      </c>
      <c r="C3425" s="1" t="s">
        <v>17</v>
      </c>
      <c r="D3425" s="1" t="s">
        <v>18</v>
      </c>
      <c r="E3425" s="1" t="s">
        <v>35</v>
      </c>
      <c r="F3425" s="2" t="s">
        <v>67</v>
      </c>
      <c r="G3425" s="1">
        <v>22.72</v>
      </c>
      <c r="H3425" s="1">
        <v>4</v>
      </c>
      <c r="I3425" s="1">
        <v>7.3840000000000003</v>
      </c>
    </row>
    <row r="3426" spans="1:9" x14ac:dyDescent="0.35">
      <c r="A3426" s="3" t="s">
        <v>3346</v>
      </c>
      <c r="B3426" s="1" t="s">
        <v>243</v>
      </c>
      <c r="C3426" s="1" t="s">
        <v>17</v>
      </c>
      <c r="D3426" s="1" t="s">
        <v>18</v>
      </c>
      <c r="E3426" s="1" t="s">
        <v>338</v>
      </c>
      <c r="F3426" s="2" t="s">
        <v>2480</v>
      </c>
      <c r="G3426" s="1">
        <v>558.4</v>
      </c>
      <c r="H3426" s="1">
        <v>2</v>
      </c>
      <c r="I3426" s="1">
        <v>41.88</v>
      </c>
    </row>
    <row r="3427" spans="1:9" x14ac:dyDescent="0.35">
      <c r="A3427" s="3" t="s">
        <v>3392</v>
      </c>
      <c r="B3427" s="1" t="s">
        <v>1334</v>
      </c>
      <c r="C3427" s="1" t="s">
        <v>2558</v>
      </c>
      <c r="D3427" s="1" t="s">
        <v>245</v>
      </c>
      <c r="E3427" s="1" t="s">
        <v>35</v>
      </c>
      <c r="F3427" s="2" t="s">
        <v>90</v>
      </c>
      <c r="G3427" s="1">
        <v>15.24</v>
      </c>
      <c r="H3427" s="1">
        <v>4</v>
      </c>
      <c r="I3427" s="1">
        <v>6.8579999999999997</v>
      </c>
    </row>
    <row r="3428" spans="1:9" x14ac:dyDescent="0.35">
      <c r="A3428" s="3" t="s">
        <v>3392</v>
      </c>
      <c r="B3428" s="1" t="s">
        <v>1334</v>
      </c>
      <c r="C3428" s="1" t="s">
        <v>2558</v>
      </c>
      <c r="D3428" s="1" t="s">
        <v>245</v>
      </c>
      <c r="E3428" s="1" t="s">
        <v>14</v>
      </c>
      <c r="F3428" s="2" t="s">
        <v>1925</v>
      </c>
      <c r="G3428" s="1">
        <v>1408.1</v>
      </c>
      <c r="H3428" s="1">
        <v>10</v>
      </c>
      <c r="I3428" s="1">
        <v>394.26799999999997</v>
      </c>
    </row>
    <row r="3429" spans="1:9" x14ac:dyDescent="0.35">
      <c r="A3429" s="3">
        <v>42801</v>
      </c>
      <c r="B3429" s="1" t="s">
        <v>1613</v>
      </c>
      <c r="C3429" s="1" t="s">
        <v>1114</v>
      </c>
      <c r="D3429" s="1" t="s">
        <v>250</v>
      </c>
      <c r="E3429" s="1" t="s">
        <v>44</v>
      </c>
      <c r="F3429" s="2" t="s">
        <v>2559</v>
      </c>
      <c r="G3429" s="1">
        <v>32.896000000000001</v>
      </c>
      <c r="H3429" s="1">
        <v>4</v>
      </c>
      <c r="I3429" s="1">
        <v>11.102399999999999</v>
      </c>
    </row>
    <row r="3430" spans="1:9" x14ac:dyDescent="0.35">
      <c r="A3430" s="3">
        <v>42801</v>
      </c>
      <c r="B3430" s="1" t="s">
        <v>1613</v>
      </c>
      <c r="C3430" s="1" t="s">
        <v>1114</v>
      </c>
      <c r="D3430" s="1" t="s">
        <v>250</v>
      </c>
      <c r="E3430" s="1" t="s">
        <v>24</v>
      </c>
      <c r="F3430" s="2" t="s">
        <v>680</v>
      </c>
      <c r="G3430" s="1">
        <v>215.148</v>
      </c>
      <c r="H3430" s="1">
        <v>2</v>
      </c>
      <c r="I3430" s="1">
        <v>-103.98820000000001</v>
      </c>
    </row>
    <row r="3431" spans="1:9" x14ac:dyDescent="0.35">
      <c r="A3431" s="3">
        <v>42801</v>
      </c>
      <c r="B3431" s="1" t="s">
        <v>1613</v>
      </c>
      <c r="C3431" s="1" t="s">
        <v>1114</v>
      </c>
      <c r="D3431" s="1" t="s">
        <v>250</v>
      </c>
      <c r="E3431" s="1" t="s">
        <v>44</v>
      </c>
      <c r="F3431" s="2" t="s">
        <v>2333</v>
      </c>
      <c r="G3431" s="1">
        <v>30.96</v>
      </c>
      <c r="H3431" s="1">
        <v>6</v>
      </c>
      <c r="I3431" s="1">
        <v>11.223000000000001</v>
      </c>
    </row>
    <row r="3432" spans="1:9" x14ac:dyDescent="0.35">
      <c r="A3432" s="3">
        <v>42959</v>
      </c>
      <c r="B3432" s="1" t="s">
        <v>671</v>
      </c>
      <c r="C3432" s="1" t="s">
        <v>494</v>
      </c>
      <c r="D3432" s="1" t="s">
        <v>18</v>
      </c>
      <c r="E3432" s="1" t="s">
        <v>26</v>
      </c>
      <c r="F3432" s="2" t="s">
        <v>632</v>
      </c>
      <c r="G3432" s="1">
        <v>29.79</v>
      </c>
      <c r="H3432" s="1">
        <v>3</v>
      </c>
      <c r="I3432" s="1">
        <v>8.6390999999999991</v>
      </c>
    </row>
    <row r="3433" spans="1:9" x14ac:dyDescent="0.35">
      <c r="A3433" s="3">
        <v>42959</v>
      </c>
      <c r="B3433" s="1" t="s">
        <v>671</v>
      </c>
      <c r="C3433" s="1" t="s">
        <v>494</v>
      </c>
      <c r="D3433" s="1" t="s">
        <v>18</v>
      </c>
      <c r="E3433" s="1" t="s">
        <v>29</v>
      </c>
      <c r="F3433" s="2" t="s">
        <v>2560</v>
      </c>
      <c r="G3433" s="1">
        <v>128.9</v>
      </c>
      <c r="H3433" s="1">
        <v>2</v>
      </c>
      <c r="I3433" s="1">
        <v>15.468</v>
      </c>
    </row>
    <row r="3434" spans="1:9" x14ac:dyDescent="0.35">
      <c r="A3434" s="3">
        <v>42959</v>
      </c>
      <c r="B3434" s="1" t="s">
        <v>671</v>
      </c>
      <c r="C3434" s="1" t="s">
        <v>494</v>
      </c>
      <c r="D3434" s="1" t="s">
        <v>18</v>
      </c>
      <c r="E3434" s="1" t="s">
        <v>44</v>
      </c>
      <c r="F3434" s="2" t="s">
        <v>1148</v>
      </c>
      <c r="G3434" s="1">
        <v>60.12</v>
      </c>
      <c r="H3434" s="1">
        <v>9</v>
      </c>
      <c r="I3434" s="1">
        <v>28.857600000000001</v>
      </c>
    </row>
    <row r="3435" spans="1:9" x14ac:dyDescent="0.35">
      <c r="A3435" s="3">
        <v>42867</v>
      </c>
      <c r="B3435" s="1" t="s">
        <v>1020</v>
      </c>
      <c r="C3435" s="1" t="s">
        <v>1748</v>
      </c>
      <c r="D3435" s="1" t="s">
        <v>48</v>
      </c>
      <c r="E3435" s="1" t="s">
        <v>35</v>
      </c>
      <c r="F3435" s="2" t="s">
        <v>2216</v>
      </c>
      <c r="G3435" s="1">
        <v>24.815999999999999</v>
      </c>
      <c r="H3435" s="1">
        <v>3</v>
      </c>
      <c r="I3435" s="1">
        <v>8.3754000000000008</v>
      </c>
    </row>
    <row r="3436" spans="1:9" x14ac:dyDescent="0.35">
      <c r="A3436" s="3">
        <v>42867</v>
      </c>
      <c r="B3436" s="1" t="s">
        <v>1020</v>
      </c>
      <c r="C3436" s="1" t="s">
        <v>1748</v>
      </c>
      <c r="D3436" s="1" t="s">
        <v>48</v>
      </c>
      <c r="E3436" s="1" t="s">
        <v>35</v>
      </c>
      <c r="F3436" s="2" t="s">
        <v>1285</v>
      </c>
      <c r="G3436" s="1">
        <v>14.976000000000001</v>
      </c>
      <c r="H3436" s="1">
        <v>6</v>
      </c>
      <c r="I3436" s="1">
        <v>5.4287999999999998</v>
      </c>
    </row>
    <row r="3437" spans="1:9" x14ac:dyDescent="0.35">
      <c r="A3437" s="3" t="s">
        <v>3393</v>
      </c>
      <c r="B3437" s="1" t="s">
        <v>1407</v>
      </c>
      <c r="C3437" s="1" t="s">
        <v>154</v>
      </c>
      <c r="D3437" s="1" t="s">
        <v>106</v>
      </c>
      <c r="E3437" s="1" t="s">
        <v>35</v>
      </c>
      <c r="F3437" s="2" t="s">
        <v>805</v>
      </c>
      <c r="G3437" s="1">
        <v>15.08</v>
      </c>
      <c r="H3437" s="1">
        <v>2</v>
      </c>
      <c r="I3437" s="1">
        <v>-22.62</v>
      </c>
    </row>
    <row r="3438" spans="1:9" x14ac:dyDescent="0.35">
      <c r="A3438" s="3" t="s">
        <v>3393</v>
      </c>
      <c r="B3438" s="1" t="s">
        <v>1407</v>
      </c>
      <c r="C3438" s="1" t="s">
        <v>154</v>
      </c>
      <c r="D3438" s="1" t="s">
        <v>106</v>
      </c>
      <c r="E3438" s="1" t="s">
        <v>29</v>
      </c>
      <c r="F3438" s="2" t="s">
        <v>938</v>
      </c>
      <c r="G3438" s="1">
        <v>24.288</v>
      </c>
      <c r="H3438" s="1">
        <v>3</v>
      </c>
      <c r="I3438" s="1">
        <v>-12.751200000000001</v>
      </c>
    </row>
    <row r="3439" spans="1:9" x14ac:dyDescent="0.35">
      <c r="A3439" s="3" t="s">
        <v>3394</v>
      </c>
      <c r="B3439" s="1" t="s">
        <v>1314</v>
      </c>
      <c r="C3439" s="1" t="s">
        <v>399</v>
      </c>
      <c r="D3439" s="1" t="s">
        <v>52</v>
      </c>
      <c r="E3439" s="1" t="s">
        <v>29</v>
      </c>
      <c r="F3439" s="2" t="s">
        <v>938</v>
      </c>
      <c r="G3439" s="1">
        <v>16.192</v>
      </c>
      <c r="H3439" s="1">
        <v>2</v>
      </c>
      <c r="I3439" s="1">
        <v>-8.5007999999999999</v>
      </c>
    </row>
    <row r="3440" spans="1:9" x14ac:dyDescent="0.35">
      <c r="A3440" s="3" t="s">
        <v>3394</v>
      </c>
      <c r="B3440" s="1" t="s">
        <v>1314</v>
      </c>
      <c r="C3440" s="1" t="s">
        <v>399</v>
      </c>
      <c r="D3440" s="1" t="s">
        <v>52</v>
      </c>
      <c r="E3440" s="1" t="s">
        <v>24</v>
      </c>
      <c r="F3440" s="2" t="s">
        <v>680</v>
      </c>
      <c r="G3440" s="1">
        <v>251.006</v>
      </c>
      <c r="H3440" s="1">
        <v>2</v>
      </c>
      <c r="I3440" s="1">
        <v>-68.130200000000002</v>
      </c>
    </row>
    <row r="3441" spans="1:9" x14ac:dyDescent="0.35">
      <c r="A3441" s="3" t="s">
        <v>3394</v>
      </c>
      <c r="B3441" s="1" t="s">
        <v>1314</v>
      </c>
      <c r="C3441" s="1" t="s">
        <v>399</v>
      </c>
      <c r="D3441" s="1" t="s">
        <v>52</v>
      </c>
      <c r="E3441" s="1" t="s">
        <v>26</v>
      </c>
      <c r="F3441" s="2" t="s">
        <v>1697</v>
      </c>
      <c r="G3441" s="1">
        <v>54.192</v>
      </c>
      <c r="H3441" s="1">
        <v>6</v>
      </c>
      <c r="I3441" s="1">
        <v>4.0644</v>
      </c>
    </row>
    <row r="3442" spans="1:9" x14ac:dyDescent="0.35">
      <c r="A3442" s="3" t="s">
        <v>3395</v>
      </c>
      <c r="B3442" s="1" t="s">
        <v>1070</v>
      </c>
      <c r="C3442" s="1" t="s">
        <v>64</v>
      </c>
      <c r="D3442" s="1" t="s">
        <v>18</v>
      </c>
      <c r="E3442" s="1" t="s">
        <v>35</v>
      </c>
      <c r="F3442" s="2" t="s">
        <v>150</v>
      </c>
      <c r="G3442" s="1">
        <v>4.3040000000000003</v>
      </c>
      <c r="H3442" s="1">
        <v>1</v>
      </c>
      <c r="I3442" s="1">
        <v>1.5602</v>
      </c>
    </row>
    <row r="3443" spans="1:9" x14ac:dyDescent="0.35">
      <c r="A3443" s="3">
        <v>41946</v>
      </c>
      <c r="B3443" s="1" t="s">
        <v>2036</v>
      </c>
      <c r="C3443" s="1" t="s">
        <v>135</v>
      </c>
      <c r="D3443" s="1" t="s">
        <v>136</v>
      </c>
      <c r="E3443" s="1" t="s">
        <v>44</v>
      </c>
      <c r="F3443" s="2" t="s">
        <v>1002</v>
      </c>
      <c r="G3443" s="1">
        <v>108.92</v>
      </c>
      <c r="H3443" s="1">
        <v>14</v>
      </c>
      <c r="I3443" s="1">
        <v>49.014000000000003</v>
      </c>
    </row>
    <row r="3444" spans="1:9" x14ac:dyDescent="0.35">
      <c r="A3444" s="3" t="s">
        <v>3194</v>
      </c>
      <c r="B3444" s="1" t="s">
        <v>966</v>
      </c>
      <c r="C3444" s="1" t="s">
        <v>135</v>
      </c>
      <c r="D3444" s="1" t="s">
        <v>136</v>
      </c>
      <c r="E3444" s="1" t="s">
        <v>87</v>
      </c>
      <c r="F3444" s="2" t="s">
        <v>332</v>
      </c>
      <c r="G3444" s="1">
        <v>16.739999999999998</v>
      </c>
      <c r="H3444" s="1">
        <v>3</v>
      </c>
      <c r="I3444" s="1">
        <v>8.3699999999999992</v>
      </c>
    </row>
    <row r="3445" spans="1:9" x14ac:dyDescent="0.35">
      <c r="A3445" s="3" t="s">
        <v>3194</v>
      </c>
      <c r="B3445" s="1" t="s">
        <v>966</v>
      </c>
      <c r="C3445" s="1" t="s">
        <v>135</v>
      </c>
      <c r="D3445" s="1" t="s">
        <v>136</v>
      </c>
      <c r="E3445" s="1" t="s">
        <v>37</v>
      </c>
      <c r="F3445" s="2" t="s">
        <v>1434</v>
      </c>
      <c r="G3445" s="1">
        <v>2504.7399999999998</v>
      </c>
      <c r="H3445" s="1">
        <v>7</v>
      </c>
      <c r="I3445" s="1">
        <v>626.18499999999995</v>
      </c>
    </row>
    <row r="3446" spans="1:9" x14ac:dyDescent="0.35">
      <c r="A3446" s="3" t="s">
        <v>3396</v>
      </c>
      <c r="B3446" s="1" t="s">
        <v>2561</v>
      </c>
      <c r="C3446" s="1" t="s">
        <v>74</v>
      </c>
      <c r="D3446" s="1" t="s">
        <v>75</v>
      </c>
      <c r="E3446" s="1" t="s">
        <v>26</v>
      </c>
      <c r="F3446" s="2" t="s">
        <v>121</v>
      </c>
      <c r="G3446" s="1">
        <v>84.784000000000006</v>
      </c>
      <c r="H3446" s="1">
        <v>2</v>
      </c>
      <c r="I3446" s="1">
        <v>-16.956800000000001</v>
      </c>
    </row>
    <row r="3447" spans="1:9" x14ac:dyDescent="0.35">
      <c r="A3447" s="3">
        <v>42344</v>
      </c>
      <c r="B3447" s="1" t="s">
        <v>403</v>
      </c>
      <c r="C3447" s="1" t="s">
        <v>303</v>
      </c>
      <c r="D3447" s="1" t="s">
        <v>124</v>
      </c>
      <c r="E3447" s="1" t="s">
        <v>26</v>
      </c>
      <c r="F3447" s="2" t="s">
        <v>1984</v>
      </c>
      <c r="G3447" s="1">
        <v>29.9</v>
      </c>
      <c r="H3447" s="1">
        <v>5</v>
      </c>
      <c r="I3447" s="1">
        <v>5.0830000000000002</v>
      </c>
    </row>
    <row r="3448" spans="1:9" x14ac:dyDescent="0.35">
      <c r="A3448" s="3">
        <v>42529</v>
      </c>
      <c r="B3448" s="1" t="s">
        <v>2562</v>
      </c>
      <c r="C3448" s="1" t="s">
        <v>135</v>
      </c>
      <c r="D3448" s="1" t="s">
        <v>136</v>
      </c>
      <c r="E3448" s="1" t="s">
        <v>44</v>
      </c>
      <c r="F3448" s="2" t="s">
        <v>94</v>
      </c>
      <c r="G3448" s="1">
        <v>70.88</v>
      </c>
      <c r="H3448" s="1">
        <v>2</v>
      </c>
      <c r="I3448" s="1">
        <v>33.313600000000001</v>
      </c>
    </row>
    <row r="3449" spans="1:9" x14ac:dyDescent="0.35">
      <c r="A3449" s="3">
        <v>43045</v>
      </c>
      <c r="B3449" s="1" t="s">
        <v>2166</v>
      </c>
      <c r="C3449" s="1" t="s">
        <v>734</v>
      </c>
      <c r="D3449" s="1" t="s">
        <v>182</v>
      </c>
      <c r="E3449" s="1" t="s">
        <v>31</v>
      </c>
      <c r="F3449" s="2" t="s">
        <v>1467</v>
      </c>
      <c r="G3449" s="1">
        <v>3.76</v>
      </c>
      <c r="H3449" s="1">
        <v>2</v>
      </c>
      <c r="I3449" s="1">
        <v>1.0904</v>
      </c>
    </row>
    <row r="3450" spans="1:9" x14ac:dyDescent="0.35">
      <c r="A3450" s="3">
        <v>42561</v>
      </c>
      <c r="B3450" s="1" t="s">
        <v>2241</v>
      </c>
      <c r="C3450" s="1" t="s">
        <v>17</v>
      </c>
      <c r="D3450" s="1" t="s">
        <v>18</v>
      </c>
      <c r="E3450" s="1" t="s">
        <v>35</v>
      </c>
      <c r="F3450" s="2" t="s">
        <v>1401</v>
      </c>
      <c r="G3450" s="1">
        <v>27.263999999999999</v>
      </c>
      <c r="H3450" s="1">
        <v>2</v>
      </c>
      <c r="I3450" s="1">
        <v>8.8607999999999993</v>
      </c>
    </row>
    <row r="3451" spans="1:9" x14ac:dyDescent="0.35">
      <c r="A3451" s="3">
        <v>41860</v>
      </c>
      <c r="B3451" s="1" t="s">
        <v>1777</v>
      </c>
      <c r="C3451" s="1" t="s">
        <v>64</v>
      </c>
      <c r="D3451" s="1" t="s">
        <v>18</v>
      </c>
      <c r="E3451" s="1" t="s">
        <v>37</v>
      </c>
      <c r="F3451" s="2" t="s">
        <v>1988</v>
      </c>
      <c r="G3451" s="1">
        <v>56.65</v>
      </c>
      <c r="H3451" s="1">
        <v>5</v>
      </c>
      <c r="I3451" s="1">
        <v>24.359500000000001</v>
      </c>
    </row>
    <row r="3452" spans="1:9" x14ac:dyDescent="0.35">
      <c r="A3452" s="3">
        <v>41860</v>
      </c>
      <c r="B3452" s="1" t="s">
        <v>1777</v>
      </c>
      <c r="C3452" s="1" t="s">
        <v>64</v>
      </c>
      <c r="D3452" s="1" t="s">
        <v>18</v>
      </c>
      <c r="E3452" s="1" t="s">
        <v>26</v>
      </c>
      <c r="F3452" s="2" t="s">
        <v>615</v>
      </c>
      <c r="G3452" s="1">
        <v>14.97</v>
      </c>
      <c r="H3452" s="1">
        <v>1</v>
      </c>
      <c r="I3452" s="1">
        <v>4.1916000000000002</v>
      </c>
    </row>
    <row r="3453" spans="1:9" x14ac:dyDescent="0.35">
      <c r="A3453" s="3">
        <v>41860</v>
      </c>
      <c r="B3453" s="1" t="s">
        <v>1777</v>
      </c>
      <c r="C3453" s="1" t="s">
        <v>64</v>
      </c>
      <c r="D3453" s="1" t="s">
        <v>18</v>
      </c>
      <c r="E3453" s="1" t="s">
        <v>137</v>
      </c>
      <c r="F3453" s="2" t="s">
        <v>287</v>
      </c>
      <c r="G3453" s="1">
        <v>4.0199999999999996</v>
      </c>
      <c r="H3453" s="1">
        <v>2</v>
      </c>
      <c r="I3453" s="1">
        <v>1.9698</v>
      </c>
    </row>
    <row r="3454" spans="1:9" x14ac:dyDescent="0.35">
      <c r="A3454" s="3" t="s">
        <v>3397</v>
      </c>
      <c r="B3454" s="1" t="s">
        <v>2166</v>
      </c>
      <c r="C3454" s="1" t="s">
        <v>1912</v>
      </c>
      <c r="D3454" s="1" t="s">
        <v>43</v>
      </c>
      <c r="E3454" s="1" t="s">
        <v>33</v>
      </c>
      <c r="F3454" s="2" t="s">
        <v>2563</v>
      </c>
      <c r="G3454" s="1">
        <v>471.92</v>
      </c>
      <c r="H3454" s="1">
        <v>2</v>
      </c>
      <c r="I3454" s="1">
        <v>29.495000000000001</v>
      </c>
    </row>
    <row r="3455" spans="1:9" x14ac:dyDescent="0.35">
      <c r="A3455" s="3">
        <v>42007</v>
      </c>
      <c r="B3455" s="1" t="s">
        <v>1656</v>
      </c>
      <c r="C3455" s="1" t="s">
        <v>1535</v>
      </c>
      <c r="D3455" s="1" t="s">
        <v>604</v>
      </c>
      <c r="E3455" s="1" t="s">
        <v>35</v>
      </c>
      <c r="F3455" s="2" t="s">
        <v>1523</v>
      </c>
      <c r="G3455" s="1">
        <v>58.72</v>
      </c>
      <c r="H3455" s="1">
        <v>4</v>
      </c>
      <c r="I3455" s="1">
        <v>27.011199999999999</v>
      </c>
    </row>
    <row r="3456" spans="1:9" x14ac:dyDescent="0.35">
      <c r="A3456" s="3">
        <v>42254</v>
      </c>
      <c r="B3456" s="1" t="s">
        <v>77</v>
      </c>
      <c r="C3456" s="1" t="s">
        <v>2272</v>
      </c>
      <c r="D3456" s="1" t="s">
        <v>171</v>
      </c>
      <c r="E3456" s="1" t="s">
        <v>31</v>
      </c>
      <c r="F3456" s="2" t="s">
        <v>2564</v>
      </c>
      <c r="G3456" s="1">
        <v>5.16</v>
      </c>
      <c r="H3456" s="1">
        <v>3</v>
      </c>
      <c r="I3456" s="1">
        <v>0.83850000000000002</v>
      </c>
    </row>
    <row r="3457" spans="1:9" x14ac:dyDescent="0.35">
      <c r="A3457" s="3" t="s">
        <v>3398</v>
      </c>
      <c r="B3457" s="1" t="s">
        <v>477</v>
      </c>
      <c r="C3457" s="1" t="s">
        <v>2272</v>
      </c>
      <c r="D3457" s="1" t="s">
        <v>171</v>
      </c>
      <c r="E3457" s="1" t="s">
        <v>44</v>
      </c>
      <c r="F3457" s="2" t="s">
        <v>2565</v>
      </c>
      <c r="G3457" s="1">
        <v>16.495999999999999</v>
      </c>
      <c r="H3457" s="1">
        <v>2</v>
      </c>
      <c r="I3457" s="1">
        <v>5.5674000000000001</v>
      </c>
    </row>
    <row r="3458" spans="1:9" x14ac:dyDescent="0.35">
      <c r="A3458" s="3" t="s">
        <v>3324</v>
      </c>
      <c r="B3458" s="1" t="s">
        <v>1952</v>
      </c>
      <c r="C3458" s="1" t="s">
        <v>74</v>
      </c>
      <c r="D3458" s="1" t="s">
        <v>75</v>
      </c>
      <c r="E3458" s="1" t="s">
        <v>81</v>
      </c>
      <c r="F3458" s="2" t="s">
        <v>1703</v>
      </c>
      <c r="G3458" s="1">
        <v>71.975999999999999</v>
      </c>
      <c r="H3458" s="1">
        <v>3</v>
      </c>
      <c r="I3458" s="1">
        <v>19.793399999999998</v>
      </c>
    </row>
    <row r="3459" spans="1:9" x14ac:dyDescent="0.35">
      <c r="A3459" s="3" t="s">
        <v>3324</v>
      </c>
      <c r="B3459" s="1" t="s">
        <v>1952</v>
      </c>
      <c r="C3459" s="1" t="s">
        <v>74</v>
      </c>
      <c r="D3459" s="1" t="s">
        <v>75</v>
      </c>
      <c r="E3459" s="1" t="s">
        <v>29</v>
      </c>
      <c r="F3459" s="2" t="s">
        <v>2393</v>
      </c>
      <c r="G3459" s="1">
        <v>22.512</v>
      </c>
      <c r="H3459" s="1">
        <v>3</v>
      </c>
      <c r="I3459" s="1">
        <v>2.2511999999999999</v>
      </c>
    </row>
    <row r="3460" spans="1:9" x14ac:dyDescent="0.35">
      <c r="A3460" s="3" t="s">
        <v>3324</v>
      </c>
      <c r="B3460" s="1" t="s">
        <v>1952</v>
      </c>
      <c r="C3460" s="1" t="s">
        <v>74</v>
      </c>
      <c r="D3460" s="1" t="s">
        <v>75</v>
      </c>
      <c r="E3460" s="1" t="s">
        <v>35</v>
      </c>
      <c r="F3460" s="2" t="s">
        <v>2002</v>
      </c>
      <c r="G3460" s="1">
        <v>3.444</v>
      </c>
      <c r="H3460" s="1">
        <v>2</v>
      </c>
      <c r="I3460" s="1">
        <v>-2.7551999999999999</v>
      </c>
    </row>
    <row r="3461" spans="1:9" x14ac:dyDescent="0.35">
      <c r="A3461" s="3" t="s">
        <v>3324</v>
      </c>
      <c r="B3461" s="1" t="s">
        <v>1952</v>
      </c>
      <c r="C3461" s="1" t="s">
        <v>74</v>
      </c>
      <c r="D3461" s="1" t="s">
        <v>75</v>
      </c>
      <c r="E3461" s="1" t="s">
        <v>35</v>
      </c>
      <c r="F3461" s="2" t="s">
        <v>1956</v>
      </c>
      <c r="G3461" s="1">
        <v>538.19399999999996</v>
      </c>
      <c r="H3461" s="1">
        <v>2</v>
      </c>
      <c r="I3461" s="1">
        <v>-412.61540000000002</v>
      </c>
    </row>
    <row r="3462" spans="1:9" x14ac:dyDescent="0.35">
      <c r="A3462" s="3" t="s">
        <v>3324</v>
      </c>
      <c r="B3462" s="1" t="s">
        <v>1952</v>
      </c>
      <c r="C3462" s="1" t="s">
        <v>74</v>
      </c>
      <c r="D3462" s="1" t="s">
        <v>75</v>
      </c>
      <c r="E3462" s="1" t="s">
        <v>81</v>
      </c>
      <c r="F3462" s="2" t="s">
        <v>490</v>
      </c>
      <c r="G3462" s="1">
        <v>47.984000000000002</v>
      </c>
      <c r="H3462" s="1">
        <v>2</v>
      </c>
      <c r="I3462" s="1">
        <v>14.395200000000001</v>
      </c>
    </row>
    <row r="3463" spans="1:9" x14ac:dyDescent="0.35">
      <c r="A3463" s="3">
        <v>42866</v>
      </c>
      <c r="B3463" s="1" t="s">
        <v>2160</v>
      </c>
      <c r="C3463" s="1" t="s">
        <v>399</v>
      </c>
      <c r="D3463" s="1" t="s">
        <v>52</v>
      </c>
      <c r="E3463" s="1" t="s">
        <v>33</v>
      </c>
      <c r="F3463" s="2" t="s">
        <v>652</v>
      </c>
      <c r="G3463" s="1">
        <v>492.76799999999997</v>
      </c>
      <c r="H3463" s="1">
        <v>4</v>
      </c>
      <c r="I3463" s="1">
        <v>55.436399999999999</v>
      </c>
    </row>
    <row r="3464" spans="1:9" x14ac:dyDescent="0.35">
      <c r="A3464" s="3" t="s">
        <v>3217</v>
      </c>
      <c r="B3464" s="1" t="s">
        <v>2036</v>
      </c>
      <c r="C3464" s="1" t="s">
        <v>2025</v>
      </c>
      <c r="D3464" s="1" t="s">
        <v>388</v>
      </c>
      <c r="E3464" s="1" t="s">
        <v>31</v>
      </c>
      <c r="F3464" s="2" t="s">
        <v>1503</v>
      </c>
      <c r="G3464" s="1">
        <v>286.79000000000002</v>
      </c>
      <c r="H3464" s="1">
        <v>7</v>
      </c>
      <c r="I3464" s="1">
        <v>74.565399999999997</v>
      </c>
    </row>
    <row r="3465" spans="1:9" x14ac:dyDescent="0.35">
      <c r="A3465" s="3" t="s">
        <v>3399</v>
      </c>
      <c r="B3465" s="1" t="s">
        <v>2566</v>
      </c>
      <c r="C3465" s="1" t="s">
        <v>719</v>
      </c>
      <c r="D3465" s="1" t="s">
        <v>23</v>
      </c>
      <c r="E3465" s="1" t="s">
        <v>44</v>
      </c>
      <c r="F3465" s="2" t="s">
        <v>168</v>
      </c>
      <c r="G3465" s="1">
        <v>5.08</v>
      </c>
      <c r="H3465" s="1">
        <v>1</v>
      </c>
      <c r="I3465" s="1">
        <v>1.651</v>
      </c>
    </row>
    <row r="3466" spans="1:9" x14ac:dyDescent="0.35">
      <c r="A3466" s="3">
        <v>42806</v>
      </c>
      <c r="B3466" s="1" t="s">
        <v>1602</v>
      </c>
      <c r="C3466" s="1" t="s">
        <v>719</v>
      </c>
      <c r="D3466" s="1" t="s">
        <v>23</v>
      </c>
      <c r="E3466" s="1" t="s">
        <v>81</v>
      </c>
      <c r="F3466" s="2" t="s">
        <v>1478</v>
      </c>
      <c r="G3466" s="1">
        <v>47.991999999999997</v>
      </c>
      <c r="H3466" s="1">
        <v>1</v>
      </c>
      <c r="I3466" s="1">
        <v>7.1988000000000003</v>
      </c>
    </row>
    <row r="3467" spans="1:9" x14ac:dyDescent="0.35">
      <c r="A3467" s="3">
        <v>42286</v>
      </c>
      <c r="B3467" s="1" t="s">
        <v>1970</v>
      </c>
      <c r="C3467" s="1" t="s">
        <v>2546</v>
      </c>
      <c r="D3467" s="1" t="s">
        <v>592</v>
      </c>
      <c r="E3467" s="1" t="s">
        <v>37</v>
      </c>
      <c r="F3467" s="2" t="s">
        <v>2108</v>
      </c>
      <c r="G3467" s="1">
        <v>61.96</v>
      </c>
      <c r="H3467" s="1">
        <v>2</v>
      </c>
      <c r="I3467" s="1">
        <v>16.1096</v>
      </c>
    </row>
    <row r="3468" spans="1:9" x14ac:dyDescent="0.35">
      <c r="A3468" s="3">
        <v>42286</v>
      </c>
      <c r="B3468" s="1" t="s">
        <v>1970</v>
      </c>
      <c r="C3468" s="1" t="s">
        <v>2546</v>
      </c>
      <c r="D3468" s="1" t="s">
        <v>592</v>
      </c>
      <c r="E3468" s="1" t="s">
        <v>12</v>
      </c>
      <c r="F3468" s="2" t="s">
        <v>416</v>
      </c>
      <c r="G3468" s="1">
        <v>361.96</v>
      </c>
      <c r="H3468" s="1">
        <v>2</v>
      </c>
      <c r="I3468" s="1">
        <v>83.250799999999998</v>
      </c>
    </row>
    <row r="3469" spans="1:9" x14ac:dyDescent="0.35">
      <c r="A3469" s="3">
        <v>42286</v>
      </c>
      <c r="B3469" s="1" t="s">
        <v>1970</v>
      </c>
      <c r="C3469" s="1" t="s">
        <v>2546</v>
      </c>
      <c r="D3469" s="1" t="s">
        <v>592</v>
      </c>
      <c r="E3469" s="1" t="s">
        <v>44</v>
      </c>
      <c r="F3469" s="2" t="s">
        <v>627</v>
      </c>
      <c r="G3469" s="1">
        <v>278.82</v>
      </c>
      <c r="H3469" s="1">
        <v>9</v>
      </c>
      <c r="I3469" s="1">
        <v>125.46899999999999</v>
      </c>
    </row>
    <row r="3470" spans="1:9" x14ac:dyDescent="0.35">
      <c r="A3470" s="3" t="s">
        <v>3400</v>
      </c>
      <c r="B3470" s="1" t="s">
        <v>1012</v>
      </c>
      <c r="C3470" s="1" t="s">
        <v>167</v>
      </c>
      <c r="D3470" s="1" t="s">
        <v>704</v>
      </c>
      <c r="E3470" s="1" t="s">
        <v>29</v>
      </c>
      <c r="F3470" s="2" t="s">
        <v>2284</v>
      </c>
      <c r="G3470" s="1">
        <v>133.38</v>
      </c>
      <c r="H3470" s="1">
        <v>6</v>
      </c>
      <c r="I3470" s="1">
        <v>58.687199999999997</v>
      </c>
    </row>
    <row r="3471" spans="1:9" x14ac:dyDescent="0.35">
      <c r="A3471" s="3">
        <v>42159</v>
      </c>
      <c r="B3471" s="1" t="s">
        <v>2567</v>
      </c>
      <c r="C3471" s="1" t="s">
        <v>719</v>
      </c>
      <c r="D3471" s="1" t="s">
        <v>43</v>
      </c>
      <c r="E3471" s="1" t="s">
        <v>44</v>
      </c>
      <c r="F3471" s="2" t="s">
        <v>1189</v>
      </c>
      <c r="G3471" s="1">
        <v>47.951999999999998</v>
      </c>
      <c r="H3471" s="1">
        <v>3</v>
      </c>
      <c r="I3471" s="1">
        <v>16.183800000000002</v>
      </c>
    </row>
    <row r="3472" spans="1:9" x14ac:dyDescent="0.35">
      <c r="A3472" s="3">
        <v>42381</v>
      </c>
      <c r="B3472" s="1" t="s">
        <v>1738</v>
      </c>
      <c r="C3472" s="1" t="s">
        <v>64</v>
      </c>
      <c r="D3472" s="1" t="s">
        <v>18</v>
      </c>
      <c r="E3472" s="1" t="s">
        <v>29</v>
      </c>
      <c r="F3472" s="2" t="s">
        <v>1517</v>
      </c>
      <c r="G3472" s="1">
        <v>16.739999999999998</v>
      </c>
      <c r="H3472" s="1">
        <v>2</v>
      </c>
      <c r="I3472" s="1">
        <v>4.3524000000000003</v>
      </c>
    </row>
    <row r="3473" spans="1:9" x14ac:dyDescent="0.35">
      <c r="A3473" s="3">
        <v>43080</v>
      </c>
      <c r="B3473" s="1" t="s">
        <v>944</v>
      </c>
      <c r="C3473" s="1" t="s">
        <v>249</v>
      </c>
      <c r="D3473" s="1" t="s">
        <v>250</v>
      </c>
      <c r="E3473" s="1" t="s">
        <v>44</v>
      </c>
      <c r="F3473" s="2" t="s">
        <v>1655</v>
      </c>
      <c r="G3473" s="1">
        <v>10.848000000000001</v>
      </c>
      <c r="H3473" s="1">
        <v>2</v>
      </c>
      <c r="I3473" s="1">
        <v>3.5255999999999998</v>
      </c>
    </row>
    <row r="3474" spans="1:9" x14ac:dyDescent="0.35">
      <c r="A3474" s="3">
        <v>43080</v>
      </c>
      <c r="B3474" s="1" t="s">
        <v>944</v>
      </c>
      <c r="C3474" s="1" t="s">
        <v>249</v>
      </c>
      <c r="D3474" s="1" t="s">
        <v>250</v>
      </c>
      <c r="E3474" s="1" t="s">
        <v>81</v>
      </c>
      <c r="F3474" s="2" t="s">
        <v>1005</v>
      </c>
      <c r="G3474" s="1">
        <v>18.544</v>
      </c>
      <c r="H3474" s="1">
        <v>2</v>
      </c>
      <c r="I3474" s="1">
        <v>3.0133999999999999</v>
      </c>
    </row>
    <row r="3475" spans="1:9" x14ac:dyDescent="0.35">
      <c r="A3475" s="3">
        <v>42797</v>
      </c>
      <c r="B3475" s="1" t="s">
        <v>851</v>
      </c>
      <c r="C3475" s="1" t="s">
        <v>2568</v>
      </c>
      <c r="D3475" s="1" t="s">
        <v>120</v>
      </c>
      <c r="E3475" s="1" t="s">
        <v>14</v>
      </c>
      <c r="F3475" s="2" t="s">
        <v>607</v>
      </c>
      <c r="G3475" s="1">
        <v>180.98</v>
      </c>
      <c r="H3475" s="1">
        <v>1</v>
      </c>
      <c r="I3475" s="1">
        <v>47.0548</v>
      </c>
    </row>
    <row r="3476" spans="1:9" x14ac:dyDescent="0.35">
      <c r="A3476" s="3">
        <v>42797</v>
      </c>
      <c r="B3476" s="1" t="s">
        <v>851</v>
      </c>
      <c r="C3476" s="1" t="s">
        <v>2568</v>
      </c>
      <c r="D3476" s="1" t="s">
        <v>120</v>
      </c>
      <c r="E3476" s="1" t="s">
        <v>81</v>
      </c>
      <c r="F3476" s="2" t="s">
        <v>1895</v>
      </c>
      <c r="G3476" s="1">
        <v>99.98</v>
      </c>
      <c r="H3476" s="1">
        <v>2</v>
      </c>
      <c r="I3476" s="1">
        <v>42.991399999999999</v>
      </c>
    </row>
    <row r="3477" spans="1:9" x14ac:dyDescent="0.35">
      <c r="A3477" s="3" t="s">
        <v>3401</v>
      </c>
      <c r="B3477" s="1" t="s">
        <v>1245</v>
      </c>
      <c r="C3477" s="1" t="s">
        <v>2528</v>
      </c>
      <c r="D3477" s="1" t="s">
        <v>1891</v>
      </c>
      <c r="E3477" s="1" t="s">
        <v>81</v>
      </c>
      <c r="F3477" s="2" t="s">
        <v>149</v>
      </c>
      <c r="G3477" s="1">
        <v>34.950000000000003</v>
      </c>
      <c r="H3477" s="1">
        <v>5</v>
      </c>
      <c r="I3477" s="1">
        <v>15.378</v>
      </c>
    </row>
    <row r="3478" spans="1:9" x14ac:dyDescent="0.35">
      <c r="A3478" s="3" t="s">
        <v>3401</v>
      </c>
      <c r="B3478" s="1" t="s">
        <v>1245</v>
      </c>
      <c r="C3478" s="1" t="s">
        <v>2528</v>
      </c>
      <c r="D3478" s="1" t="s">
        <v>1891</v>
      </c>
      <c r="E3478" s="1" t="s">
        <v>35</v>
      </c>
      <c r="F3478" s="2" t="s">
        <v>1672</v>
      </c>
      <c r="G3478" s="1">
        <v>152</v>
      </c>
      <c r="H3478" s="1">
        <v>5</v>
      </c>
      <c r="I3478" s="1">
        <v>69.92</v>
      </c>
    </row>
    <row r="3479" spans="1:9" x14ac:dyDescent="0.35">
      <c r="A3479" s="3" t="s">
        <v>3402</v>
      </c>
      <c r="B3479" s="1" t="s">
        <v>352</v>
      </c>
      <c r="C3479" s="1" t="s">
        <v>2569</v>
      </c>
      <c r="D3479" s="1" t="s">
        <v>331</v>
      </c>
      <c r="E3479" s="1" t="s">
        <v>81</v>
      </c>
      <c r="F3479" s="2" t="s">
        <v>2295</v>
      </c>
      <c r="G3479" s="1">
        <v>92.52</v>
      </c>
      <c r="H3479" s="1">
        <v>9</v>
      </c>
      <c r="I3479" s="1">
        <v>18.504000000000001</v>
      </c>
    </row>
    <row r="3480" spans="1:9" x14ac:dyDescent="0.35">
      <c r="A3480" s="3">
        <v>42594</v>
      </c>
      <c r="B3480" s="1" t="s">
        <v>1485</v>
      </c>
      <c r="C3480" s="1" t="s">
        <v>64</v>
      </c>
      <c r="D3480" s="1" t="s">
        <v>18</v>
      </c>
      <c r="E3480" s="1" t="s">
        <v>31</v>
      </c>
      <c r="F3480" s="2" t="s">
        <v>65</v>
      </c>
      <c r="G3480" s="1">
        <v>8.56</v>
      </c>
      <c r="H3480" s="1">
        <v>2</v>
      </c>
      <c r="I3480" s="1">
        <v>2.4824000000000002</v>
      </c>
    </row>
    <row r="3481" spans="1:9" x14ac:dyDescent="0.35">
      <c r="A3481" s="3">
        <v>42594</v>
      </c>
      <c r="B3481" s="1" t="s">
        <v>1485</v>
      </c>
      <c r="C3481" s="1" t="s">
        <v>64</v>
      </c>
      <c r="D3481" s="1" t="s">
        <v>18</v>
      </c>
      <c r="E3481" s="1" t="s">
        <v>44</v>
      </c>
      <c r="F3481" s="2" t="s">
        <v>2570</v>
      </c>
      <c r="G3481" s="1">
        <v>45.36</v>
      </c>
      <c r="H3481" s="1">
        <v>7</v>
      </c>
      <c r="I3481" s="1">
        <v>21.7728</v>
      </c>
    </row>
    <row r="3482" spans="1:9" x14ac:dyDescent="0.35">
      <c r="A3482" s="3">
        <v>42594</v>
      </c>
      <c r="B3482" s="1" t="s">
        <v>1485</v>
      </c>
      <c r="C3482" s="1" t="s">
        <v>64</v>
      </c>
      <c r="D3482" s="1" t="s">
        <v>18</v>
      </c>
      <c r="E3482" s="1" t="s">
        <v>24</v>
      </c>
      <c r="F3482" s="2" t="s">
        <v>2034</v>
      </c>
      <c r="G3482" s="1">
        <v>1421.664</v>
      </c>
      <c r="H3482" s="1">
        <v>6</v>
      </c>
      <c r="I3482" s="1">
        <v>-195.47880000000001</v>
      </c>
    </row>
    <row r="3483" spans="1:9" x14ac:dyDescent="0.35">
      <c r="A3483" s="3">
        <v>41824</v>
      </c>
      <c r="B3483" s="1" t="s">
        <v>1143</v>
      </c>
      <c r="C3483" s="1" t="s">
        <v>1669</v>
      </c>
      <c r="D3483" s="1" t="s">
        <v>182</v>
      </c>
      <c r="E3483" s="1" t="s">
        <v>29</v>
      </c>
      <c r="F3483" s="2" t="s">
        <v>1800</v>
      </c>
      <c r="G3483" s="1">
        <v>8.9600000000000009</v>
      </c>
      <c r="H3483" s="1">
        <v>2</v>
      </c>
      <c r="I3483" s="1">
        <v>2.7776000000000001</v>
      </c>
    </row>
    <row r="3484" spans="1:9" x14ac:dyDescent="0.35">
      <c r="A3484" s="3" t="s">
        <v>3147</v>
      </c>
      <c r="B3484" s="1" t="s">
        <v>2035</v>
      </c>
      <c r="C3484" s="1" t="s">
        <v>162</v>
      </c>
      <c r="D3484" s="1" t="s">
        <v>163</v>
      </c>
      <c r="E3484" s="1" t="s">
        <v>33</v>
      </c>
      <c r="F3484" s="2" t="s">
        <v>1892</v>
      </c>
      <c r="G3484" s="1">
        <v>579.95000000000005</v>
      </c>
      <c r="H3484" s="1">
        <v>5</v>
      </c>
      <c r="I3484" s="1">
        <v>168.18549999999999</v>
      </c>
    </row>
    <row r="3485" spans="1:9" x14ac:dyDescent="0.35">
      <c r="A3485" s="3" t="s">
        <v>3147</v>
      </c>
      <c r="B3485" s="1" t="s">
        <v>2035</v>
      </c>
      <c r="C3485" s="1" t="s">
        <v>162</v>
      </c>
      <c r="D3485" s="1" t="s">
        <v>163</v>
      </c>
      <c r="E3485" s="1" t="s">
        <v>29</v>
      </c>
      <c r="F3485" s="2" t="s">
        <v>1727</v>
      </c>
      <c r="G3485" s="1">
        <v>29.12</v>
      </c>
      <c r="H3485" s="1">
        <v>4</v>
      </c>
      <c r="I3485" s="1">
        <v>12.521599999999999</v>
      </c>
    </row>
    <row r="3486" spans="1:9" x14ac:dyDescent="0.35">
      <c r="A3486" s="3" t="s">
        <v>3147</v>
      </c>
      <c r="B3486" s="1" t="s">
        <v>2035</v>
      </c>
      <c r="C3486" s="1" t="s">
        <v>162</v>
      </c>
      <c r="D3486" s="1" t="s">
        <v>163</v>
      </c>
      <c r="E3486" s="1" t="s">
        <v>24</v>
      </c>
      <c r="F3486" s="2" t="s">
        <v>2287</v>
      </c>
      <c r="G3486" s="1">
        <v>1202.94</v>
      </c>
      <c r="H3486" s="1">
        <v>3</v>
      </c>
      <c r="I3486" s="1">
        <v>300.73500000000001</v>
      </c>
    </row>
    <row r="3487" spans="1:9" x14ac:dyDescent="0.35">
      <c r="A3487" s="3" t="s">
        <v>3252</v>
      </c>
      <c r="B3487" s="1" t="s">
        <v>1774</v>
      </c>
      <c r="C3487" s="1" t="s">
        <v>303</v>
      </c>
      <c r="D3487" s="1" t="s">
        <v>124</v>
      </c>
      <c r="E3487" s="1" t="s">
        <v>35</v>
      </c>
      <c r="F3487" s="2" t="s">
        <v>1542</v>
      </c>
      <c r="G3487" s="1">
        <v>7.92</v>
      </c>
      <c r="H3487" s="1">
        <v>4</v>
      </c>
      <c r="I3487" s="1">
        <v>3.5640000000000001</v>
      </c>
    </row>
    <row r="3488" spans="1:9" x14ac:dyDescent="0.35">
      <c r="A3488" s="3" t="s">
        <v>3403</v>
      </c>
      <c r="B3488" s="1" t="s">
        <v>828</v>
      </c>
      <c r="C3488" s="1" t="s">
        <v>2571</v>
      </c>
      <c r="D3488" s="1" t="s">
        <v>43</v>
      </c>
      <c r="E3488" s="1" t="s">
        <v>33</v>
      </c>
      <c r="F3488" s="2" t="s">
        <v>2334</v>
      </c>
      <c r="G3488" s="1">
        <v>36.192</v>
      </c>
      <c r="H3488" s="1">
        <v>1</v>
      </c>
      <c r="I3488" s="1">
        <v>2.7143999999999999</v>
      </c>
    </row>
    <row r="3489" spans="1:9" x14ac:dyDescent="0.35">
      <c r="A3489" s="3">
        <v>42864</v>
      </c>
      <c r="B3489" s="1" t="s">
        <v>2440</v>
      </c>
      <c r="C3489" s="1" t="s">
        <v>22</v>
      </c>
      <c r="D3489" s="1" t="s">
        <v>23</v>
      </c>
      <c r="E3489" s="1" t="s">
        <v>26</v>
      </c>
      <c r="F3489" s="2" t="s">
        <v>410</v>
      </c>
      <c r="G3489" s="1">
        <v>147.184</v>
      </c>
      <c r="H3489" s="1">
        <v>2</v>
      </c>
      <c r="I3489" s="1">
        <v>-29.436800000000002</v>
      </c>
    </row>
    <row r="3490" spans="1:9" x14ac:dyDescent="0.35">
      <c r="A3490" s="3">
        <v>42042</v>
      </c>
      <c r="B3490" s="1" t="s">
        <v>2096</v>
      </c>
      <c r="C3490" s="1" t="s">
        <v>2572</v>
      </c>
      <c r="D3490" s="1" t="s">
        <v>106</v>
      </c>
      <c r="E3490" s="1" t="s">
        <v>14</v>
      </c>
      <c r="F3490" s="2" t="s">
        <v>544</v>
      </c>
      <c r="G3490" s="1">
        <v>408.42200000000003</v>
      </c>
      <c r="H3490" s="1">
        <v>2</v>
      </c>
      <c r="I3490" s="1">
        <v>-5.8346</v>
      </c>
    </row>
    <row r="3491" spans="1:9" x14ac:dyDescent="0.35">
      <c r="A3491" s="3">
        <v>42042</v>
      </c>
      <c r="B3491" s="1" t="s">
        <v>2096</v>
      </c>
      <c r="C3491" s="1" t="s">
        <v>2572</v>
      </c>
      <c r="D3491" s="1" t="s">
        <v>106</v>
      </c>
      <c r="E3491" s="1" t="s">
        <v>14</v>
      </c>
      <c r="F3491" s="2" t="s">
        <v>1997</v>
      </c>
      <c r="G3491" s="1">
        <v>382.11599999999999</v>
      </c>
      <c r="H3491" s="1">
        <v>6</v>
      </c>
      <c r="I3491" s="1">
        <v>-92.799599999999998</v>
      </c>
    </row>
    <row r="3492" spans="1:9" x14ac:dyDescent="0.35">
      <c r="A3492" s="3">
        <v>42042</v>
      </c>
      <c r="B3492" s="1" t="s">
        <v>2096</v>
      </c>
      <c r="C3492" s="1" t="s">
        <v>2572</v>
      </c>
      <c r="D3492" s="1" t="s">
        <v>106</v>
      </c>
      <c r="E3492" s="1" t="s">
        <v>26</v>
      </c>
      <c r="F3492" s="2" t="s">
        <v>825</v>
      </c>
      <c r="G3492" s="1">
        <v>68.599999999999994</v>
      </c>
      <c r="H3492" s="1">
        <v>5</v>
      </c>
      <c r="I3492" s="1">
        <v>6.0025000000000004</v>
      </c>
    </row>
    <row r="3493" spans="1:9" x14ac:dyDescent="0.35">
      <c r="A3493" s="3">
        <v>42042</v>
      </c>
      <c r="B3493" s="1" t="s">
        <v>2096</v>
      </c>
      <c r="C3493" s="1" t="s">
        <v>2572</v>
      </c>
      <c r="D3493" s="1" t="s">
        <v>106</v>
      </c>
      <c r="E3493" s="1" t="s">
        <v>26</v>
      </c>
      <c r="F3493" s="2" t="s">
        <v>489</v>
      </c>
      <c r="G3493" s="1">
        <v>435.50400000000002</v>
      </c>
      <c r="H3493" s="1">
        <v>3</v>
      </c>
      <c r="I3493" s="1">
        <v>48.994199999999999</v>
      </c>
    </row>
    <row r="3494" spans="1:9" x14ac:dyDescent="0.35">
      <c r="A3494" s="3">
        <v>42042</v>
      </c>
      <c r="B3494" s="1" t="s">
        <v>2096</v>
      </c>
      <c r="C3494" s="1" t="s">
        <v>2572</v>
      </c>
      <c r="D3494" s="1" t="s">
        <v>106</v>
      </c>
      <c r="E3494" s="1" t="s">
        <v>44</v>
      </c>
      <c r="F3494" s="2" t="s">
        <v>346</v>
      </c>
      <c r="G3494" s="1">
        <v>11.167999999999999</v>
      </c>
      <c r="H3494" s="1">
        <v>2</v>
      </c>
      <c r="I3494" s="1">
        <v>3.7692000000000001</v>
      </c>
    </row>
    <row r="3495" spans="1:9" x14ac:dyDescent="0.35">
      <c r="A3495" s="3" t="s">
        <v>3404</v>
      </c>
      <c r="B3495" s="1" t="s">
        <v>841</v>
      </c>
      <c r="C3495" s="1" t="s">
        <v>2573</v>
      </c>
      <c r="D3495" s="1" t="s">
        <v>115</v>
      </c>
      <c r="E3495" s="1" t="s">
        <v>81</v>
      </c>
      <c r="F3495" s="2" t="s">
        <v>2574</v>
      </c>
      <c r="G3495" s="1">
        <v>72</v>
      </c>
      <c r="H3495" s="1">
        <v>4</v>
      </c>
      <c r="I3495" s="1">
        <v>12.96</v>
      </c>
    </row>
    <row r="3496" spans="1:9" x14ac:dyDescent="0.35">
      <c r="A3496" s="3" t="s">
        <v>3404</v>
      </c>
      <c r="B3496" s="1" t="s">
        <v>841</v>
      </c>
      <c r="C3496" s="1" t="s">
        <v>2573</v>
      </c>
      <c r="D3496" s="1" t="s">
        <v>115</v>
      </c>
      <c r="E3496" s="1" t="s">
        <v>81</v>
      </c>
      <c r="F3496" s="2" t="s">
        <v>2575</v>
      </c>
      <c r="G3496" s="1">
        <v>655.9</v>
      </c>
      <c r="H3496" s="1">
        <v>5</v>
      </c>
      <c r="I3496" s="1">
        <v>275.47800000000001</v>
      </c>
    </row>
    <row r="3497" spans="1:9" x14ac:dyDescent="0.35">
      <c r="A3497" s="3" t="s">
        <v>3404</v>
      </c>
      <c r="B3497" s="1" t="s">
        <v>841</v>
      </c>
      <c r="C3497" s="1" t="s">
        <v>2573</v>
      </c>
      <c r="D3497" s="1" t="s">
        <v>115</v>
      </c>
      <c r="E3497" s="1" t="s">
        <v>14</v>
      </c>
      <c r="F3497" s="2" t="s">
        <v>1161</v>
      </c>
      <c r="G3497" s="1">
        <v>603.91999999999996</v>
      </c>
      <c r="H3497" s="1">
        <v>4</v>
      </c>
      <c r="I3497" s="1">
        <v>181.17599999999999</v>
      </c>
    </row>
    <row r="3498" spans="1:9" x14ac:dyDescent="0.35">
      <c r="A3498" s="3">
        <v>42590</v>
      </c>
      <c r="B3498" s="1" t="s">
        <v>1465</v>
      </c>
      <c r="C3498" s="1" t="s">
        <v>17</v>
      </c>
      <c r="D3498" s="1" t="s">
        <v>18</v>
      </c>
      <c r="E3498" s="1" t="s">
        <v>24</v>
      </c>
      <c r="F3498" s="2" t="s">
        <v>1444</v>
      </c>
      <c r="G3498" s="1">
        <v>513.024</v>
      </c>
      <c r="H3498" s="1">
        <v>2</v>
      </c>
      <c r="I3498" s="1">
        <v>12.8256</v>
      </c>
    </row>
    <row r="3499" spans="1:9" x14ac:dyDescent="0.35">
      <c r="A3499" s="3">
        <v>42590</v>
      </c>
      <c r="B3499" s="1" t="s">
        <v>1465</v>
      </c>
      <c r="C3499" s="1" t="s">
        <v>17</v>
      </c>
      <c r="D3499" s="1" t="s">
        <v>18</v>
      </c>
      <c r="E3499" s="1" t="s">
        <v>37</v>
      </c>
      <c r="F3499" s="2" t="s">
        <v>1251</v>
      </c>
      <c r="G3499" s="1">
        <v>487.92</v>
      </c>
      <c r="H3499" s="1">
        <v>6</v>
      </c>
      <c r="I3499" s="1">
        <v>136.61760000000001</v>
      </c>
    </row>
    <row r="3500" spans="1:9" x14ac:dyDescent="0.35">
      <c r="A3500" s="3">
        <v>42590</v>
      </c>
      <c r="B3500" s="1" t="s">
        <v>1465</v>
      </c>
      <c r="C3500" s="1" t="s">
        <v>17</v>
      </c>
      <c r="D3500" s="1" t="s">
        <v>18</v>
      </c>
      <c r="E3500" s="1" t="s">
        <v>35</v>
      </c>
      <c r="F3500" s="2" t="s">
        <v>596</v>
      </c>
      <c r="G3500" s="1">
        <v>15.24</v>
      </c>
      <c r="H3500" s="1">
        <v>5</v>
      </c>
      <c r="I3500" s="1">
        <v>5.3339999999999996</v>
      </c>
    </row>
    <row r="3501" spans="1:9" x14ac:dyDescent="0.35">
      <c r="A3501" s="3" t="s">
        <v>3405</v>
      </c>
      <c r="B3501" s="1" t="s">
        <v>1120</v>
      </c>
      <c r="C3501" s="1" t="s">
        <v>1669</v>
      </c>
      <c r="D3501" s="1" t="s">
        <v>182</v>
      </c>
      <c r="E3501" s="1" t="s">
        <v>81</v>
      </c>
      <c r="F3501" s="2" t="s">
        <v>2508</v>
      </c>
      <c r="G3501" s="1">
        <v>209.97</v>
      </c>
      <c r="H3501" s="1">
        <v>3</v>
      </c>
      <c r="I3501" s="1">
        <v>71.389799999999994</v>
      </c>
    </row>
    <row r="3502" spans="1:9" x14ac:dyDescent="0.35">
      <c r="A3502" s="3" t="s">
        <v>3405</v>
      </c>
      <c r="B3502" s="1" t="s">
        <v>1120</v>
      </c>
      <c r="C3502" s="1" t="s">
        <v>1669</v>
      </c>
      <c r="D3502" s="1" t="s">
        <v>182</v>
      </c>
      <c r="E3502" s="1" t="s">
        <v>35</v>
      </c>
      <c r="F3502" s="2" t="s">
        <v>962</v>
      </c>
      <c r="G3502" s="1">
        <v>62.94</v>
      </c>
      <c r="H3502" s="1">
        <v>3</v>
      </c>
      <c r="I3502" s="1">
        <v>30.211200000000002</v>
      </c>
    </row>
    <row r="3503" spans="1:9" x14ac:dyDescent="0.35">
      <c r="A3503" s="3" t="s">
        <v>3405</v>
      </c>
      <c r="B3503" s="1" t="s">
        <v>1120</v>
      </c>
      <c r="C3503" s="1" t="s">
        <v>1669</v>
      </c>
      <c r="D3503" s="1" t="s">
        <v>182</v>
      </c>
      <c r="E3503" s="1" t="s">
        <v>31</v>
      </c>
      <c r="F3503" s="2" t="s">
        <v>286</v>
      </c>
      <c r="G3503" s="1">
        <v>25.92</v>
      </c>
      <c r="H3503" s="1">
        <v>9</v>
      </c>
      <c r="I3503" s="1">
        <v>7.7759999999999998</v>
      </c>
    </row>
    <row r="3504" spans="1:9" x14ac:dyDescent="0.35">
      <c r="A3504" s="3">
        <v>43012</v>
      </c>
      <c r="B3504" s="1" t="s">
        <v>2576</v>
      </c>
      <c r="C3504" s="1" t="s">
        <v>588</v>
      </c>
      <c r="D3504" s="1" t="s">
        <v>52</v>
      </c>
      <c r="E3504" s="1" t="s">
        <v>44</v>
      </c>
      <c r="F3504" s="2" t="s">
        <v>912</v>
      </c>
      <c r="G3504" s="1">
        <v>10.368</v>
      </c>
      <c r="H3504" s="1">
        <v>2</v>
      </c>
      <c r="I3504" s="1">
        <v>3.6288</v>
      </c>
    </row>
    <row r="3505" spans="1:9" x14ac:dyDescent="0.35">
      <c r="A3505" s="3">
        <v>43012</v>
      </c>
      <c r="B3505" s="1" t="s">
        <v>2576</v>
      </c>
      <c r="C3505" s="1" t="s">
        <v>588</v>
      </c>
      <c r="D3505" s="1" t="s">
        <v>52</v>
      </c>
      <c r="E3505" s="1" t="s">
        <v>81</v>
      </c>
      <c r="F3505" s="2" t="s">
        <v>1195</v>
      </c>
      <c r="G3505" s="1">
        <v>95.736000000000004</v>
      </c>
      <c r="H3505" s="1">
        <v>3</v>
      </c>
      <c r="I3505" s="1">
        <v>20.343900000000001</v>
      </c>
    </row>
    <row r="3506" spans="1:9" x14ac:dyDescent="0.35">
      <c r="A3506" s="3" t="s">
        <v>3406</v>
      </c>
      <c r="B3506" s="1" t="s">
        <v>1625</v>
      </c>
      <c r="C3506" s="1" t="s">
        <v>135</v>
      </c>
      <c r="D3506" s="1" t="s">
        <v>136</v>
      </c>
      <c r="E3506" s="1" t="s">
        <v>26</v>
      </c>
      <c r="F3506" s="2" t="s">
        <v>1519</v>
      </c>
      <c r="G3506" s="1">
        <v>900.08</v>
      </c>
      <c r="H3506" s="1">
        <v>4</v>
      </c>
      <c r="I3506" s="1">
        <v>117.0104</v>
      </c>
    </row>
    <row r="3507" spans="1:9" x14ac:dyDescent="0.35">
      <c r="A3507" s="3" t="s">
        <v>3407</v>
      </c>
      <c r="B3507" s="1" t="s">
        <v>2577</v>
      </c>
      <c r="C3507" s="1" t="s">
        <v>1830</v>
      </c>
      <c r="D3507" s="1" t="s">
        <v>52</v>
      </c>
      <c r="E3507" s="1" t="s">
        <v>33</v>
      </c>
      <c r="F3507" s="2" t="s">
        <v>2268</v>
      </c>
      <c r="G3507" s="1">
        <v>201.584</v>
      </c>
      <c r="H3507" s="1">
        <v>2</v>
      </c>
      <c r="I3507" s="1">
        <v>20.1584</v>
      </c>
    </row>
    <row r="3508" spans="1:9" x14ac:dyDescent="0.35">
      <c r="A3508" s="3" t="s">
        <v>3407</v>
      </c>
      <c r="B3508" s="1" t="s">
        <v>2577</v>
      </c>
      <c r="C3508" s="1" t="s">
        <v>1830</v>
      </c>
      <c r="D3508" s="1" t="s">
        <v>52</v>
      </c>
      <c r="E3508" s="1" t="s">
        <v>35</v>
      </c>
      <c r="F3508" s="2" t="s">
        <v>54</v>
      </c>
      <c r="G3508" s="1">
        <v>3.3919999999999999</v>
      </c>
      <c r="H3508" s="1">
        <v>4</v>
      </c>
      <c r="I3508" s="1">
        <v>-5.0880000000000001</v>
      </c>
    </row>
    <row r="3509" spans="1:9" x14ac:dyDescent="0.35">
      <c r="A3509" s="3" t="s">
        <v>3407</v>
      </c>
      <c r="B3509" s="1" t="s">
        <v>2577</v>
      </c>
      <c r="C3509" s="1" t="s">
        <v>1830</v>
      </c>
      <c r="D3509" s="1" t="s">
        <v>52</v>
      </c>
      <c r="E3509" s="1" t="s">
        <v>12</v>
      </c>
      <c r="F3509" s="2" t="s">
        <v>2578</v>
      </c>
      <c r="G3509" s="1">
        <v>193.06559999999999</v>
      </c>
      <c r="H3509" s="1">
        <v>4</v>
      </c>
      <c r="I3509" s="1">
        <v>-19.874400000000001</v>
      </c>
    </row>
    <row r="3510" spans="1:9" x14ac:dyDescent="0.35">
      <c r="A3510" s="3" t="s">
        <v>3407</v>
      </c>
      <c r="B3510" s="1" t="s">
        <v>2577</v>
      </c>
      <c r="C3510" s="1" t="s">
        <v>1830</v>
      </c>
      <c r="D3510" s="1" t="s">
        <v>52</v>
      </c>
      <c r="E3510" s="1" t="s">
        <v>44</v>
      </c>
      <c r="F3510" s="2" t="s">
        <v>1335</v>
      </c>
      <c r="G3510" s="1">
        <v>15.552</v>
      </c>
      <c r="H3510" s="1">
        <v>3</v>
      </c>
      <c r="I3510" s="1">
        <v>5.4432</v>
      </c>
    </row>
    <row r="3511" spans="1:9" x14ac:dyDescent="0.35">
      <c r="A3511" s="3" t="s">
        <v>3407</v>
      </c>
      <c r="B3511" s="1" t="s">
        <v>2577</v>
      </c>
      <c r="C3511" s="1" t="s">
        <v>1830</v>
      </c>
      <c r="D3511" s="1" t="s">
        <v>52</v>
      </c>
      <c r="E3511" s="1" t="s">
        <v>44</v>
      </c>
      <c r="F3511" s="2" t="s">
        <v>145</v>
      </c>
      <c r="G3511" s="1">
        <v>11.648</v>
      </c>
      <c r="H3511" s="1">
        <v>2</v>
      </c>
      <c r="I3511" s="1">
        <v>4.0768000000000004</v>
      </c>
    </row>
    <row r="3512" spans="1:9" x14ac:dyDescent="0.35">
      <c r="A3512" s="3" t="s">
        <v>3407</v>
      </c>
      <c r="B3512" s="1" t="s">
        <v>2577</v>
      </c>
      <c r="C3512" s="1" t="s">
        <v>1830</v>
      </c>
      <c r="D3512" s="1" t="s">
        <v>52</v>
      </c>
      <c r="E3512" s="1" t="s">
        <v>338</v>
      </c>
      <c r="F3512" s="2" t="s">
        <v>2480</v>
      </c>
      <c r="G3512" s="1">
        <v>418.8</v>
      </c>
      <c r="H3512" s="1">
        <v>2</v>
      </c>
      <c r="I3512" s="1">
        <v>-97.72</v>
      </c>
    </row>
    <row r="3513" spans="1:9" x14ac:dyDescent="0.35">
      <c r="A3513" s="3" t="s">
        <v>3407</v>
      </c>
      <c r="B3513" s="1" t="s">
        <v>2577</v>
      </c>
      <c r="C3513" s="1" t="s">
        <v>1830</v>
      </c>
      <c r="D3513" s="1" t="s">
        <v>52</v>
      </c>
      <c r="E3513" s="1" t="s">
        <v>26</v>
      </c>
      <c r="F3513" s="2" t="s">
        <v>174</v>
      </c>
      <c r="G3513" s="1">
        <v>509.488</v>
      </c>
      <c r="H3513" s="1">
        <v>7</v>
      </c>
      <c r="I3513" s="1">
        <v>-127.372</v>
      </c>
    </row>
    <row r="3514" spans="1:9" x14ac:dyDescent="0.35">
      <c r="A3514" s="3">
        <v>42834</v>
      </c>
      <c r="B3514" s="1" t="s">
        <v>1129</v>
      </c>
      <c r="C3514" s="1" t="s">
        <v>154</v>
      </c>
      <c r="D3514" s="1" t="s">
        <v>106</v>
      </c>
      <c r="E3514" s="1" t="s">
        <v>12</v>
      </c>
      <c r="F3514" s="2" t="s">
        <v>2579</v>
      </c>
      <c r="G3514" s="1">
        <v>825.17399999999998</v>
      </c>
      <c r="H3514" s="1">
        <v>9</v>
      </c>
      <c r="I3514" s="1">
        <v>-117.88200000000001</v>
      </c>
    </row>
    <row r="3515" spans="1:9" x14ac:dyDescent="0.35">
      <c r="A3515" s="3">
        <v>42834</v>
      </c>
      <c r="B3515" s="1" t="s">
        <v>1129</v>
      </c>
      <c r="C3515" s="1" t="s">
        <v>154</v>
      </c>
      <c r="D3515" s="1" t="s">
        <v>106</v>
      </c>
      <c r="E3515" s="1" t="s">
        <v>44</v>
      </c>
      <c r="F3515" s="2" t="s">
        <v>1608</v>
      </c>
      <c r="G3515" s="1">
        <v>17.760000000000002</v>
      </c>
      <c r="H3515" s="1">
        <v>3</v>
      </c>
      <c r="I3515" s="1">
        <v>5.55</v>
      </c>
    </row>
    <row r="3516" spans="1:9" x14ac:dyDescent="0.35">
      <c r="A3516" s="3">
        <v>42834</v>
      </c>
      <c r="B3516" s="1" t="s">
        <v>1129</v>
      </c>
      <c r="C3516" s="1" t="s">
        <v>154</v>
      </c>
      <c r="D3516" s="1" t="s">
        <v>106</v>
      </c>
      <c r="E3516" s="1" t="s">
        <v>31</v>
      </c>
      <c r="F3516" s="2" t="s">
        <v>286</v>
      </c>
      <c r="G3516" s="1">
        <v>6.9119999999999999</v>
      </c>
      <c r="H3516" s="1">
        <v>3</v>
      </c>
      <c r="I3516" s="1">
        <v>0.86399999999999999</v>
      </c>
    </row>
    <row r="3517" spans="1:9" x14ac:dyDescent="0.35">
      <c r="A3517" s="3" t="s">
        <v>3408</v>
      </c>
      <c r="B3517" s="1" t="s">
        <v>2014</v>
      </c>
      <c r="C3517" s="1" t="s">
        <v>167</v>
      </c>
      <c r="D3517" s="1" t="s">
        <v>704</v>
      </c>
      <c r="E3517" s="1" t="s">
        <v>81</v>
      </c>
      <c r="F3517" s="2" t="s">
        <v>371</v>
      </c>
      <c r="G3517" s="1">
        <v>66.3</v>
      </c>
      <c r="H3517" s="1">
        <v>3</v>
      </c>
      <c r="I3517" s="1">
        <v>8.6189999999999998</v>
      </c>
    </row>
    <row r="3518" spans="1:9" x14ac:dyDescent="0.35">
      <c r="A3518" s="3">
        <v>42621</v>
      </c>
      <c r="B3518" s="1" t="s">
        <v>300</v>
      </c>
      <c r="C3518" s="1" t="s">
        <v>796</v>
      </c>
      <c r="D3518" s="1" t="s">
        <v>43</v>
      </c>
      <c r="E3518" s="1" t="s">
        <v>44</v>
      </c>
      <c r="F3518" s="2" t="s">
        <v>1698</v>
      </c>
      <c r="G3518" s="1">
        <v>30.815999999999999</v>
      </c>
      <c r="H3518" s="1">
        <v>9</v>
      </c>
      <c r="I3518" s="1">
        <v>9.6300000000000008</v>
      </c>
    </row>
    <row r="3519" spans="1:9" x14ac:dyDescent="0.35">
      <c r="A3519" s="3">
        <v>42621</v>
      </c>
      <c r="B3519" s="1" t="s">
        <v>300</v>
      </c>
      <c r="C3519" s="1" t="s">
        <v>796</v>
      </c>
      <c r="D3519" s="1" t="s">
        <v>43</v>
      </c>
      <c r="E3519" s="1" t="s">
        <v>33</v>
      </c>
      <c r="F3519" s="2" t="s">
        <v>2464</v>
      </c>
      <c r="G3519" s="1">
        <v>44.783999999999999</v>
      </c>
      <c r="H3519" s="1">
        <v>2</v>
      </c>
      <c r="I3519" s="1">
        <v>4.4783999999999997</v>
      </c>
    </row>
    <row r="3520" spans="1:9" x14ac:dyDescent="0.35">
      <c r="A3520" s="3">
        <v>42621</v>
      </c>
      <c r="B3520" s="1" t="s">
        <v>300</v>
      </c>
      <c r="C3520" s="1" t="s">
        <v>796</v>
      </c>
      <c r="D3520" s="1" t="s">
        <v>43</v>
      </c>
      <c r="E3520" s="1" t="s">
        <v>37</v>
      </c>
      <c r="F3520" s="2" t="s">
        <v>343</v>
      </c>
      <c r="G3520" s="1">
        <v>569.53599999999994</v>
      </c>
      <c r="H3520" s="1">
        <v>4</v>
      </c>
      <c r="I3520" s="1">
        <v>64.072800000000001</v>
      </c>
    </row>
    <row r="3521" spans="1:9" x14ac:dyDescent="0.35">
      <c r="A3521" s="3" t="s">
        <v>3409</v>
      </c>
      <c r="B3521" s="1" t="s">
        <v>2440</v>
      </c>
      <c r="C3521" s="1" t="s">
        <v>228</v>
      </c>
      <c r="D3521" s="1" t="s">
        <v>106</v>
      </c>
      <c r="E3521" s="1" t="s">
        <v>24</v>
      </c>
      <c r="F3521" s="2" t="s">
        <v>2214</v>
      </c>
      <c r="G3521" s="1">
        <v>796.42499999999995</v>
      </c>
      <c r="H3521" s="1">
        <v>7</v>
      </c>
      <c r="I3521" s="1">
        <v>-525.64049999999997</v>
      </c>
    </row>
    <row r="3522" spans="1:9" x14ac:dyDescent="0.35">
      <c r="A3522" s="3">
        <v>42281</v>
      </c>
      <c r="B3522" s="1" t="s">
        <v>2450</v>
      </c>
      <c r="C3522" s="1" t="s">
        <v>2185</v>
      </c>
      <c r="D3522" s="1" t="s">
        <v>18</v>
      </c>
      <c r="E3522" s="1" t="s">
        <v>35</v>
      </c>
      <c r="F3522" s="2" t="s">
        <v>720</v>
      </c>
      <c r="G3522" s="1">
        <v>12.832000000000001</v>
      </c>
      <c r="H3522" s="1">
        <v>2</v>
      </c>
      <c r="I3522" s="1">
        <v>4.3308</v>
      </c>
    </row>
    <row r="3523" spans="1:9" x14ac:dyDescent="0.35">
      <c r="A3523" s="3" t="s">
        <v>3323</v>
      </c>
      <c r="B3523" s="1" t="s">
        <v>2392</v>
      </c>
      <c r="C3523" s="1" t="s">
        <v>651</v>
      </c>
      <c r="D3523" s="1" t="s">
        <v>245</v>
      </c>
      <c r="E3523" s="1" t="s">
        <v>44</v>
      </c>
      <c r="F3523" s="2" t="s">
        <v>694</v>
      </c>
      <c r="G3523" s="1">
        <v>40.46</v>
      </c>
      <c r="H3523" s="1">
        <v>7</v>
      </c>
      <c r="I3523" s="1">
        <v>19.825399999999998</v>
      </c>
    </row>
    <row r="3524" spans="1:9" x14ac:dyDescent="0.35">
      <c r="A3524" s="3" t="s">
        <v>3323</v>
      </c>
      <c r="B3524" s="1" t="s">
        <v>2392</v>
      </c>
      <c r="C3524" s="1" t="s">
        <v>651</v>
      </c>
      <c r="D3524" s="1" t="s">
        <v>245</v>
      </c>
      <c r="E3524" s="1" t="s">
        <v>33</v>
      </c>
      <c r="F3524" s="2" t="s">
        <v>468</v>
      </c>
      <c r="G3524" s="1">
        <v>404.94</v>
      </c>
      <c r="H3524" s="1">
        <v>3</v>
      </c>
      <c r="I3524" s="1">
        <v>109.3338</v>
      </c>
    </row>
    <row r="3525" spans="1:9" x14ac:dyDescent="0.35">
      <c r="A3525" s="3">
        <v>42499</v>
      </c>
      <c r="B3525" s="1" t="s">
        <v>1787</v>
      </c>
      <c r="C3525" s="1" t="s">
        <v>461</v>
      </c>
      <c r="D3525" s="1" t="s">
        <v>18</v>
      </c>
      <c r="E3525" s="1" t="s">
        <v>81</v>
      </c>
      <c r="F3525" s="2" t="s">
        <v>365</v>
      </c>
      <c r="G3525" s="1">
        <v>116</v>
      </c>
      <c r="H3525" s="1">
        <v>8</v>
      </c>
      <c r="I3525" s="1">
        <v>29</v>
      </c>
    </row>
    <row r="3526" spans="1:9" x14ac:dyDescent="0.35">
      <c r="A3526" s="3" t="s">
        <v>3410</v>
      </c>
      <c r="B3526" s="1" t="s">
        <v>2361</v>
      </c>
      <c r="C3526" s="1" t="s">
        <v>399</v>
      </c>
      <c r="D3526" s="1" t="s">
        <v>52</v>
      </c>
      <c r="E3526" s="1" t="s">
        <v>33</v>
      </c>
      <c r="F3526" s="2" t="s">
        <v>2580</v>
      </c>
      <c r="G3526" s="1">
        <v>657.55200000000002</v>
      </c>
      <c r="H3526" s="1">
        <v>6</v>
      </c>
      <c r="I3526" s="1">
        <v>49.316400000000002</v>
      </c>
    </row>
    <row r="3527" spans="1:9" x14ac:dyDescent="0.35">
      <c r="A3527" s="3">
        <v>43020</v>
      </c>
      <c r="B3527" s="1" t="s">
        <v>2581</v>
      </c>
      <c r="C3527" s="1" t="s">
        <v>167</v>
      </c>
      <c r="D3527" s="1" t="s">
        <v>704</v>
      </c>
      <c r="E3527" s="1" t="s">
        <v>81</v>
      </c>
      <c r="F3527" s="2" t="s">
        <v>1145</v>
      </c>
      <c r="G3527" s="1">
        <v>599.97</v>
      </c>
      <c r="H3527" s="1">
        <v>3</v>
      </c>
      <c r="I3527" s="1">
        <v>257.9871</v>
      </c>
    </row>
    <row r="3528" spans="1:9" x14ac:dyDescent="0.35">
      <c r="A3528" s="3">
        <v>43020</v>
      </c>
      <c r="B3528" s="1" t="s">
        <v>2581</v>
      </c>
      <c r="C3528" s="1" t="s">
        <v>167</v>
      </c>
      <c r="D3528" s="1" t="s">
        <v>704</v>
      </c>
      <c r="E3528" s="1" t="s">
        <v>33</v>
      </c>
      <c r="F3528" s="2" t="s">
        <v>1337</v>
      </c>
      <c r="G3528" s="1">
        <v>38.97</v>
      </c>
      <c r="H3528" s="1">
        <v>3</v>
      </c>
      <c r="I3528" s="1">
        <v>0.77939999999999998</v>
      </c>
    </row>
    <row r="3529" spans="1:9" x14ac:dyDescent="0.35">
      <c r="A3529" s="3">
        <v>43020</v>
      </c>
      <c r="B3529" s="1" t="s">
        <v>2581</v>
      </c>
      <c r="C3529" s="1" t="s">
        <v>167</v>
      </c>
      <c r="D3529" s="1" t="s">
        <v>704</v>
      </c>
      <c r="E3529" s="1" t="s">
        <v>35</v>
      </c>
      <c r="F3529" s="2" t="s">
        <v>2582</v>
      </c>
      <c r="G3529" s="1">
        <v>45.84</v>
      </c>
      <c r="H3529" s="1">
        <v>8</v>
      </c>
      <c r="I3529" s="1">
        <v>22.0032</v>
      </c>
    </row>
    <row r="3530" spans="1:9" x14ac:dyDescent="0.35">
      <c r="A3530" s="3" t="s">
        <v>3411</v>
      </c>
      <c r="B3530" s="1" t="s">
        <v>866</v>
      </c>
      <c r="C3530" s="1" t="s">
        <v>461</v>
      </c>
      <c r="D3530" s="1" t="s">
        <v>18</v>
      </c>
      <c r="E3530" s="1" t="s">
        <v>33</v>
      </c>
      <c r="F3530" s="2" t="s">
        <v>2281</v>
      </c>
      <c r="G3530" s="1">
        <v>38.24</v>
      </c>
      <c r="H3530" s="1">
        <v>4</v>
      </c>
      <c r="I3530" s="1">
        <v>-9.56</v>
      </c>
    </row>
    <row r="3531" spans="1:9" x14ac:dyDescent="0.35">
      <c r="A3531" s="3" t="s">
        <v>3150</v>
      </c>
      <c r="B3531" s="1" t="s">
        <v>2119</v>
      </c>
      <c r="C3531" s="1" t="s">
        <v>2398</v>
      </c>
      <c r="D3531" s="1" t="s">
        <v>23</v>
      </c>
      <c r="E3531" s="1" t="s">
        <v>81</v>
      </c>
      <c r="F3531" s="2" t="s">
        <v>862</v>
      </c>
      <c r="G3531" s="1">
        <v>87.168000000000006</v>
      </c>
      <c r="H3531" s="1">
        <v>3</v>
      </c>
      <c r="I3531" s="1">
        <v>10.896000000000001</v>
      </c>
    </row>
    <row r="3532" spans="1:9" x14ac:dyDescent="0.35">
      <c r="A3532" s="3" t="s">
        <v>3412</v>
      </c>
      <c r="B3532" s="1" t="s">
        <v>1883</v>
      </c>
      <c r="C3532" s="1" t="s">
        <v>1799</v>
      </c>
      <c r="D3532" s="1" t="s">
        <v>129</v>
      </c>
      <c r="E3532" s="1" t="s">
        <v>31</v>
      </c>
      <c r="F3532" s="2" t="s">
        <v>65</v>
      </c>
      <c r="G3532" s="1">
        <v>21.4</v>
      </c>
      <c r="H3532" s="1">
        <v>5</v>
      </c>
      <c r="I3532" s="1">
        <v>6.2060000000000004</v>
      </c>
    </row>
    <row r="3533" spans="1:9" x14ac:dyDescent="0.35">
      <c r="A3533" s="3" t="s">
        <v>3346</v>
      </c>
      <c r="B3533" s="1" t="s">
        <v>1970</v>
      </c>
      <c r="C3533" s="1" t="s">
        <v>135</v>
      </c>
      <c r="D3533" s="1" t="s">
        <v>136</v>
      </c>
      <c r="E3533" s="1" t="s">
        <v>289</v>
      </c>
      <c r="F3533" s="2" t="s">
        <v>290</v>
      </c>
      <c r="G3533" s="1">
        <v>54.9</v>
      </c>
      <c r="H3533" s="1">
        <v>5</v>
      </c>
      <c r="I3533" s="1">
        <v>15.372</v>
      </c>
    </row>
    <row r="3534" spans="1:9" x14ac:dyDescent="0.35">
      <c r="A3534" s="3" t="s">
        <v>3413</v>
      </c>
      <c r="B3534" s="1" t="s">
        <v>968</v>
      </c>
      <c r="C3534" s="1" t="s">
        <v>17</v>
      </c>
      <c r="D3534" s="1" t="s">
        <v>18</v>
      </c>
      <c r="E3534" s="1" t="s">
        <v>338</v>
      </c>
      <c r="F3534" s="2" t="s">
        <v>2583</v>
      </c>
      <c r="G3534" s="1">
        <v>287.96800000000002</v>
      </c>
      <c r="H3534" s="1">
        <v>4</v>
      </c>
      <c r="I3534" s="1">
        <v>97.1892</v>
      </c>
    </row>
    <row r="3535" spans="1:9" x14ac:dyDescent="0.35">
      <c r="A3535" s="3" t="s">
        <v>3413</v>
      </c>
      <c r="B3535" s="1" t="s">
        <v>968</v>
      </c>
      <c r="C3535" s="1" t="s">
        <v>17</v>
      </c>
      <c r="D3535" s="1" t="s">
        <v>18</v>
      </c>
      <c r="E3535" s="1" t="s">
        <v>31</v>
      </c>
      <c r="F3535" s="2" t="s">
        <v>1420</v>
      </c>
      <c r="G3535" s="1">
        <v>13.12</v>
      </c>
      <c r="H3535" s="1">
        <v>4</v>
      </c>
      <c r="I3535" s="1">
        <v>3.8048000000000002</v>
      </c>
    </row>
    <row r="3536" spans="1:9" x14ac:dyDescent="0.35">
      <c r="A3536" s="3" t="s">
        <v>3413</v>
      </c>
      <c r="B3536" s="1" t="s">
        <v>968</v>
      </c>
      <c r="C3536" s="1" t="s">
        <v>17</v>
      </c>
      <c r="D3536" s="1" t="s">
        <v>18</v>
      </c>
      <c r="E3536" s="1" t="s">
        <v>31</v>
      </c>
      <c r="F3536" s="2" t="s">
        <v>2564</v>
      </c>
      <c r="G3536" s="1">
        <v>10.75</v>
      </c>
      <c r="H3536" s="1">
        <v>5</v>
      </c>
      <c r="I3536" s="1">
        <v>3.5474999999999999</v>
      </c>
    </row>
    <row r="3537" spans="1:9" x14ac:dyDescent="0.35">
      <c r="A3537" s="3" t="s">
        <v>3413</v>
      </c>
      <c r="B3537" s="1" t="s">
        <v>968</v>
      </c>
      <c r="C3537" s="1" t="s">
        <v>17</v>
      </c>
      <c r="D3537" s="1" t="s">
        <v>18</v>
      </c>
      <c r="E3537" s="1" t="s">
        <v>137</v>
      </c>
      <c r="F3537" s="2" t="s">
        <v>409</v>
      </c>
      <c r="G3537" s="1">
        <v>11.62</v>
      </c>
      <c r="H3537" s="1">
        <v>2</v>
      </c>
      <c r="I3537" s="1">
        <v>3.6021999999999998</v>
      </c>
    </row>
    <row r="3538" spans="1:9" x14ac:dyDescent="0.35">
      <c r="A3538" s="3" t="s">
        <v>3158</v>
      </c>
      <c r="B3538" s="1" t="s">
        <v>954</v>
      </c>
      <c r="C3538" s="1" t="s">
        <v>135</v>
      </c>
      <c r="D3538" s="1" t="s">
        <v>136</v>
      </c>
      <c r="E3538" s="1" t="s">
        <v>26</v>
      </c>
      <c r="F3538" s="2" t="s">
        <v>1736</v>
      </c>
      <c r="G3538" s="1">
        <v>40.74</v>
      </c>
      <c r="H3538" s="1">
        <v>3</v>
      </c>
      <c r="I3538" s="1">
        <v>0.40739999999999998</v>
      </c>
    </row>
    <row r="3539" spans="1:9" x14ac:dyDescent="0.35">
      <c r="A3539" s="3">
        <v>41887</v>
      </c>
      <c r="B3539" s="1" t="s">
        <v>474</v>
      </c>
      <c r="C3539" s="1" t="s">
        <v>10</v>
      </c>
      <c r="D3539" s="1" t="s">
        <v>11</v>
      </c>
      <c r="E3539" s="1" t="s">
        <v>26</v>
      </c>
      <c r="F3539" s="2" t="s">
        <v>62</v>
      </c>
      <c r="G3539" s="1">
        <v>83.25</v>
      </c>
      <c r="H3539" s="1">
        <v>3</v>
      </c>
      <c r="I3539" s="1">
        <v>14.984999999999999</v>
      </c>
    </row>
    <row r="3540" spans="1:9" x14ac:dyDescent="0.35">
      <c r="A3540" s="3">
        <v>41887</v>
      </c>
      <c r="B3540" s="1" t="s">
        <v>474</v>
      </c>
      <c r="C3540" s="1" t="s">
        <v>10</v>
      </c>
      <c r="D3540" s="1" t="s">
        <v>11</v>
      </c>
      <c r="E3540" s="1" t="s">
        <v>19</v>
      </c>
      <c r="F3540" s="2" t="s">
        <v>1754</v>
      </c>
      <c r="G3540" s="1">
        <v>9.4499999999999993</v>
      </c>
      <c r="H3540" s="1">
        <v>3</v>
      </c>
      <c r="I3540" s="1">
        <v>4.5359999999999996</v>
      </c>
    </row>
    <row r="3541" spans="1:9" x14ac:dyDescent="0.35">
      <c r="A3541" s="3">
        <v>41887</v>
      </c>
      <c r="B3541" s="1" t="s">
        <v>474</v>
      </c>
      <c r="C3541" s="1" t="s">
        <v>10</v>
      </c>
      <c r="D3541" s="1" t="s">
        <v>11</v>
      </c>
      <c r="E3541" s="1" t="s">
        <v>19</v>
      </c>
      <c r="F3541" s="2" t="s">
        <v>1691</v>
      </c>
      <c r="G3541" s="1">
        <v>20.65</v>
      </c>
      <c r="H3541" s="1">
        <v>5</v>
      </c>
      <c r="I3541" s="1">
        <v>9.4990000000000006</v>
      </c>
    </row>
    <row r="3542" spans="1:9" x14ac:dyDescent="0.35">
      <c r="A3542" s="3">
        <v>41887</v>
      </c>
      <c r="B3542" s="1" t="s">
        <v>474</v>
      </c>
      <c r="C3542" s="1" t="s">
        <v>10</v>
      </c>
      <c r="D3542" s="1" t="s">
        <v>11</v>
      </c>
      <c r="E3542" s="1" t="s">
        <v>44</v>
      </c>
      <c r="F3542" s="2" t="s">
        <v>1806</v>
      </c>
      <c r="G3542" s="1">
        <v>45.36</v>
      </c>
      <c r="H3542" s="1">
        <v>7</v>
      </c>
      <c r="I3542" s="1">
        <v>21.7728</v>
      </c>
    </row>
    <row r="3543" spans="1:9" x14ac:dyDescent="0.35">
      <c r="A3543" s="3" t="s">
        <v>3161</v>
      </c>
      <c r="B3543" s="1" t="s">
        <v>1046</v>
      </c>
      <c r="C3543" s="1" t="s">
        <v>249</v>
      </c>
      <c r="D3543" s="1" t="s">
        <v>250</v>
      </c>
      <c r="E3543" s="1" t="s">
        <v>29</v>
      </c>
      <c r="F3543" s="2" t="s">
        <v>2231</v>
      </c>
      <c r="G3543" s="1">
        <v>5.3520000000000003</v>
      </c>
      <c r="H3543" s="1">
        <v>3</v>
      </c>
      <c r="I3543" s="1">
        <v>1.6055999999999999</v>
      </c>
    </row>
    <row r="3544" spans="1:9" x14ac:dyDescent="0.35">
      <c r="A3544" s="3" t="s">
        <v>3161</v>
      </c>
      <c r="B3544" s="1" t="s">
        <v>1046</v>
      </c>
      <c r="C3544" s="1" t="s">
        <v>249</v>
      </c>
      <c r="D3544" s="1" t="s">
        <v>250</v>
      </c>
      <c r="E3544" s="1" t="s">
        <v>14</v>
      </c>
      <c r="F3544" s="2" t="s">
        <v>856</v>
      </c>
      <c r="G3544" s="1">
        <v>99.372</v>
      </c>
      <c r="H3544" s="1">
        <v>2</v>
      </c>
      <c r="I3544" s="1">
        <v>-7.0979999999999999</v>
      </c>
    </row>
    <row r="3545" spans="1:9" x14ac:dyDescent="0.35">
      <c r="A3545" s="3" t="s">
        <v>3161</v>
      </c>
      <c r="B3545" s="1" t="s">
        <v>1046</v>
      </c>
      <c r="C3545" s="1" t="s">
        <v>249</v>
      </c>
      <c r="D3545" s="1" t="s">
        <v>250</v>
      </c>
      <c r="E3545" s="1" t="s">
        <v>31</v>
      </c>
      <c r="F3545" s="2" t="s">
        <v>2005</v>
      </c>
      <c r="G3545" s="1">
        <v>2.6720000000000002</v>
      </c>
      <c r="H3545" s="1">
        <v>1</v>
      </c>
      <c r="I3545" s="1">
        <v>0.3674</v>
      </c>
    </row>
    <row r="3546" spans="1:9" x14ac:dyDescent="0.35">
      <c r="A3546" s="3" t="s">
        <v>3414</v>
      </c>
      <c r="B3546" s="1" t="s">
        <v>1661</v>
      </c>
      <c r="C3546" s="1" t="s">
        <v>2080</v>
      </c>
      <c r="D3546" s="1" t="s">
        <v>52</v>
      </c>
      <c r="E3546" s="1" t="s">
        <v>44</v>
      </c>
      <c r="F3546" s="2" t="s">
        <v>1776</v>
      </c>
      <c r="G3546" s="1">
        <v>28.672000000000001</v>
      </c>
      <c r="H3546" s="1">
        <v>8</v>
      </c>
      <c r="I3546" s="1">
        <v>10.393599999999999</v>
      </c>
    </row>
    <row r="3547" spans="1:9" x14ac:dyDescent="0.35">
      <c r="A3547" s="3" t="s">
        <v>3414</v>
      </c>
      <c r="B3547" s="1" t="s">
        <v>1661</v>
      </c>
      <c r="C3547" s="1" t="s">
        <v>2080</v>
      </c>
      <c r="D3547" s="1" t="s">
        <v>52</v>
      </c>
      <c r="E3547" s="1" t="s">
        <v>37</v>
      </c>
      <c r="F3547" s="2" t="s">
        <v>2584</v>
      </c>
      <c r="G3547" s="1">
        <v>29.312000000000001</v>
      </c>
      <c r="H3547" s="1">
        <v>8</v>
      </c>
      <c r="I3547" s="1">
        <v>-74.745599999999996</v>
      </c>
    </row>
    <row r="3548" spans="1:9" x14ac:dyDescent="0.35">
      <c r="A3548" s="3" t="s">
        <v>3394</v>
      </c>
      <c r="B3548" s="1" t="s">
        <v>1049</v>
      </c>
      <c r="C3548" s="1" t="s">
        <v>693</v>
      </c>
      <c r="D3548" s="1" t="s">
        <v>11</v>
      </c>
      <c r="E3548" s="1" t="s">
        <v>26</v>
      </c>
      <c r="F3548" s="2" t="s">
        <v>838</v>
      </c>
      <c r="G3548" s="1">
        <v>105.98</v>
      </c>
      <c r="H3548" s="1">
        <v>7</v>
      </c>
      <c r="I3548" s="1">
        <v>4.2392000000000003</v>
      </c>
    </row>
    <row r="3549" spans="1:9" x14ac:dyDescent="0.35">
      <c r="A3549" s="3" t="s">
        <v>3394</v>
      </c>
      <c r="B3549" s="1" t="s">
        <v>1049</v>
      </c>
      <c r="C3549" s="1" t="s">
        <v>693</v>
      </c>
      <c r="D3549" s="1" t="s">
        <v>11</v>
      </c>
      <c r="E3549" s="1" t="s">
        <v>289</v>
      </c>
      <c r="F3549" s="2" t="s">
        <v>666</v>
      </c>
      <c r="G3549" s="1">
        <v>35.06</v>
      </c>
      <c r="H3549" s="1">
        <v>2</v>
      </c>
      <c r="I3549" s="1">
        <v>10.518000000000001</v>
      </c>
    </row>
    <row r="3550" spans="1:9" x14ac:dyDescent="0.35">
      <c r="A3550" s="3" t="s">
        <v>3394</v>
      </c>
      <c r="B3550" s="1" t="s">
        <v>1049</v>
      </c>
      <c r="C3550" s="1" t="s">
        <v>693</v>
      </c>
      <c r="D3550" s="1" t="s">
        <v>11</v>
      </c>
      <c r="E3550" s="1" t="s">
        <v>14</v>
      </c>
      <c r="F3550" s="2" t="s">
        <v>2109</v>
      </c>
      <c r="G3550" s="1">
        <v>33.94</v>
      </c>
      <c r="H3550" s="1">
        <v>1</v>
      </c>
      <c r="I3550" s="1">
        <v>9.1638000000000002</v>
      </c>
    </row>
    <row r="3551" spans="1:9" x14ac:dyDescent="0.35">
      <c r="A3551" s="3" t="s">
        <v>3394</v>
      </c>
      <c r="B3551" s="1" t="s">
        <v>1049</v>
      </c>
      <c r="C3551" s="1" t="s">
        <v>693</v>
      </c>
      <c r="D3551" s="1" t="s">
        <v>11</v>
      </c>
      <c r="E3551" s="1" t="s">
        <v>19</v>
      </c>
      <c r="F3551" s="2" t="s">
        <v>2585</v>
      </c>
      <c r="G3551" s="1">
        <v>30</v>
      </c>
      <c r="H3551" s="1">
        <v>8</v>
      </c>
      <c r="I3551" s="1">
        <v>14.4</v>
      </c>
    </row>
    <row r="3552" spans="1:9" x14ac:dyDescent="0.35">
      <c r="A3552" s="3" t="s">
        <v>3415</v>
      </c>
      <c r="B3552" s="1" t="s">
        <v>1671</v>
      </c>
      <c r="C3552" s="1" t="s">
        <v>154</v>
      </c>
      <c r="D3552" s="1" t="s">
        <v>106</v>
      </c>
      <c r="E3552" s="1" t="s">
        <v>44</v>
      </c>
      <c r="F3552" s="2" t="s">
        <v>2041</v>
      </c>
      <c r="G3552" s="1">
        <v>45.527999999999999</v>
      </c>
      <c r="H3552" s="1">
        <v>3</v>
      </c>
      <c r="I3552" s="1">
        <v>15.934799999999999</v>
      </c>
    </row>
    <row r="3553" spans="1:9" x14ac:dyDescent="0.35">
      <c r="A3553" s="3" t="s">
        <v>3415</v>
      </c>
      <c r="B3553" s="1" t="s">
        <v>1671</v>
      </c>
      <c r="C3553" s="1" t="s">
        <v>154</v>
      </c>
      <c r="D3553" s="1" t="s">
        <v>106</v>
      </c>
      <c r="E3553" s="1" t="s">
        <v>14</v>
      </c>
      <c r="F3553" s="2" t="s">
        <v>459</v>
      </c>
      <c r="G3553" s="1">
        <v>844.11599999999999</v>
      </c>
      <c r="H3553" s="1">
        <v>6</v>
      </c>
      <c r="I3553" s="1">
        <v>-36.176400000000001</v>
      </c>
    </row>
    <row r="3554" spans="1:9" x14ac:dyDescent="0.35">
      <c r="A3554" s="3" t="s">
        <v>3415</v>
      </c>
      <c r="B3554" s="1" t="s">
        <v>1671</v>
      </c>
      <c r="C3554" s="1" t="s">
        <v>154</v>
      </c>
      <c r="D3554" s="1" t="s">
        <v>106</v>
      </c>
      <c r="E3554" s="1" t="s">
        <v>33</v>
      </c>
      <c r="F3554" s="2" t="s">
        <v>312</v>
      </c>
      <c r="G3554" s="1">
        <v>812.73599999999999</v>
      </c>
      <c r="H3554" s="1">
        <v>8</v>
      </c>
      <c r="I3554" s="1">
        <v>60.955199999999998</v>
      </c>
    </row>
    <row r="3555" spans="1:9" x14ac:dyDescent="0.35">
      <c r="A3555" s="3" t="s">
        <v>3172</v>
      </c>
      <c r="B3555" s="1" t="s">
        <v>1426</v>
      </c>
      <c r="C3555" s="1" t="s">
        <v>74</v>
      </c>
      <c r="D3555" s="1" t="s">
        <v>75</v>
      </c>
      <c r="E3555" s="1" t="s">
        <v>35</v>
      </c>
      <c r="F3555" s="2" t="s">
        <v>806</v>
      </c>
      <c r="G3555" s="1">
        <v>7.476</v>
      </c>
      <c r="H3555" s="1">
        <v>1</v>
      </c>
      <c r="I3555" s="1">
        <v>-5.9808000000000003</v>
      </c>
    </row>
    <row r="3556" spans="1:9" x14ac:dyDescent="0.35">
      <c r="A3556" s="3" t="s">
        <v>3416</v>
      </c>
      <c r="B3556" s="1" t="s">
        <v>118</v>
      </c>
      <c r="C3556" s="1" t="s">
        <v>17</v>
      </c>
      <c r="D3556" s="1" t="s">
        <v>18</v>
      </c>
      <c r="E3556" s="1" t="s">
        <v>26</v>
      </c>
      <c r="F3556" s="2" t="s">
        <v>970</v>
      </c>
      <c r="G3556" s="1">
        <v>330.4</v>
      </c>
      <c r="H3556" s="1">
        <v>2</v>
      </c>
      <c r="I3556" s="1">
        <v>85.903999999999996</v>
      </c>
    </row>
    <row r="3557" spans="1:9" x14ac:dyDescent="0.35">
      <c r="A3557" s="3" t="s">
        <v>3416</v>
      </c>
      <c r="B3557" s="1" t="s">
        <v>118</v>
      </c>
      <c r="C3557" s="1" t="s">
        <v>17</v>
      </c>
      <c r="D3557" s="1" t="s">
        <v>18</v>
      </c>
      <c r="E3557" s="1" t="s">
        <v>33</v>
      </c>
      <c r="F3557" s="2" t="s">
        <v>2586</v>
      </c>
      <c r="G3557" s="1">
        <v>604.75199999999995</v>
      </c>
      <c r="H3557" s="1">
        <v>6</v>
      </c>
      <c r="I3557" s="1">
        <v>37.796999999999997</v>
      </c>
    </row>
    <row r="3558" spans="1:9" x14ac:dyDescent="0.35">
      <c r="A3558" s="3">
        <v>42747</v>
      </c>
      <c r="B3558" s="1" t="s">
        <v>589</v>
      </c>
      <c r="C3558" s="1" t="s">
        <v>17</v>
      </c>
      <c r="D3558" s="1" t="s">
        <v>18</v>
      </c>
      <c r="E3558" s="1" t="s">
        <v>44</v>
      </c>
      <c r="F3558" s="2" t="s">
        <v>1412</v>
      </c>
      <c r="G3558" s="1">
        <v>45.36</v>
      </c>
      <c r="H3558" s="1">
        <v>7</v>
      </c>
      <c r="I3558" s="1">
        <v>21.7728</v>
      </c>
    </row>
    <row r="3559" spans="1:9" x14ac:dyDescent="0.35">
      <c r="A3559" s="3">
        <v>42747</v>
      </c>
      <c r="B3559" s="1" t="s">
        <v>589</v>
      </c>
      <c r="C3559" s="1" t="s">
        <v>17</v>
      </c>
      <c r="D3559" s="1" t="s">
        <v>18</v>
      </c>
      <c r="E3559" s="1" t="s">
        <v>35</v>
      </c>
      <c r="F3559" s="2" t="s">
        <v>1452</v>
      </c>
      <c r="G3559" s="1">
        <v>10.128</v>
      </c>
      <c r="H3559" s="1">
        <v>2</v>
      </c>
      <c r="I3559" s="1">
        <v>3.6714000000000002</v>
      </c>
    </row>
    <row r="3560" spans="1:9" x14ac:dyDescent="0.35">
      <c r="A3560" s="3">
        <v>42927</v>
      </c>
      <c r="B3560" s="1" t="s">
        <v>2534</v>
      </c>
      <c r="C3560" s="1" t="s">
        <v>64</v>
      </c>
      <c r="D3560" s="1" t="s">
        <v>18</v>
      </c>
      <c r="E3560" s="1" t="s">
        <v>35</v>
      </c>
      <c r="F3560" s="2" t="s">
        <v>2127</v>
      </c>
      <c r="G3560" s="1">
        <v>21.792000000000002</v>
      </c>
      <c r="H3560" s="1">
        <v>4</v>
      </c>
      <c r="I3560" s="1">
        <v>7.6272000000000002</v>
      </c>
    </row>
    <row r="3561" spans="1:9" x14ac:dyDescent="0.35">
      <c r="A3561" s="3">
        <v>42927</v>
      </c>
      <c r="B3561" s="1" t="s">
        <v>2534</v>
      </c>
      <c r="C3561" s="1" t="s">
        <v>64</v>
      </c>
      <c r="D3561" s="1" t="s">
        <v>18</v>
      </c>
      <c r="E3561" s="1" t="s">
        <v>81</v>
      </c>
      <c r="F3561" s="2" t="s">
        <v>1659</v>
      </c>
      <c r="G3561" s="1">
        <v>439.8</v>
      </c>
      <c r="H3561" s="1">
        <v>4</v>
      </c>
      <c r="I3561" s="1">
        <v>145.13399999999999</v>
      </c>
    </row>
    <row r="3562" spans="1:9" x14ac:dyDescent="0.35">
      <c r="A3562" s="3">
        <v>42834</v>
      </c>
      <c r="B3562" s="1" t="s">
        <v>795</v>
      </c>
      <c r="C3562" s="1" t="s">
        <v>392</v>
      </c>
      <c r="D3562" s="1" t="s">
        <v>250</v>
      </c>
      <c r="E3562" s="1" t="s">
        <v>31</v>
      </c>
      <c r="F3562" s="2" t="s">
        <v>1186</v>
      </c>
      <c r="G3562" s="1">
        <v>8.2560000000000002</v>
      </c>
      <c r="H3562" s="1">
        <v>4</v>
      </c>
      <c r="I3562" s="1">
        <v>0.61919999999999997</v>
      </c>
    </row>
    <row r="3563" spans="1:9" x14ac:dyDescent="0.35">
      <c r="A3563" s="3">
        <v>42834</v>
      </c>
      <c r="B3563" s="1" t="s">
        <v>795</v>
      </c>
      <c r="C3563" s="1" t="s">
        <v>392</v>
      </c>
      <c r="D3563" s="1" t="s">
        <v>250</v>
      </c>
      <c r="E3563" s="1" t="s">
        <v>35</v>
      </c>
      <c r="F3563" s="2" t="s">
        <v>1401</v>
      </c>
      <c r="G3563" s="1">
        <v>25.56</v>
      </c>
      <c r="H3563" s="1">
        <v>5</v>
      </c>
      <c r="I3563" s="1">
        <v>-20.448</v>
      </c>
    </row>
    <row r="3564" spans="1:9" x14ac:dyDescent="0.35">
      <c r="A3564" s="3">
        <v>42834</v>
      </c>
      <c r="B3564" s="1" t="s">
        <v>795</v>
      </c>
      <c r="C3564" s="1" t="s">
        <v>392</v>
      </c>
      <c r="D3564" s="1" t="s">
        <v>250</v>
      </c>
      <c r="E3564" s="1" t="s">
        <v>35</v>
      </c>
      <c r="F3564" s="2" t="s">
        <v>80</v>
      </c>
      <c r="G3564" s="1">
        <v>4.3680000000000003</v>
      </c>
      <c r="H3564" s="1">
        <v>2</v>
      </c>
      <c r="I3564" s="1">
        <v>-3.0575999999999999</v>
      </c>
    </row>
    <row r="3565" spans="1:9" x14ac:dyDescent="0.35">
      <c r="A3565" s="3">
        <v>42834</v>
      </c>
      <c r="B3565" s="1" t="s">
        <v>795</v>
      </c>
      <c r="C3565" s="1" t="s">
        <v>392</v>
      </c>
      <c r="D3565" s="1" t="s">
        <v>250</v>
      </c>
      <c r="E3565" s="1" t="s">
        <v>44</v>
      </c>
      <c r="F3565" s="2" t="s">
        <v>2587</v>
      </c>
      <c r="G3565" s="1">
        <v>11.52</v>
      </c>
      <c r="H3565" s="1">
        <v>4</v>
      </c>
      <c r="I3565" s="1">
        <v>3.7440000000000002</v>
      </c>
    </row>
    <row r="3566" spans="1:9" x14ac:dyDescent="0.35">
      <c r="A3566" s="3">
        <v>42436</v>
      </c>
      <c r="B3566" s="1" t="s">
        <v>616</v>
      </c>
      <c r="C3566" s="1" t="s">
        <v>17</v>
      </c>
      <c r="D3566" s="1" t="s">
        <v>18</v>
      </c>
      <c r="E3566" s="1" t="s">
        <v>44</v>
      </c>
      <c r="F3566" s="2" t="s">
        <v>2588</v>
      </c>
      <c r="G3566" s="1">
        <v>12.96</v>
      </c>
      <c r="H3566" s="1">
        <v>2</v>
      </c>
      <c r="I3566" s="1">
        <v>6.2207999999999997</v>
      </c>
    </row>
    <row r="3567" spans="1:9" x14ac:dyDescent="0.35">
      <c r="A3567" s="3">
        <v>42436</v>
      </c>
      <c r="B3567" s="1" t="s">
        <v>616</v>
      </c>
      <c r="C3567" s="1" t="s">
        <v>17</v>
      </c>
      <c r="D3567" s="1" t="s">
        <v>18</v>
      </c>
      <c r="E3567" s="1" t="s">
        <v>137</v>
      </c>
      <c r="F3567" s="2" t="s">
        <v>1811</v>
      </c>
      <c r="G3567" s="1">
        <v>3.96</v>
      </c>
      <c r="H3567" s="1">
        <v>2</v>
      </c>
      <c r="I3567" s="1">
        <v>7.9200000000000007E-2</v>
      </c>
    </row>
    <row r="3568" spans="1:9" x14ac:dyDescent="0.35">
      <c r="A3568" s="3">
        <v>42925</v>
      </c>
      <c r="B3568" s="1" t="s">
        <v>1347</v>
      </c>
      <c r="C3568" s="1" t="s">
        <v>297</v>
      </c>
      <c r="D3568" s="1" t="s">
        <v>298</v>
      </c>
      <c r="E3568" s="1" t="s">
        <v>35</v>
      </c>
      <c r="F3568" s="2" t="s">
        <v>259</v>
      </c>
      <c r="G3568" s="1">
        <v>1577.94</v>
      </c>
      <c r="H3568" s="1">
        <v>3</v>
      </c>
      <c r="I3568" s="1">
        <v>757.41120000000001</v>
      </c>
    </row>
    <row r="3569" spans="1:9" x14ac:dyDescent="0.35">
      <c r="A3569" s="3">
        <v>42622</v>
      </c>
      <c r="B3569" s="1" t="s">
        <v>2255</v>
      </c>
      <c r="C3569" s="1" t="s">
        <v>399</v>
      </c>
      <c r="D3569" s="1" t="s">
        <v>52</v>
      </c>
      <c r="E3569" s="1" t="s">
        <v>29</v>
      </c>
      <c r="F3569" s="2" t="s">
        <v>2393</v>
      </c>
      <c r="G3569" s="1">
        <v>15.007999999999999</v>
      </c>
      <c r="H3569" s="1">
        <v>4</v>
      </c>
      <c r="I3569" s="1">
        <v>-12.006399999999999</v>
      </c>
    </row>
    <row r="3570" spans="1:9" x14ac:dyDescent="0.35">
      <c r="A3570" s="3">
        <v>42801</v>
      </c>
      <c r="B3570" s="1" t="s">
        <v>356</v>
      </c>
      <c r="C3570" s="1" t="s">
        <v>47</v>
      </c>
      <c r="D3570" s="1" t="s">
        <v>48</v>
      </c>
      <c r="E3570" s="1" t="s">
        <v>81</v>
      </c>
      <c r="F3570" s="2" t="s">
        <v>490</v>
      </c>
      <c r="G3570" s="1">
        <v>59.98</v>
      </c>
      <c r="H3570" s="1">
        <v>2</v>
      </c>
      <c r="I3570" s="1">
        <v>26.391200000000001</v>
      </c>
    </row>
    <row r="3571" spans="1:9" x14ac:dyDescent="0.35">
      <c r="A3571" s="3">
        <v>42801</v>
      </c>
      <c r="B3571" s="1" t="s">
        <v>356</v>
      </c>
      <c r="C3571" s="1" t="s">
        <v>47</v>
      </c>
      <c r="D3571" s="1" t="s">
        <v>48</v>
      </c>
      <c r="E3571" s="1" t="s">
        <v>338</v>
      </c>
      <c r="F3571" s="2" t="s">
        <v>2589</v>
      </c>
      <c r="G3571" s="1">
        <v>2395.1999999999998</v>
      </c>
      <c r="H3571" s="1">
        <v>6</v>
      </c>
      <c r="I3571" s="1">
        <v>209.58</v>
      </c>
    </row>
    <row r="3572" spans="1:9" x14ac:dyDescent="0.35">
      <c r="A3572" s="3">
        <v>42801</v>
      </c>
      <c r="B3572" s="1" t="s">
        <v>356</v>
      </c>
      <c r="C3572" s="1" t="s">
        <v>47</v>
      </c>
      <c r="D3572" s="1" t="s">
        <v>48</v>
      </c>
      <c r="E3572" s="1" t="s">
        <v>81</v>
      </c>
      <c r="F3572" s="2" t="s">
        <v>1797</v>
      </c>
      <c r="G3572" s="1">
        <v>1687.8</v>
      </c>
      <c r="H3572" s="1">
        <v>4</v>
      </c>
      <c r="I3572" s="1">
        <v>742.63199999999995</v>
      </c>
    </row>
    <row r="3573" spans="1:9" x14ac:dyDescent="0.35">
      <c r="A3573" s="3">
        <v>42801</v>
      </c>
      <c r="B3573" s="1" t="s">
        <v>356</v>
      </c>
      <c r="C3573" s="1" t="s">
        <v>47</v>
      </c>
      <c r="D3573" s="1" t="s">
        <v>48</v>
      </c>
      <c r="E3573" s="1" t="s">
        <v>33</v>
      </c>
      <c r="F3573" s="2" t="s">
        <v>587</v>
      </c>
      <c r="G3573" s="1">
        <v>7.992</v>
      </c>
      <c r="H3573" s="1">
        <v>1</v>
      </c>
      <c r="I3573" s="1">
        <v>2.6972999999999998</v>
      </c>
    </row>
    <row r="3574" spans="1:9" x14ac:dyDescent="0.35">
      <c r="A3574" s="3" t="s">
        <v>3230</v>
      </c>
      <c r="B3574" s="1" t="s">
        <v>2590</v>
      </c>
      <c r="C3574" s="1" t="s">
        <v>2055</v>
      </c>
      <c r="D3574" s="1" t="s">
        <v>52</v>
      </c>
      <c r="E3574" s="1" t="s">
        <v>44</v>
      </c>
      <c r="F3574" s="2" t="s">
        <v>1133</v>
      </c>
      <c r="G3574" s="1">
        <v>5.1840000000000002</v>
      </c>
      <c r="H3574" s="1">
        <v>1</v>
      </c>
      <c r="I3574" s="1">
        <v>1.8144</v>
      </c>
    </row>
    <row r="3575" spans="1:9" x14ac:dyDescent="0.35">
      <c r="A3575" s="3">
        <v>42924</v>
      </c>
      <c r="B3575" s="1" t="s">
        <v>1863</v>
      </c>
      <c r="C3575" s="1" t="s">
        <v>559</v>
      </c>
      <c r="D3575" s="1" t="s">
        <v>136</v>
      </c>
      <c r="E3575" s="1" t="s">
        <v>31</v>
      </c>
      <c r="F3575" s="2" t="s">
        <v>481</v>
      </c>
      <c r="G3575" s="1">
        <v>11.68</v>
      </c>
      <c r="H3575" s="1">
        <v>2</v>
      </c>
      <c r="I3575" s="1">
        <v>5.4896000000000003</v>
      </c>
    </row>
    <row r="3576" spans="1:9" x14ac:dyDescent="0.35">
      <c r="A3576" s="3">
        <v>42924</v>
      </c>
      <c r="B3576" s="1" t="s">
        <v>1863</v>
      </c>
      <c r="C3576" s="1" t="s">
        <v>559</v>
      </c>
      <c r="D3576" s="1" t="s">
        <v>136</v>
      </c>
      <c r="E3576" s="1" t="s">
        <v>31</v>
      </c>
      <c r="F3576" s="2" t="s">
        <v>1329</v>
      </c>
      <c r="G3576" s="1">
        <v>104.8</v>
      </c>
      <c r="H3576" s="1">
        <v>10</v>
      </c>
      <c r="I3576" s="1">
        <v>26.2</v>
      </c>
    </row>
    <row r="3577" spans="1:9" x14ac:dyDescent="0.35">
      <c r="A3577" s="3" t="s">
        <v>3417</v>
      </c>
      <c r="B3577" s="1" t="s">
        <v>1527</v>
      </c>
      <c r="C3577" s="1" t="s">
        <v>2591</v>
      </c>
      <c r="D3577" s="1" t="s">
        <v>23</v>
      </c>
      <c r="E3577" s="1" t="s">
        <v>44</v>
      </c>
      <c r="F3577" s="2" t="s">
        <v>1169</v>
      </c>
      <c r="G3577" s="1">
        <v>14.496</v>
      </c>
      <c r="H3577" s="1">
        <v>3</v>
      </c>
      <c r="I3577" s="1">
        <v>4.8924000000000003</v>
      </c>
    </row>
    <row r="3578" spans="1:9" x14ac:dyDescent="0.35">
      <c r="A3578" s="3">
        <v>42557</v>
      </c>
      <c r="B3578" s="1" t="s">
        <v>370</v>
      </c>
      <c r="C3578" s="1" t="s">
        <v>2371</v>
      </c>
      <c r="D3578" s="1" t="s">
        <v>18</v>
      </c>
      <c r="E3578" s="1" t="s">
        <v>35</v>
      </c>
      <c r="F3578" s="2" t="s">
        <v>1008</v>
      </c>
      <c r="G3578" s="1">
        <v>4.7839999999999998</v>
      </c>
      <c r="H3578" s="1">
        <v>1</v>
      </c>
      <c r="I3578" s="1">
        <v>1.5548</v>
      </c>
    </row>
    <row r="3579" spans="1:9" x14ac:dyDescent="0.35">
      <c r="A3579" s="3">
        <v>42557</v>
      </c>
      <c r="B3579" s="1" t="s">
        <v>370</v>
      </c>
      <c r="C3579" s="1" t="s">
        <v>2371</v>
      </c>
      <c r="D3579" s="1" t="s">
        <v>18</v>
      </c>
      <c r="E3579" s="1" t="s">
        <v>44</v>
      </c>
      <c r="F3579" s="2" t="s">
        <v>424</v>
      </c>
      <c r="G3579" s="1">
        <v>4.7300000000000004</v>
      </c>
      <c r="H3579" s="1">
        <v>1</v>
      </c>
      <c r="I3579" s="1">
        <v>2.3176999999999999</v>
      </c>
    </row>
    <row r="3580" spans="1:9" x14ac:dyDescent="0.35">
      <c r="A3580" s="3" t="s">
        <v>3317</v>
      </c>
      <c r="B3580" s="1" t="s">
        <v>1316</v>
      </c>
      <c r="C3580" s="1" t="s">
        <v>167</v>
      </c>
      <c r="D3580" s="1" t="s">
        <v>704</v>
      </c>
      <c r="E3580" s="1" t="s">
        <v>26</v>
      </c>
      <c r="F3580" s="2" t="s">
        <v>2592</v>
      </c>
      <c r="G3580" s="1">
        <v>7.89</v>
      </c>
      <c r="H3580" s="1">
        <v>1</v>
      </c>
      <c r="I3580" s="1">
        <v>0.31559999999999999</v>
      </c>
    </row>
    <row r="3581" spans="1:9" x14ac:dyDescent="0.35">
      <c r="A3581" s="3" t="s">
        <v>3317</v>
      </c>
      <c r="B3581" s="1" t="s">
        <v>1316</v>
      </c>
      <c r="C3581" s="1" t="s">
        <v>167</v>
      </c>
      <c r="D3581" s="1" t="s">
        <v>704</v>
      </c>
      <c r="E3581" s="1" t="s">
        <v>44</v>
      </c>
      <c r="F3581" s="2" t="s">
        <v>2324</v>
      </c>
      <c r="G3581" s="1">
        <v>65.5</v>
      </c>
      <c r="H3581" s="1">
        <v>5</v>
      </c>
      <c r="I3581" s="1">
        <v>32.094999999999999</v>
      </c>
    </row>
    <row r="3582" spans="1:9" x14ac:dyDescent="0.35">
      <c r="A3582" s="3" t="s">
        <v>3317</v>
      </c>
      <c r="B3582" s="1" t="s">
        <v>1316</v>
      </c>
      <c r="C3582" s="1" t="s">
        <v>167</v>
      </c>
      <c r="D3582" s="1" t="s">
        <v>704</v>
      </c>
      <c r="E3582" s="1" t="s">
        <v>24</v>
      </c>
      <c r="F3582" s="2" t="s">
        <v>629</v>
      </c>
      <c r="G3582" s="1">
        <v>2430.08</v>
      </c>
      <c r="H3582" s="1">
        <v>8</v>
      </c>
      <c r="I3582" s="1">
        <v>388.81279999999998</v>
      </c>
    </row>
    <row r="3583" spans="1:9" x14ac:dyDescent="0.35">
      <c r="A3583" s="3">
        <v>42745</v>
      </c>
      <c r="B3583" s="1" t="s">
        <v>255</v>
      </c>
      <c r="C3583" s="1" t="s">
        <v>69</v>
      </c>
      <c r="D3583" s="1" t="s">
        <v>70</v>
      </c>
      <c r="E3583" s="1" t="s">
        <v>44</v>
      </c>
      <c r="F3583" s="2" t="s">
        <v>1541</v>
      </c>
      <c r="G3583" s="1">
        <v>104.85</v>
      </c>
      <c r="H3583" s="1">
        <v>1</v>
      </c>
      <c r="I3583" s="1">
        <v>50.328000000000003</v>
      </c>
    </row>
    <row r="3584" spans="1:9" x14ac:dyDescent="0.35">
      <c r="A3584" s="3">
        <v>42289</v>
      </c>
      <c r="B3584" s="1" t="s">
        <v>1681</v>
      </c>
      <c r="C3584" s="1" t="s">
        <v>167</v>
      </c>
      <c r="D3584" s="1" t="s">
        <v>120</v>
      </c>
      <c r="E3584" s="1" t="s">
        <v>31</v>
      </c>
      <c r="F3584" s="2" t="s">
        <v>2593</v>
      </c>
      <c r="G3584" s="1">
        <v>3.9</v>
      </c>
      <c r="H3584" s="1">
        <v>2</v>
      </c>
      <c r="I3584" s="1">
        <v>1.5209999999999999</v>
      </c>
    </row>
    <row r="3585" spans="1:9" x14ac:dyDescent="0.35">
      <c r="A3585" s="3">
        <v>42289</v>
      </c>
      <c r="B3585" s="1" t="s">
        <v>1681</v>
      </c>
      <c r="C3585" s="1" t="s">
        <v>167</v>
      </c>
      <c r="D3585" s="1" t="s">
        <v>120</v>
      </c>
      <c r="E3585" s="1" t="s">
        <v>24</v>
      </c>
      <c r="F3585" s="2" t="s">
        <v>2287</v>
      </c>
      <c r="G3585" s="1">
        <v>801.96</v>
      </c>
      <c r="H3585" s="1">
        <v>2</v>
      </c>
      <c r="I3585" s="1">
        <v>200.49</v>
      </c>
    </row>
    <row r="3586" spans="1:9" x14ac:dyDescent="0.35">
      <c r="A3586" s="3">
        <v>42289</v>
      </c>
      <c r="B3586" s="1" t="s">
        <v>1681</v>
      </c>
      <c r="C3586" s="1" t="s">
        <v>167</v>
      </c>
      <c r="D3586" s="1" t="s">
        <v>120</v>
      </c>
      <c r="E3586" s="1" t="s">
        <v>14</v>
      </c>
      <c r="F3586" s="2" t="s">
        <v>1664</v>
      </c>
      <c r="G3586" s="1">
        <v>191.96</v>
      </c>
      <c r="H3586" s="1">
        <v>2</v>
      </c>
      <c r="I3586" s="1">
        <v>32.633200000000002</v>
      </c>
    </row>
    <row r="3587" spans="1:9" x14ac:dyDescent="0.35">
      <c r="A3587" s="3">
        <v>42289</v>
      </c>
      <c r="B3587" s="1" t="s">
        <v>1681</v>
      </c>
      <c r="C3587" s="1" t="s">
        <v>167</v>
      </c>
      <c r="D3587" s="1" t="s">
        <v>120</v>
      </c>
      <c r="E3587" s="1" t="s">
        <v>19</v>
      </c>
      <c r="F3587" s="2" t="s">
        <v>1231</v>
      </c>
      <c r="G3587" s="1">
        <v>2.61</v>
      </c>
      <c r="H3587" s="1">
        <v>1</v>
      </c>
      <c r="I3587" s="1">
        <v>1.2005999999999999</v>
      </c>
    </row>
    <row r="3588" spans="1:9" x14ac:dyDescent="0.35">
      <c r="A3588" s="3">
        <v>42803</v>
      </c>
      <c r="B3588" s="1" t="s">
        <v>2297</v>
      </c>
      <c r="C3588" s="1" t="s">
        <v>64</v>
      </c>
      <c r="D3588" s="1" t="s">
        <v>18</v>
      </c>
      <c r="E3588" s="1" t="s">
        <v>31</v>
      </c>
      <c r="F3588" s="2" t="s">
        <v>186</v>
      </c>
      <c r="G3588" s="1">
        <v>5.96</v>
      </c>
      <c r="H3588" s="1">
        <v>2</v>
      </c>
      <c r="I3588" s="1">
        <v>1.6688000000000001</v>
      </c>
    </row>
    <row r="3589" spans="1:9" x14ac:dyDescent="0.35">
      <c r="A3589" s="3" t="s">
        <v>3404</v>
      </c>
      <c r="B3589" s="1" t="s">
        <v>1516</v>
      </c>
      <c r="C3589" s="1" t="s">
        <v>1114</v>
      </c>
      <c r="D3589" s="1" t="s">
        <v>250</v>
      </c>
      <c r="E3589" s="1" t="s">
        <v>33</v>
      </c>
      <c r="F3589" s="2" t="s">
        <v>1915</v>
      </c>
      <c r="G3589" s="1">
        <v>1169.694</v>
      </c>
      <c r="H3589" s="1">
        <v>3</v>
      </c>
      <c r="I3589" s="1">
        <v>-253.43369999999999</v>
      </c>
    </row>
    <row r="3590" spans="1:9" x14ac:dyDescent="0.35">
      <c r="A3590" s="3" t="s">
        <v>3418</v>
      </c>
      <c r="B3590" s="1" t="s">
        <v>1955</v>
      </c>
      <c r="C3590" s="1" t="s">
        <v>1799</v>
      </c>
      <c r="D3590" s="1" t="s">
        <v>362</v>
      </c>
      <c r="E3590" s="1" t="s">
        <v>289</v>
      </c>
      <c r="F3590" s="2" t="s">
        <v>839</v>
      </c>
      <c r="G3590" s="1">
        <v>1665.62</v>
      </c>
      <c r="H3590" s="1">
        <v>2</v>
      </c>
      <c r="I3590" s="1">
        <v>33.312399999999997</v>
      </c>
    </row>
    <row r="3591" spans="1:9" x14ac:dyDescent="0.35">
      <c r="A3591" s="3" t="s">
        <v>3207</v>
      </c>
      <c r="B3591" s="1" t="s">
        <v>370</v>
      </c>
      <c r="C3591" s="1" t="s">
        <v>693</v>
      </c>
      <c r="D3591" s="1" t="s">
        <v>11</v>
      </c>
      <c r="E3591" s="1" t="s">
        <v>35</v>
      </c>
      <c r="F3591" s="2" t="s">
        <v>1083</v>
      </c>
      <c r="G3591" s="1">
        <v>2.88</v>
      </c>
      <c r="H3591" s="1">
        <v>1</v>
      </c>
      <c r="I3591" s="1">
        <v>1.4112</v>
      </c>
    </row>
    <row r="3592" spans="1:9" x14ac:dyDescent="0.35">
      <c r="A3592" s="3" t="s">
        <v>3207</v>
      </c>
      <c r="B3592" s="1" t="s">
        <v>370</v>
      </c>
      <c r="C3592" s="1" t="s">
        <v>693</v>
      </c>
      <c r="D3592" s="1" t="s">
        <v>11</v>
      </c>
      <c r="E3592" s="1" t="s">
        <v>26</v>
      </c>
      <c r="F3592" s="2" t="s">
        <v>1327</v>
      </c>
      <c r="G3592" s="1">
        <v>1443.96</v>
      </c>
      <c r="H3592" s="1">
        <v>12</v>
      </c>
      <c r="I3592" s="1">
        <v>375.42959999999999</v>
      </c>
    </row>
    <row r="3593" spans="1:9" x14ac:dyDescent="0.35">
      <c r="A3593" s="3" t="s">
        <v>3419</v>
      </c>
      <c r="B3593" s="1" t="s">
        <v>1014</v>
      </c>
      <c r="C3593" s="1" t="s">
        <v>93</v>
      </c>
      <c r="D3593" s="1" t="s">
        <v>52</v>
      </c>
      <c r="E3593" s="1" t="s">
        <v>289</v>
      </c>
      <c r="F3593" s="2" t="s">
        <v>898</v>
      </c>
      <c r="G3593" s="1">
        <v>2.92</v>
      </c>
      <c r="H3593" s="1">
        <v>1</v>
      </c>
      <c r="I3593" s="1">
        <v>0.36499999999999999</v>
      </c>
    </row>
    <row r="3594" spans="1:9" x14ac:dyDescent="0.35">
      <c r="A3594" s="3">
        <v>42502</v>
      </c>
      <c r="B3594" s="1" t="s">
        <v>1796</v>
      </c>
      <c r="C3594" s="1" t="s">
        <v>135</v>
      </c>
      <c r="D3594" s="1" t="s">
        <v>136</v>
      </c>
      <c r="E3594" s="1" t="s">
        <v>26</v>
      </c>
      <c r="F3594" s="2" t="s">
        <v>2408</v>
      </c>
      <c r="G3594" s="1">
        <v>465.18</v>
      </c>
      <c r="H3594" s="1">
        <v>3</v>
      </c>
      <c r="I3594" s="1">
        <v>120.9468</v>
      </c>
    </row>
    <row r="3595" spans="1:9" x14ac:dyDescent="0.35">
      <c r="A3595" s="3">
        <v>42683</v>
      </c>
      <c r="B3595" s="1" t="s">
        <v>512</v>
      </c>
      <c r="C3595" s="1" t="s">
        <v>1256</v>
      </c>
      <c r="D3595" s="1" t="s">
        <v>250</v>
      </c>
      <c r="E3595" s="1" t="s">
        <v>35</v>
      </c>
      <c r="F3595" s="2" t="s">
        <v>806</v>
      </c>
      <c r="G3595" s="1">
        <v>22.428000000000001</v>
      </c>
      <c r="H3595" s="1">
        <v>3</v>
      </c>
      <c r="I3595" s="1">
        <v>-17.942399999999999</v>
      </c>
    </row>
    <row r="3596" spans="1:9" x14ac:dyDescent="0.35">
      <c r="A3596" s="3">
        <v>42683</v>
      </c>
      <c r="B3596" s="1" t="s">
        <v>512</v>
      </c>
      <c r="C3596" s="1" t="s">
        <v>1256</v>
      </c>
      <c r="D3596" s="1" t="s">
        <v>250</v>
      </c>
      <c r="E3596" s="1" t="s">
        <v>26</v>
      </c>
      <c r="F3596" s="2" t="s">
        <v>1191</v>
      </c>
      <c r="G3596" s="1">
        <v>37.520000000000003</v>
      </c>
      <c r="H3596" s="1">
        <v>5</v>
      </c>
      <c r="I3596" s="1">
        <v>3.7519999999999998</v>
      </c>
    </row>
    <row r="3597" spans="1:9" x14ac:dyDescent="0.35">
      <c r="A3597" s="3">
        <v>42990</v>
      </c>
      <c r="B3597" s="1" t="s">
        <v>1324</v>
      </c>
      <c r="C3597" s="1" t="s">
        <v>74</v>
      </c>
      <c r="D3597" s="1" t="s">
        <v>75</v>
      </c>
      <c r="E3597" s="1" t="s">
        <v>31</v>
      </c>
      <c r="F3597" s="2" t="s">
        <v>647</v>
      </c>
      <c r="G3597" s="1">
        <v>2.6240000000000001</v>
      </c>
      <c r="H3597" s="1">
        <v>1</v>
      </c>
      <c r="I3597" s="1">
        <v>0.4264</v>
      </c>
    </row>
    <row r="3598" spans="1:9" x14ac:dyDescent="0.35">
      <c r="A3598" s="3">
        <v>41891</v>
      </c>
      <c r="B3598" s="1" t="s">
        <v>398</v>
      </c>
      <c r="C3598" s="1" t="s">
        <v>74</v>
      </c>
      <c r="D3598" s="1" t="s">
        <v>75</v>
      </c>
      <c r="E3598" s="1" t="s">
        <v>44</v>
      </c>
      <c r="F3598" s="2" t="s">
        <v>1274</v>
      </c>
      <c r="G3598" s="1">
        <v>15.552</v>
      </c>
      <c r="H3598" s="1">
        <v>3</v>
      </c>
      <c r="I3598" s="1">
        <v>5.4432</v>
      </c>
    </row>
    <row r="3599" spans="1:9" x14ac:dyDescent="0.35">
      <c r="A3599" s="3">
        <v>41891</v>
      </c>
      <c r="B3599" s="1" t="s">
        <v>398</v>
      </c>
      <c r="C3599" s="1" t="s">
        <v>74</v>
      </c>
      <c r="D3599" s="1" t="s">
        <v>75</v>
      </c>
      <c r="E3599" s="1" t="s">
        <v>81</v>
      </c>
      <c r="F3599" s="2" t="s">
        <v>2594</v>
      </c>
      <c r="G3599" s="1">
        <v>64.703999999999994</v>
      </c>
      <c r="H3599" s="1">
        <v>6</v>
      </c>
      <c r="I3599" s="1">
        <v>-4.8528000000000002</v>
      </c>
    </row>
    <row r="3600" spans="1:9" x14ac:dyDescent="0.35">
      <c r="A3600" s="3">
        <v>41891</v>
      </c>
      <c r="B3600" s="1" t="s">
        <v>398</v>
      </c>
      <c r="C3600" s="1" t="s">
        <v>74</v>
      </c>
      <c r="D3600" s="1" t="s">
        <v>75</v>
      </c>
      <c r="E3600" s="1" t="s">
        <v>29</v>
      </c>
      <c r="F3600" s="2" t="s">
        <v>1727</v>
      </c>
      <c r="G3600" s="1">
        <v>17.472000000000001</v>
      </c>
      <c r="H3600" s="1">
        <v>3</v>
      </c>
      <c r="I3600" s="1">
        <v>5.0232000000000001</v>
      </c>
    </row>
    <row r="3601" spans="1:9" x14ac:dyDescent="0.35">
      <c r="A3601" s="3">
        <v>41891</v>
      </c>
      <c r="B3601" s="1" t="s">
        <v>398</v>
      </c>
      <c r="C3601" s="1" t="s">
        <v>74</v>
      </c>
      <c r="D3601" s="1" t="s">
        <v>75</v>
      </c>
      <c r="E3601" s="1" t="s">
        <v>33</v>
      </c>
      <c r="F3601" s="2" t="s">
        <v>1589</v>
      </c>
      <c r="G3601" s="1">
        <v>135.51599999999999</v>
      </c>
      <c r="H3601" s="1">
        <v>1</v>
      </c>
      <c r="I3601" s="1">
        <v>-31.6204</v>
      </c>
    </row>
    <row r="3602" spans="1:9" x14ac:dyDescent="0.35">
      <c r="A3602" s="3" t="s">
        <v>3420</v>
      </c>
      <c r="B3602" s="1" t="s">
        <v>1509</v>
      </c>
      <c r="C3602" s="1" t="s">
        <v>395</v>
      </c>
      <c r="D3602" s="1" t="s">
        <v>229</v>
      </c>
      <c r="E3602" s="1" t="s">
        <v>81</v>
      </c>
      <c r="F3602" s="2" t="s">
        <v>1478</v>
      </c>
      <c r="G3602" s="1">
        <v>431.928</v>
      </c>
      <c r="H3602" s="1">
        <v>9</v>
      </c>
      <c r="I3602" s="1">
        <v>64.789199999999994</v>
      </c>
    </row>
    <row r="3603" spans="1:9" x14ac:dyDescent="0.35">
      <c r="A3603" s="3" t="s">
        <v>3330</v>
      </c>
      <c r="B3603" s="1" t="s">
        <v>2595</v>
      </c>
      <c r="C3603" s="1" t="s">
        <v>74</v>
      </c>
      <c r="D3603" s="1" t="s">
        <v>75</v>
      </c>
      <c r="E3603" s="1" t="s">
        <v>44</v>
      </c>
      <c r="F3603" s="2" t="s">
        <v>1002</v>
      </c>
      <c r="G3603" s="1">
        <v>12.448</v>
      </c>
      <c r="H3603" s="1">
        <v>2</v>
      </c>
      <c r="I3603" s="1">
        <v>3.89</v>
      </c>
    </row>
    <row r="3604" spans="1:9" x14ac:dyDescent="0.35">
      <c r="A3604" s="3" t="s">
        <v>3330</v>
      </c>
      <c r="B3604" s="1" t="s">
        <v>2595</v>
      </c>
      <c r="C3604" s="1" t="s">
        <v>74</v>
      </c>
      <c r="D3604" s="1" t="s">
        <v>75</v>
      </c>
      <c r="E3604" s="1" t="s">
        <v>14</v>
      </c>
      <c r="F3604" s="2" t="s">
        <v>891</v>
      </c>
      <c r="G3604" s="1">
        <v>657.93</v>
      </c>
      <c r="H3604" s="1">
        <v>5</v>
      </c>
      <c r="I3604" s="1">
        <v>-93.99</v>
      </c>
    </row>
    <row r="3605" spans="1:9" x14ac:dyDescent="0.35">
      <c r="A3605" s="3" t="s">
        <v>3374</v>
      </c>
      <c r="B3605" s="1" t="s">
        <v>1037</v>
      </c>
      <c r="C3605" s="1" t="s">
        <v>193</v>
      </c>
      <c r="D3605" s="1" t="s">
        <v>1217</v>
      </c>
      <c r="E3605" s="1" t="s">
        <v>44</v>
      </c>
      <c r="F3605" s="2" t="s">
        <v>2053</v>
      </c>
      <c r="G3605" s="1">
        <v>277.39999999999998</v>
      </c>
      <c r="H3605" s="1">
        <v>5</v>
      </c>
      <c r="I3605" s="1">
        <v>133.15199999999999</v>
      </c>
    </row>
    <row r="3606" spans="1:9" x14ac:dyDescent="0.35">
      <c r="A3606" s="3" t="s">
        <v>3374</v>
      </c>
      <c r="B3606" s="1" t="s">
        <v>1037</v>
      </c>
      <c r="C3606" s="1" t="s">
        <v>193</v>
      </c>
      <c r="D3606" s="1" t="s">
        <v>1217</v>
      </c>
      <c r="E3606" s="1" t="s">
        <v>29</v>
      </c>
      <c r="F3606" s="2" t="s">
        <v>1645</v>
      </c>
      <c r="G3606" s="1">
        <v>25.16</v>
      </c>
      <c r="H3606" s="1">
        <v>2</v>
      </c>
      <c r="I3606" s="1">
        <v>8.5543999999999993</v>
      </c>
    </row>
    <row r="3607" spans="1:9" x14ac:dyDescent="0.35">
      <c r="A3607" s="3" t="s">
        <v>3374</v>
      </c>
      <c r="B3607" s="1" t="s">
        <v>1037</v>
      </c>
      <c r="C3607" s="1" t="s">
        <v>193</v>
      </c>
      <c r="D3607" s="1" t="s">
        <v>1217</v>
      </c>
      <c r="E3607" s="1" t="s">
        <v>29</v>
      </c>
      <c r="F3607" s="2" t="s">
        <v>1565</v>
      </c>
      <c r="G3607" s="1">
        <v>91.92</v>
      </c>
      <c r="H3607" s="1">
        <v>4</v>
      </c>
      <c r="I3607" s="1">
        <v>31.252800000000001</v>
      </c>
    </row>
    <row r="3608" spans="1:9" x14ac:dyDescent="0.35">
      <c r="A3608" s="3">
        <v>42707</v>
      </c>
      <c r="B3608" s="1" t="s">
        <v>935</v>
      </c>
      <c r="C3608" s="1" t="s">
        <v>135</v>
      </c>
      <c r="D3608" s="1" t="s">
        <v>136</v>
      </c>
      <c r="E3608" s="1" t="s">
        <v>87</v>
      </c>
      <c r="F3608" s="2" t="s">
        <v>332</v>
      </c>
      <c r="G3608" s="1">
        <v>29.34</v>
      </c>
      <c r="H3608" s="1">
        <v>3</v>
      </c>
      <c r="I3608" s="1">
        <v>13.4964</v>
      </c>
    </row>
    <row r="3609" spans="1:9" x14ac:dyDescent="0.35">
      <c r="A3609" s="3" t="s">
        <v>3379</v>
      </c>
      <c r="B3609" s="1" t="s">
        <v>1656</v>
      </c>
      <c r="C3609" s="1" t="s">
        <v>135</v>
      </c>
      <c r="D3609" s="1" t="s">
        <v>136</v>
      </c>
      <c r="E3609" s="1" t="s">
        <v>35</v>
      </c>
      <c r="F3609" s="2" t="s">
        <v>1540</v>
      </c>
      <c r="G3609" s="1">
        <v>139.44</v>
      </c>
      <c r="H3609" s="1">
        <v>3</v>
      </c>
      <c r="I3609" s="1">
        <v>47.061</v>
      </c>
    </row>
    <row r="3610" spans="1:9" x14ac:dyDescent="0.35">
      <c r="A3610" s="3" t="s">
        <v>3421</v>
      </c>
      <c r="B3610" s="1" t="s">
        <v>1226</v>
      </c>
      <c r="C3610" s="1" t="s">
        <v>303</v>
      </c>
      <c r="D3610" s="1" t="s">
        <v>250</v>
      </c>
      <c r="E3610" s="1" t="s">
        <v>19</v>
      </c>
      <c r="F3610" s="2" t="s">
        <v>1287</v>
      </c>
      <c r="G3610" s="1">
        <v>6.9119999999999999</v>
      </c>
      <c r="H3610" s="1">
        <v>3</v>
      </c>
      <c r="I3610" s="1">
        <v>2.5055999999999998</v>
      </c>
    </row>
    <row r="3611" spans="1:9" x14ac:dyDescent="0.35">
      <c r="A3611" s="3" t="s">
        <v>3421</v>
      </c>
      <c r="B3611" s="1" t="s">
        <v>1226</v>
      </c>
      <c r="C3611" s="1" t="s">
        <v>303</v>
      </c>
      <c r="D3611" s="1" t="s">
        <v>250</v>
      </c>
      <c r="E3611" s="1" t="s">
        <v>26</v>
      </c>
      <c r="F3611" s="2" t="s">
        <v>1697</v>
      </c>
      <c r="G3611" s="1">
        <v>27.096</v>
      </c>
      <c r="H3611" s="1">
        <v>3</v>
      </c>
      <c r="I3611" s="1">
        <v>2.0322</v>
      </c>
    </row>
    <row r="3612" spans="1:9" x14ac:dyDescent="0.35">
      <c r="A3612" s="3" t="s">
        <v>3421</v>
      </c>
      <c r="B3612" s="1" t="s">
        <v>1226</v>
      </c>
      <c r="C3612" s="1" t="s">
        <v>303</v>
      </c>
      <c r="D3612" s="1" t="s">
        <v>250</v>
      </c>
      <c r="E3612" s="1" t="s">
        <v>26</v>
      </c>
      <c r="F3612" s="2" t="s">
        <v>2388</v>
      </c>
      <c r="G3612" s="1">
        <v>177.56800000000001</v>
      </c>
      <c r="H3612" s="1">
        <v>2</v>
      </c>
      <c r="I3612" s="1">
        <v>-37.733199999999997</v>
      </c>
    </row>
    <row r="3613" spans="1:9" x14ac:dyDescent="0.35">
      <c r="A3613" s="3" t="s">
        <v>3422</v>
      </c>
      <c r="B3613" s="1" t="s">
        <v>2596</v>
      </c>
      <c r="C3613" s="1" t="s">
        <v>399</v>
      </c>
      <c r="D3613" s="1" t="s">
        <v>52</v>
      </c>
      <c r="E3613" s="1" t="s">
        <v>81</v>
      </c>
      <c r="F3613" s="2" t="s">
        <v>2181</v>
      </c>
      <c r="G3613" s="1">
        <v>58.415999999999997</v>
      </c>
      <c r="H3613" s="1">
        <v>2</v>
      </c>
      <c r="I3613" s="1">
        <v>16.794599999999999</v>
      </c>
    </row>
    <row r="3614" spans="1:9" x14ac:dyDescent="0.35">
      <c r="A3614" s="3">
        <v>42075</v>
      </c>
      <c r="B3614" s="1" t="s">
        <v>1581</v>
      </c>
      <c r="C3614" s="1" t="s">
        <v>74</v>
      </c>
      <c r="D3614" s="1" t="s">
        <v>75</v>
      </c>
      <c r="E3614" s="1" t="s">
        <v>44</v>
      </c>
      <c r="F3614" s="2" t="s">
        <v>2559</v>
      </c>
      <c r="G3614" s="1">
        <v>16.448</v>
      </c>
      <c r="H3614" s="1">
        <v>2</v>
      </c>
      <c r="I3614" s="1">
        <v>5.5511999999999997</v>
      </c>
    </row>
    <row r="3615" spans="1:9" x14ac:dyDescent="0.35">
      <c r="A3615" s="3">
        <v>42075</v>
      </c>
      <c r="B3615" s="1" t="s">
        <v>1581</v>
      </c>
      <c r="C3615" s="1" t="s">
        <v>74</v>
      </c>
      <c r="D3615" s="1" t="s">
        <v>75</v>
      </c>
      <c r="E3615" s="1" t="s">
        <v>81</v>
      </c>
      <c r="F3615" s="2" t="s">
        <v>116</v>
      </c>
      <c r="G3615" s="1">
        <v>36.783999999999999</v>
      </c>
      <c r="H3615" s="1">
        <v>2</v>
      </c>
      <c r="I3615" s="1">
        <v>10.5754</v>
      </c>
    </row>
    <row r="3616" spans="1:9" x14ac:dyDescent="0.35">
      <c r="A3616" s="3" t="s">
        <v>3194</v>
      </c>
      <c r="B3616" s="1" t="s">
        <v>180</v>
      </c>
      <c r="C3616" s="1" t="s">
        <v>336</v>
      </c>
      <c r="D3616" s="1" t="s">
        <v>52</v>
      </c>
      <c r="E3616" s="1" t="s">
        <v>24</v>
      </c>
      <c r="F3616" s="2" t="s">
        <v>1638</v>
      </c>
      <c r="G3616" s="1">
        <v>718.11599999999999</v>
      </c>
      <c r="H3616" s="1">
        <v>6</v>
      </c>
      <c r="I3616" s="1">
        <v>-71.811599999999999</v>
      </c>
    </row>
    <row r="3617" spans="1:9" x14ac:dyDescent="0.35">
      <c r="A3617" s="3" t="s">
        <v>3194</v>
      </c>
      <c r="B3617" s="1" t="s">
        <v>180</v>
      </c>
      <c r="C3617" s="1" t="s">
        <v>336</v>
      </c>
      <c r="D3617" s="1" t="s">
        <v>52</v>
      </c>
      <c r="E3617" s="1" t="s">
        <v>31</v>
      </c>
      <c r="F3617" s="2" t="s">
        <v>1790</v>
      </c>
      <c r="G3617" s="1">
        <v>31.776</v>
      </c>
      <c r="H3617" s="1">
        <v>4</v>
      </c>
      <c r="I3617" s="1">
        <v>8.7384000000000004</v>
      </c>
    </row>
    <row r="3618" spans="1:9" x14ac:dyDescent="0.35">
      <c r="A3618" s="3">
        <v>42499</v>
      </c>
      <c r="B3618" s="1" t="s">
        <v>843</v>
      </c>
      <c r="C3618" s="1" t="s">
        <v>74</v>
      </c>
      <c r="D3618" s="1" t="s">
        <v>75</v>
      </c>
      <c r="E3618" s="1" t="s">
        <v>35</v>
      </c>
      <c r="F3618" s="2" t="s">
        <v>130</v>
      </c>
      <c r="G3618" s="1">
        <v>9.5549999999999997</v>
      </c>
      <c r="H3618" s="1">
        <v>5</v>
      </c>
      <c r="I3618" s="1">
        <v>-7.3254999999999999</v>
      </c>
    </row>
    <row r="3619" spans="1:9" x14ac:dyDescent="0.35">
      <c r="A3619" s="3">
        <v>42834</v>
      </c>
      <c r="B3619" s="1" t="s">
        <v>1014</v>
      </c>
      <c r="C3619" s="1" t="s">
        <v>17</v>
      </c>
      <c r="D3619" s="1" t="s">
        <v>18</v>
      </c>
      <c r="E3619" s="1" t="s">
        <v>35</v>
      </c>
      <c r="F3619" s="2" t="s">
        <v>1007</v>
      </c>
      <c r="G3619" s="1">
        <v>487.98399999999998</v>
      </c>
      <c r="H3619" s="1">
        <v>2</v>
      </c>
      <c r="I3619" s="1">
        <v>152.495</v>
      </c>
    </row>
    <row r="3620" spans="1:9" x14ac:dyDescent="0.35">
      <c r="A3620" s="3">
        <v>42834</v>
      </c>
      <c r="B3620" s="1" t="s">
        <v>1014</v>
      </c>
      <c r="C3620" s="1" t="s">
        <v>17</v>
      </c>
      <c r="D3620" s="1" t="s">
        <v>18</v>
      </c>
      <c r="E3620" s="1" t="s">
        <v>33</v>
      </c>
      <c r="F3620" s="2" t="s">
        <v>1828</v>
      </c>
      <c r="G3620" s="1">
        <v>5.56</v>
      </c>
      <c r="H3620" s="1">
        <v>1</v>
      </c>
      <c r="I3620" s="1">
        <v>1.7375</v>
      </c>
    </row>
    <row r="3621" spans="1:9" x14ac:dyDescent="0.35">
      <c r="A3621" s="3">
        <v>42834</v>
      </c>
      <c r="B3621" s="1" t="s">
        <v>1014</v>
      </c>
      <c r="C3621" s="1" t="s">
        <v>17</v>
      </c>
      <c r="D3621" s="1" t="s">
        <v>18</v>
      </c>
      <c r="E3621" s="1" t="s">
        <v>26</v>
      </c>
      <c r="F3621" s="2" t="s">
        <v>274</v>
      </c>
      <c r="G3621" s="1">
        <v>217.85</v>
      </c>
      <c r="H3621" s="1">
        <v>5</v>
      </c>
      <c r="I3621" s="1">
        <v>65.355000000000004</v>
      </c>
    </row>
    <row r="3622" spans="1:9" x14ac:dyDescent="0.35">
      <c r="A3622" s="3" t="s">
        <v>3423</v>
      </c>
      <c r="B3622" s="1" t="s">
        <v>292</v>
      </c>
      <c r="C3622" s="1" t="s">
        <v>1627</v>
      </c>
      <c r="D3622" s="1" t="s">
        <v>171</v>
      </c>
      <c r="E3622" s="1" t="s">
        <v>31</v>
      </c>
      <c r="F3622" s="2" t="s">
        <v>2294</v>
      </c>
      <c r="G3622" s="1">
        <v>40.776000000000003</v>
      </c>
      <c r="H3622" s="1">
        <v>3</v>
      </c>
      <c r="I3622" s="1">
        <v>4.5872999999999999</v>
      </c>
    </row>
    <row r="3623" spans="1:9" x14ac:dyDescent="0.35">
      <c r="A3623" s="3" t="s">
        <v>3423</v>
      </c>
      <c r="B3623" s="1" t="s">
        <v>292</v>
      </c>
      <c r="C3623" s="1" t="s">
        <v>1627</v>
      </c>
      <c r="D3623" s="1" t="s">
        <v>171</v>
      </c>
      <c r="E3623" s="1" t="s">
        <v>33</v>
      </c>
      <c r="F3623" s="2" t="s">
        <v>2597</v>
      </c>
      <c r="G3623" s="1">
        <v>63.936</v>
      </c>
      <c r="H3623" s="1">
        <v>8</v>
      </c>
      <c r="I3623" s="1">
        <v>5.5944000000000003</v>
      </c>
    </row>
    <row r="3624" spans="1:9" x14ac:dyDescent="0.35">
      <c r="A3624" s="3" t="s">
        <v>3424</v>
      </c>
      <c r="B3624" s="1" t="s">
        <v>1946</v>
      </c>
      <c r="C3624" s="1" t="s">
        <v>1535</v>
      </c>
      <c r="D3624" s="1" t="s">
        <v>604</v>
      </c>
      <c r="E3624" s="1" t="s">
        <v>29</v>
      </c>
      <c r="F3624" s="2" t="s">
        <v>1911</v>
      </c>
      <c r="G3624" s="1">
        <v>142.4</v>
      </c>
      <c r="H3624" s="1">
        <v>5</v>
      </c>
      <c r="I3624" s="1">
        <v>52.688000000000002</v>
      </c>
    </row>
    <row r="3625" spans="1:9" x14ac:dyDescent="0.35">
      <c r="A3625" s="3" t="s">
        <v>3424</v>
      </c>
      <c r="B3625" s="1" t="s">
        <v>1946</v>
      </c>
      <c r="C3625" s="1" t="s">
        <v>1535</v>
      </c>
      <c r="D3625" s="1" t="s">
        <v>604</v>
      </c>
      <c r="E3625" s="1" t="s">
        <v>35</v>
      </c>
      <c r="F3625" s="2" t="s">
        <v>369</v>
      </c>
      <c r="G3625" s="1">
        <v>7.16</v>
      </c>
      <c r="H3625" s="1">
        <v>2</v>
      </c>
      <c r="I3625" s="1">
        <v>3.4367999999999999</v>
      </c>
    </row>
    <row r="3626" spans="1:9" x14ac:dyDescent="0.35">
      <c r="A3626" s="3" t="s">
        <v>3279</v>
      </c>
      <c r="B3626" s="1" t="s">
        <v>2159</v>
      </c>
      <c r="C3626" s="1" t="s">
        <v>64</v>
      </c>
      <c r="D3626" s="1" t="s">
        <v>18</v>
      </c>
      <c r="E3626" s="1" t="s">
        <v>14</v>
      </c>
      <c r="F3626" s="2" t="s">
        <v>856</v>
      </c>
      <c r="G3626" s="1">
        <v>681.40800000000002</v>
      </c>
      <c r="H3626" s="1">
        <v>12</v>
      </c>
      <c r="I3626" s="1">
        <v>42.588000000000001</v>
      </c>
    </row>
    <row r="3627" spans="1:9" x14ac:dyDescent="0.35">
      <c r="A3627" s="3" t="s">
        <v>3279</v>
      </c>
      <c r="B3627" s="1" t="s">
        <v>2159</v>
      </c>
      <c r="C3627" s="1" t="s">
        <v>64</v>
      </c>
      <c r="D3627" s="1" t="s">
        <v>18</v>
      </c>
      <c r="E3627" s="1" t="s">
        <v>31</v>
      </c>
      <c r="F3627" s="2" t="s">
        <v>1749</v>
      </c>
      <c r="G3627" s="1">
        <v>3.52</v>
      </c>
      <c r="H3627" s="1">
        <v>2</v>
      </c>
      <c r="I3627" s="1">
        <v>1.0207999999999999</v>
      </c>
    </row>
    <row r="3628" spans="1:9" x14ac:dyDescent="0.35">
      <c r="A3628" s="3" t="s">
        <v>3279</v>
      </c>
      <c r="B3628" s="1" t="s">
        <v>2159</v>
      </c>
      <c r="C3628" s="1" t="s">
        <v>64</v>
      </c>
      <c r="D3628" s="1" t="s">
        <v>18</v>
      </c>
      <c r="E3628" s="1" t="s">
        <v>31</v>
      </c>
      <c r="F3628" s="2" t="s">
        <v>586</v>
      </c>
      <c r="G3628" s="1">
        <v>5.58</v>
      </c>
      <c r="H3628" s="1">
        <v>1</v>
      </c>
      <c r="I3628" s="1">
        <v>1.395</v>
      </c>
    </row>
    <row r="3629" spans="1:9" x14ac:dyDescent="0.35">
      <c r="A3629" s="3" t="s">
        <v>3279</v>
      </c>
      <c r="B3629" s="1" t="s">
        <v>2159</v>
      </c>
      <c r="C3629" s="1" t="s">
        <v>64</v>
      </c>
      <c r="D3629" s="1" t="s">
        <v>18</v>
      </c>
      <c r="E3629" s="1" t="s">
        <v>81</v>
      </c>
      <c r="F3629" s="2" t="s">
        <v>862</v>
      </c>
      <c r="G3629" s="1">
        <v>36.32</v>
      </c>
      <c r="H3629" s="1">
        <v>1</v>
      </c>
      <c r="I3629" s="1">
        <v>10.896000000000001</v>
      </c>
    </row>
    <row r="3630" spans="1:9" x14ac:dyDescent="0.35">
      <c r="A3630" s="3">
        <v>41890</v>
      </c>
      <c r="B3630" s="1" t="s">
        <v>405</v>
      </c>
      <c r="C3630" s="1" t="s">
        <v>47</v>
      </c>
      <c r="D3630" s="1" t="s">
        <v>48</v>
      </c>
      <c r="E3630" s="1" t="s">
        <v>35</v>
      </c>
      <c r="F3630" s="2" t="s">
        <v>2492</v>
      </c>
      <c r="G3630" s="1">
        <v>2060.7440000000001</v>
      </c>
      <c r="H3630" s="1">
        <v>7</v>
      </c>
      <c r="I3630" s="1">
        <v>643.98249999999996</v>
      </c>
    </row>
    <row r="3631" spans="1:9" x14ac:dyDescent="0.35">
      <c r="A3631" s="3" t="s">
        <v>3425</v>
      </c>
      <c r="B3631" s="1" t="s">
        <v>2035</v>
      </c>
      <c r="C3631" s="1" t="s">
        <v>249</v>
      </c>
      <c r="D3631" s="1" t="s">
        <v>250</v>
      </c>
      <c r="E3631" s="1" t="s">
        <v>37</v>
      </c>
      <c r="F3631" s="2" t="s">
        <v>1857</v>
      </c>
      <c r="G3631" s="1">
        <v>52.271999999999998</v>
      </c>
      <c r="H3631" s="1">
        <v>3</v>
      </c>
      <c r="I3631" s="1">
        <v>9.8010000000000002</v>
      </c>
    </row>
    <row r="3632" spans="1:9" x14ac:dyDescent="0.35">
      <c r="A3632" s="3" t="s">
        <v>3425</v>
      </c>
      <c r="B3632" s="1" t="s">
        <v>2035</v>
      </c>
      <c r="C3632" s="1" t="s">
        <v>249</v>
      </c>
      <c r="D3632" s="1" t="s">
        <v>250</v>
      </c>
      <c r="E3632" s="1" t="s">
        <v>37</v>
      </c>
      <c r="F3632" s="2" t="s">
        <v>917</v>
      </c>
      <c r="G3632" s="1">
        <v>213.136</v>
      </c>
      <c r="H3632" s="1">
        <v>7</v>
      </c>
      <c r="I3632" s="1">
        <v>23.977799999999998</v>
      </c>
    </row>
    <row r="3633" spans="1:9" x14ac:dyDescent="0.35">
      <c r="A3633" s="3">
        <v>42799</v>
      </c>
      <c r="B3633" s="1" t="s">
        <v>2598</v>
      </c>
      <c r="C3633" s="1" t="s">
        <v>17</v>
      </c>
      <c r="D3633" s="1" t="s">
        <v>18</v>
      </c>
      <c r="E3633" s="1" t="s">
        <v>26</v>
      </c>
      <c r="F3633" s="2" t="s">
        <v>1929</v>
      </c>
      <c r="G3633" s="1">
        <v>69.52</v>
      </c>
      <c r="H3633" s="1">
        <v>2</v>
      </c>
      <c r="I3633" s="1">
        <v>19.465599999999998</v>
      </c>
    </row>
    <row r="3634" spans="1:9" x14ac:dyDescent="0.35">
      <c r="A3634" s="3">
        <v>42799</v>
      </c>
      <c r="B3634" s="1" t="s">
        <v>2598</v>
      </c>
      <c r="C3634" s="1" t="s">
        <v>17</v>
      </c>
      <c r="D3634" s="1" t="s">
        <v>18</v>
      </c>
      <c r="E3634" s="1" t="s">
        <v>26</v>
      </c>
      <c r="F3634" s="2" t="s">
        <v>1097</v>
      </c>
      <c r="G3634" s="1">
        <v>763.44</v>
      </c>
      <c r="H3634" s="1">
        <v>8</v>
      </c>
      <c r="I3634" s="1">
        <v>45.806399999999996</v>
      </c>
    </row>
    <row r="3635" spans="1:9" x14ac:dyDescent="0.35">
      <c r="A3635" s="3">
        <v>42654</v>
      </c>
      <c r="B3635" s="1" t="s">
        <v>1626</v>
      </c>
      <c r="C3635" s="1" t="s">
        <v>162</v>
      </c>
      <c r="D3635" s="1" t="s">
        <v>250</v>
      </c>
      <c r="E3635" s="1" t="s">
        <v>19</v>
      </c>
      <c r="F3635" s="2" t="s">
        <v>1287</v>
      </c>
      <c r="G3635" s="1">
        <v>9.2159999999999993</v>
      </c>
      <c r="H3635" s="1">
        <v>4</v>
      </c>
      <c r="I3635" s="1">
        <v>3.3408000000000002</v>
      </c>
    </row>
    <row r="3636" spans="1:9" x14ac:dyDescent="0.35">
      <c r="A3636" s="3">
        <v>42654</v>
      </c>
      <c r="B3636" s="1" t="s">
        <v>1626</v>
      </c>
      <c r="C3636" s="1" t="s">
        <v>162</v>
      </c>
      <c r="D3636" s="1" t="s">
        <v>250</v>
      </c>
      <c r="E3636" s="1" t="s">
        <v>33</v>
      </c>
      <c r="F3636" s="2" t="s">
        <v>786</v>
      </c>
      <c r="G3636" s="1">
        <v>41.957999999999998</v>
      </c>
      <c r="H3636" s="1">
        <v>7</v>
      </c>
      <c r="I3636" s="1">
        <v>-9.7902000000000005</v>
      </c>
    </row>
    <row r="3637" spans="1:9" x14ac:dyDescent="0.35">
      <c r="A3637" s="3">
        <v>42654</v>
      </c>
      <c r="B3637" s="1" t="s">
        <v>1626</v>
      </c>
      <c r="C3637" s="1" t="s">
        <v>162</v>
      </c>
      <c r="D3637" s="1" t="s">
        <v>250</v>
      </c>
      <c r="E3637" s="1" t="s">
        <v>44</v>
      </c>
      <c r="F3637" s="2" t="s">
        <v>2599</v>
      </c>
      <c r="G3637" s="1">
        <v>89.567999999999998</v>
      </c>
      <c r="H3637" s="1">
        <v>2</v>
      </c>
      <c r="I3637" s="1">
        <v>32.468400000000003</v>
      </c>
    </row>
    <row r="3638" spans="1:9" x14ac:dyDescent="0.35">
      <c r="A3638" s="3">
        <v>42654</v>
      </c>
      <c r="B3638" s="1" t="s">
        <v>1626</v>
      </c>
      <c r="C3638" s="1" t="s">
        <v>162</v>
      </c>
      <c r="D3638" s="1" t="s">
        <v>250</v>
      </c>
      <c r="E3638" s="1" t="s">
        <v>44</v>
      </c>
      <c r="F3638" s="2" t="s">
        <v>2136</v>
      </c>
      <c r="G3638" s="1">
        <v>22.248000000000001</v>
      </c>
      <c r="H3638" s="1">
        <v>3</v>
      </c>
      <c r="I3638" s="1">
        <v>7.5087000000000002</v>
      </c>
    </row>
    <row r="3639" spans="1:9" x14ac:dyDescent="0.35">
      <c r="A3639" s="3">
        <v>42654</v>
      </c>
      <c r="B3639" s="1" t="s">
        <v>1626</v>
      </c>
      <c r="C3639" s="1" t="s">
        <v>162</v>
      </c>
      <c r="D3639" s="1" t="s">
        <v>250</v>
      </c>
      <c r="E3639" s="1" t="s">
        <v>37</v>
      </c>
      <c r="F3639" s="2" t="s">
        <v>976</v>
      </c>
      <c r="G3639" s="1">
        <v>334.88</v>
      </c>
      <c r="H3639" s="1">
        <v>4</v>
      </c>
      <c r="I3639" s="1">
        <v>29.302</v>
      </c>
    </row>
    <row r="3640" spans="1:9" x14ac:dyDescent="0.35">
      <c r="A3640" s="3">
        <v>42654</v>
      </c>
      <c r="B3640" s="1" t="s">
        <v>1626</v>
      </c>
      <c r="C3640" s="1" t="s">
        <v>162</v>
      </c>
      <c r="D3640" s="1" t="s">
        <v>250</v>
      </c>
      <c r="E3640" s="1" t="s">
        <v>29</v>
      </c>
      <c r="F3640" s="2" t="s">
        <v>1834</v>
      </c>
      <c r="G3640" s="1">
        <v>148.28800000000001</v>
      </c>
      <c r="H3640" s="1">
        <v>7</v>
      </c>
      <c r="I3640" s="1">
        <v>29.657599999999999</v>
      </c>
    </row>
    <row r="3641" spans="1:9" x14ac:dyDescent="0.35">
      <c r="A3641" s="3">
        <v>42654</v>
      </c>
      <c r="B3641" s="1" t="s">
        <v>1626</v>
      </c>
      <c r="C3641" s="1" t="s">
        <v>162</v>
      </c>
      <c r="D3641" s="1" t="s">
        <v>250</v>
      </c>
      <c r="E3641" s="1" t="s">
        <v>44</v>
      </c>
      <c r="F3641" s="2" t="s">
        <v>1475</v>
      </c>
      <c r="G3641" s="1">
        <v>4.6239999999999997</v>
      </c>
      <c r="H3641" s="1">
        <v>1</v>
      </c>
      <c r="I3641" s="1">
        <v>1.6761999999999999</v>
      </c>
    </row>
    <row r="3642" spans="1:9" x14ac:dyDescent="0.35">
      <c r="A3642" s="3">
        <v>42654</v>
      </c>
      <c r="B3642" s="1" t="s">
        <v>1626</v>
      </c>
      <c r="C3642" s="1" t="s">
        <v>162</v>
      </c>
      <c r="D3642" s="1" t="s">
        <v>250</v>
      </c>
      <c r="E3642" s="1" t="s">
        <v>81</v>
      </c>
      <c r="F3642" s="2" t="s">
        <v>2600</v>
      </c>
      <c r="G3642" s="1">
        <v>178.92</v>
      </c>
      <c r="H3642" s="1">
        <v>7</v>
      </c>
      <c r="I3642" s="1">
        <v>-29.0745</v>
      </c>
    </row>
    <row r="3643" spans="1:9" x14ac:dyDescent="0.35">
      <c r="A3643" s="3">
        <v>42654</v>
      </c>
      <c r="B3643" s="1" t="s">
        <v>1626</v>
      </c>
      <c r="C3643" s="1" t="s">
        <v>162</v>
      </c>
      <c r="D3643" s="1" t="s">
        <v>250</v>
      </c>
      <c r="E3643" s="1" t="s">
        <v>35</v>
      </c>
      <c r="F3643" s="2" t="s">
        <v>1983</v>
      </c>
      <c r="G3643" s="1">
        <v>69.888000000000005</v>
      </c>
      <c r="H3643" s="1">
        <v>7</v>
      </c>
      <c r="I3643" s="1">
        <v>-46.591999999999999</v>
      </c>
    </row>
    <row r="3644" spans="1:9" x14ac:dyDescent="0.35">
      <c r="A3644" s="3" t="s">
        <v>3340</v>
      </c>
      <c r="B3644" s="1" t="s">
        <v>1012</v>
      </c>
      <c r="C3644" s="1" t="s">
        <v>17</v>
      </c>
      <c r="D3644" s="1" t="s">
        <v>18</v>
      </c>
      <c r="E3644" s="1" t="s">
        <v>35</v>
      </c>
      <c r="F3644" s="2" t="s">
        <v>1007</v>
      </c>
      <c r="G3644" s="1">
        <v>487.98399999999998</v>
      </c>
      <c r="H3644" s="1">
        <v>2</v>
      </c>
      <c r="I3644" s="1">
        <v>152.495</v>
      </c>
    </row>
    <row r="3645" spans="1:9" x14ac:dyDescent="0.35">
      <c r="A3645" s="3" t="s">
        <v>3340</v>
      </c>
      <c r="B3645" s="1" t="s">
        <v>1012</v>
      </c>
      <c r="C3645" s="1" t="s">
        <v>17</v>
      </c>
      <c r="D3645" s="1" t="s">
        <v>18</v>
      </c>
      <c r="E3645" s="1" t="s">
        <v>31</v>
      </c>
      <c r="F3645" s="2" t="s">
        <v>2601</v>
      </c>
      <c r="G3645" s="1">
        <v>47.3</v>
      </c>
      <c r="H3645" s="1">
        <v>2</v>
      </c>
      <c r="I3645" s="1">
        <v>12.298</v>
      </c>
    </row>
    <row r="3646" spans="1:9" x14ac:dyDescent="0.35">
      <c r="A3646" s="3" t="s">
        <v>3340</v>
      </c>
      <c r="B3646" s="1" t="s">
        <v>1012</v>
      </c>
      <c r="C3646" s="1" t="s">
        <v>17</v>
      </c>
      <c r="D3646" s="1" t="s">
        <v>18</v>
      </c>
      <c r="E3646" s="1" t="s">
        <v>31</v>
      </c>
      <c r="F3646" s="2" t="s">
        <v>2602</v>
      </c>
      <c r="G3646" s="1">
        <v>4.13</v>
      </c>
      <c r="H3646" s="1">
        <v>1</v>
      </c>
      <c r="I3646" s="1">
        <v>1.1564000000000001</v>
      </c>
    </row>
    <row r="3647" spans="1:9" x14ac:dyDescent="0.35">
      <c r="A3647" s="3" t="s">
        <v>3340</v>
      </c>
      <c r="B3647" s="1" t="s">
        <v>1012</v>
      </c>
      <c r="C3647" s="1" t="s">
        <v>17</v>
      </c>
      <c r="D3647" s="1" t="s">
        <v>18</v>
      </c>
      <c r="E3647" s="1" t="s">
        <v>35</v>
      </c>
      <c r="F3647" s="2" t="s">
        <v>2603</v>
      </c>
      <c r="G3647" s="1">
        <v>155.12</v>
      </c>
      <c r="H3647" s="1">
        <v>5</v>
      </c>
      <c r="I3647" s="1">
        <v>50.414000000000001</v>
      </c>
    </row>
    <row r="3648" spans="1:9" x14ac:dyDescent="0.35">
      <c r="A3648" s="3" t="s">
        <v>3426</v>
      </c>
      <c r="B3648" s="1" t="s">
        <v>2394</v>
      </c>
      <c r="C3648" s="1" t="s">
        <v>17</v>
      </c>
      <c r="D3648" s="1" t="s">
        <v>18</v>
      </c>
      <c r="E3648" s="1" t="s">
        <v>44</v>
      </c>
      <c r="F3648" s="2" t="s">
        <v>2604</v>
      </c>
      <c r="G3648" s="1">
        <v>6.48</v>
      </c>
      <c r="H3648" s="1">
        <v>1</v>
      </c>
      <c r="I3648" s="1">
        <v>3.1751999999999998</v>
      </c>
    </row>
    <row r="3649" spans="1:9" x14ac:dyDescent="0.35">
      <c r="A3649" s="3" t="s">
        <v>3426</v>
      </c>
      <c r="B3649" s="1" t="s">
        <v>2394</v>
      </c>
      <c r="C3649" s="1" t="s">
        <v>17</v>
      </c>
      <c r="D3649" s="1" t="s">
        <v>18</v>
      </c>
      <c r="E3649" s="1" t="s">
        <v>289</v>
      </c>
      <c r="F3649" s="2" t="s">
        <v>2605</v>
      </c>
      <c r="G3649" s="1">
        <v>15.52</v>
      </c>
      <c r="H3649" s="1">
        <v>4</v>
      </c>
      <c r="I3649" s="1">
        <v>4.5007999999999999</v>
      </c>
    </row>
    <row r="3650" spans="1:9" x14ac:dyDescent="0.35">
      <c r="A3650" s="3" t="s">
        <v>3145</v>
      </c>
      <c r="B3650" s="1" t="s">
        <v>1798</v>
      </c>
      <c r="C3650" s="1" t="s">
        <v>170</v>
      </c>
      <c r="D3650" s="1" t="s">
        <v>171</v>
      </c>
      <c r="E3650" s="1" t="s">
        <v>35</v>
      </c>
      <c r="F3650" s="2" t="s">
        <v>1209</v>
      </c>
      <c r="G3650" s="1">
        <v>2.9460000000000002</v>
      </c>
      <c r="H3650" s="1">
        <v>2</v>
      </c>
      <c r="I3650" s="1">
        <v>-2.0621999999999998</v>
      </c>
    </row>
    <row r="3651" spans="1:9" x14ac:dyDescent="0.35">
      <c r="A3651" s="3" t="s">
        <v>3145</v>
      </c>
      <c r="B3651" s="1" t="s">
        <v>1798</v>
      </c>
      <c r="C3651" s="1" t="s">
        <v>170</v>
      </c>
      <c r="D3651" s="1" t="s">
        <v>171</v>
      </c>
      <c r="E3651" s="1" t="s">
        <v>137</v>
      </c>
      <c r="F3651" s="2" t="s">
        <v>523</v>
      </c>
      <c r="G3651" s="1">
        <v>55.103999999999999</v>
      </c>
      <c r="H3651" s="1">
        <v>6</v>
      </c>
      <c r="I3651" s="1">
        <v>18.5976</v>
      </c>
    </row>
    <row r="3652" spans="1:9" x14ac:dyDescent="0.35">
      <c r="A3652" s="3">
        <v>42990</v>
      </c>
      <c r="B3652" s="1" t="s">
        <v>828</v>
      </c>
      <c r="C3652" s="1" t="s">
        <v>429</v>
      </c>
      <c r="D3652" s="1" t="s">
        <v>120</v>
      </c>
      <c r="E3652" s="1" t="s">
        <v>81</v>
      </c>
      <c r="F3652" s="2" t="s">
        <v>2606</v>
      </c>
      <c r="G3652" s="1">
        <v>104.88</v>
      </c>
      <c r="H3652" s="1">
        <v>6</v>
      </c>
      <c r="I3652" s="1">
        <v>41.951999999999998</v>
      </c>
    </row>
    <row r="3653" spans="1:9" x14ac:dyDescent="0.35">
      <c r="A3653" s="3">
        <v>42990</v>
      </c>
      <c r="B3653" s="1" t="s">
        <v>828</v>
      </c>
      <c r="C3653" s="1" t="s">
        <v>429</v>
      </c>
      <c r="D3653" s="1" t="s">
        <v>120</v>
      </c>
      <c r="E3653" s="1" t="s">
        <v>31</v>
      </c>
      <c r="F3653" s="2" t="s">
        <v>1547</v>
      </c>
      <c r="G3653" s="1">
        <v>34.700000000000003</v>
      </c>
      <c r="H3653" s="1">
        <v>5</v>
      </c>
      <c r="I3653" s="1">
        <v>12.492000000000001</v>
      </c>
    </row>
    <row r="3654" spans="1:9" x14ac:dyDescent="0.35">
      <c r="A3654" s="3">
        <v>42990</v>
      </c>
      <c r="B3654" s="1" t="s">
        <v>828</v>
      </c>
      <c r="C3654" s="1" t="s">
        <v>429</v>
      </c>
      <c r="D3654" s="1" t="s">
        <v>120</v>
      </c>
      <c r="E3654" s="1" t="s">
        <v>35</v>
      </c>
      <c r="F3654" s="2" t="s">
        <v>1175</v>
      </c>
      <c r="G3654" s="1">
        <v>33.72</v>
      </c>
      <c r="H3654" s="1">
        <v>4</v>
      </c>
      <c r="I3654" s="1">
        <v>15.511200000000001</v>
      </c>
    </row>
    <row r="3655" spans="1:9" x14ac:dyDescent="0.35">
      <c r="A3655" s="3">
        <v>42990</v>
      </c>
      <c r="B3655" s="1" t="s">
        <v>828</v>
      </c>
      <c r="C3655" s="1" t="s">
        <v>429</v>
      </c>
      <c r="D3655" s="1" t="s">
        <v>120</v>
      </c>
      <c r="E3655" s="1" t="s">
        <v>44</v>
      </c>
      <c r="F3655" s="2" t="s">
        <v>94</v>
      </c>
      <c r="G3655" s="1">
        <v>14.94</v>
      </c>
      <c r="H3655" s="1">
        <v>3</v>
      </c>
      <c r="I3655" s="1">
        <v>7.0217999999999998</v>
      </c>
    </row>
    <row r="3656" spans="1:9" x14ac:dyDescent="0.35">
      <c r="A3656" s="3" t="s">
        <v>3268</v>
      </c>
      <c r="B3656" s="1" t="s">
        <v>873</v>
      </c>
      <c r="C3656" s="1" t="s">
        <v>700</v>
      </c>
      <c r="D3656" s="1" t="s">
        <v>129</v>
      </c>
      <c r="E3656" s="1" t="s">
        <v>37</v>
      </c>
      <c r="F3656" s="2" t="s">
        <v>984</v>
      </c>
      <c r="G3656" s="1">
        <v>638.73</v>
      </c>
      <c r="H3656" s="1">
        <v>9</v>
      </c>
      <c r="I3656" s="1">
        <v>166.06979999999999</v>
      </c>
    </row>
    <row r="3657" spans="1:9" x14ac:dyDescent="0.35">
      <c r="A3657" s="3" t="s">
        <v>3427</v>
      </c>
      <c r="B3657" s="1" t="s">
        <v>1088</v>
      </c>
      <c r="C3657" s="1" t="s">
        <v>719</v>
      </c>
      <c r="D3657" s="1" t="s">
        <v>23</v>
      </c>
      <c r="E3657" s="1" t="s">
        <v>26</v>
      </c>
      <c r="F3657" s="2" t="s">
        <v>1757</v>
      </c>
      <c r="G3657" s="1">
        <v>113.568</v>
      </c>
      <c r="H3657" s="1">
        <v>2</v>
      </c>
      <c r="I3657" s="1">
        <v>-21.294</v>
      </c>
    </row>
    <row r="3658" spans="1:9" x14ac:dyDescent="0.35">
      <c r="A3658" s="3">
        <v>42956</v>
      </c>
      <c r="B3658" s="1" t="s">
        <v>2110</v>
      </c>
      <c r="C3658" s="1" t="s">
        <v>422</v>
      </c>
      <c r="D3658" s="1" t="s">
        <v>250</v>
      </c>
      <c r="E3658" s="1" t="s">
        <v>81</v>
      </c>
      <c r="F3658" s="2" t="s">
        <v>2607</v>
      </c>
      <c r="G3658" s="1">
        <v>9.0960000000000001</v>
      </c>
      <c r="H3658" s="1">
        <v>1</v>
      </c>
      <c r="I3658" s="1">
        <v>1.7055</v>
      </c>
    </row>
    <row r="3659" spans="1:9" x14ac:dyDescent="0.35">
      <c r="A3659" s="3">
        <v>42341</v>
      </c>
      <c r="B3659" s="1" t="s">
        <v>1753</v>
      </c>
      <c r="C3659" s="1" t="s">
        <v>2608</v>
      </c>
      <c r="D3659" s="1" t="s">
        <v>23</v>
      </c>
      <c r="E3659" s="1" t="s">
        <v>87</v>
      </c>
      <c r="F3659" s="2" t="s">
        <v>294</v>
      </c>
      <c r="G3659" s="1">
        <v>8.6880000000000006</v>
      </c>
      <c r="H3659" s="1">
        <v>3</v>
      </c>
      <c r="I3659" s="1">
        <v>2.9321999999999999</v>
      </c>
    </row>
    <row r="3660" spans="1:9" x14ac:dyDescent="0.35">
      <c r="A3660" s="3">
        <v>42341</v>
      </c>
      <c r="B3660" s="1" t="s">
        <v>1753</v>
      </c>
      <c r="C3660" s="1" t="s">
        <v>2608</v>
      </c>
      <c r="D3660" s="1" t="s">
        <v>23</v>
      </c>
      <c r="E3660" s="1" t="s">
        <v>29</v>
      </c>
      <c r="F3660" s="2" t="s">
        <v>179</v>
      </c>
      <c r="G3660" s="1">
        <v>30.88</v>
      </c>
      <c r="H3660" s="1">
        <v>4</v>
      </c>
      <c r="I3660" s="1">
        <v>3.86</v>
      </c>
    </row>
    <row r="3661" spans="1:9" x14ac:dyDescent="0.35">
      <c r="A3661" s="3">
        <v>42341</v>
      </c>
      <c r="B3661" s="1" t="s">
        <v>1753</v>
      </c>
      <c r="C3661" s="1" t="s">
        <v>2608</v>
      </c>
      <c r="D3661" s="1" t="s">
        <v>23</v>
      </c>
      <c r="E3661" s="1" t="s">
        <v>29</v>
      </c>
      <c r="F3661" s="2" t="s">
        <v>2609</v>
      </c>
      <c r="G3661" s="1">
        <v>6.4080000000000004</v>
      </c>
      <c r="H3661" s="1">
        <v>3</v>
      </c>
      <c r="I3661" s="1">
        <v>1.4418</v>
      </c>
    </row>
    <row r="3662" spans="1:9" x14ac:dyDescent="0.35">
      <c r="A3662" s="3" t="s">
        <v>3428</v>
      </c>
      <c r="B3662" s="1" t="s">
        <v>2485</v>
      </c>
      <c r="C3662" s="1" t="s">
        <v>1682</v>
      </c>
      <c r="D3662" s="1" t="s">
        <v>158</v>
      </c>
      <c r="E3662" s="1" t="s">
        <v>289</v>
      </c>
      <c r="F3662" s="2" t="s">
        <v>2610</v>
      </c>
      <c r="G3662" s="1">
        <v>33.799999999999997</v>
      </c>
      <c r="H3662" s="1">
        <v>5</v>
      </c>
      <c r="I3662" s="1">
        <v>4.2249999999999996</v>
      </c>
    </row>
    <row r="3663" spans="1:9" x14ac:dyDescent="0.35">
      <c r="A3663" s="3" t="s">
        <v>3429</v>
      </c>
      <c r="B3663" s="1" t="s">
        <v>1242</v>
      </c>
      <c r="C3663" s="1" t="s">
        <v>167</v>
      </c>
      <c r="D3663" s="1" t="s">
        <v>120</v>
      </c>
      <c r="E3663" s="1" t="s">
        <v>33</v>
      </c>
      <c r="F3663" s="2" t="s">
        <v>2586</v>
      </c>
      <c r="G3663" s="1">
        <v>377.97</v>
      </c>
      <c r="H3663" s="1">
        <v>3</v>
      </c>
      <c r="I3663" s="1">
        <v>94.492500000000007</v>
      </c>
    </row>
    <row r="3664" spans="1:9" x14ac:dyDescent="0.35">
      <c r="A3664" s="3">
        <v>42801</v>
      </c>
      <c r="B3664" s="1" t="s">
        <v>370</v>
      </c>
      <c r="C3664" s="1" t="s">
        <v>626</v>
      </c>
      <c r="D3664" s="1" t="s">
        <v>592</v>
      </c>
      <c r="E3664" s="1" t="s">
        <v>81</v>
      </c>
      <c r="F3664" s="2" t="s">
        <v>1858</v>
      </c>
      <c r="G3664" s="1">
        <v>258.89999999999998</v>
      </c>
      <c r="H3664" s="1">
        <v>10</v>
      </c>
      <c r="I3664" s="1">
        <v>93.203999999999994</v>
      </c>
    </row>
    <row r="3665" spans="1:9" x14ac:dyDescent="0.35">
      <c r="A3665" s="3">
        <v>42801</v>
      </c>
      <c r="B3665" s="1" t="s">
        <v>370</v>
      </c>
      <c r="C3665" s="1" t="s">
        <v>626</v>
      </c>
      <c r="D3665" s="1" t="s">
        <v>592</v>
      </c>
      <c r="E3665" s="1" t="s">
        <v>44</v>
      </c>
      <c r="F3665" s="2" t="s">
        <v>595</v>
      </c>
      <c r="G3665" s="1">
        <v>24.56</v>
      </c>
      <c r="H3665" s="1">
        <v>2</v>
      </c>
      <c r="I3665" s="1">
        <v>11.543200000000001</v>
      </c>
    </row>
    <row r="3666" spans="1:9" x14ac:dyDescent="0.35">
      <c r="A3666" s="3">
        <v>41863</v>
      </c>
      <c r="B3666" s="1" t="s">
        <v>2241</v>
      </c>
      <c r="C3666" s="1" t="s">
        <v>909</v>
      </c>
      <c r="D3666" s="1" t="s">
        <v>212</v>
      </c>
      <c r="E3666" s="1" t="s">
        <v>19</v>
      </c>
      <c r="F3666" s="2" t="s">
        <v>1124</v>
      </c>
      <c r="G3666" s="1">
        <v>27.888000000000002</v>
      </c>
      <c r="H3666" s="1">
        <v>7</v>
      </c>
      <c r="I3666" s="1">
        <v>9.0635999999999992</v>
      </c>
    </row>
    <row r="3667" spans="1:9" x14ac:dyDescent="0.35">
      <c r="A3667" s="3">
        <v>41863</v>
      </c>
      <c r="B3667" s="1" t="s">
        <v>2241</v>
      </c>
      <c r="C3667" s="1" t="s">
        <v>909</v>
      </c>
      <c r="D3667" s="1" t="s">
        <v>212</v>
      </c>
      <c r="E3667" s="1" t="s">
        <v>35</v>
      </c>
      <c r="F3667" s="2" t="s">
        <v>1118</v>
      </c>
      <c r="G3667" s="1">
        <v>6.4560000000000004</v>
      </c>
      <c r="H3667" s="1">
        <v>4</v>
      </c>
      <c r="I3667" s="1">
        <v>-4.5191999999999997</v>
      </c>
    </row>
    <row r="3668" spans="1:9" x14ac:dyDescent="0.35">
      <c r="A3668" s="3">
        <v>41863</v>
      </c>
      <c r="B3668" s="1" t="s">
        <v>2241</v>
      </c>
      <c r="C3668" s="1" t="s">
        <v>909</v>
      </c>
      <c r="D3668" s="1" t="s">
        <v>212</v>
      </c>
      <c r="E3668" s="1" t="s">
        <v>33</v>
      </c>
      <c r="F3668" s="2" t="s">
        <v>2516</v>
      </c>
      <c r="G3668" s="1">
        <v>52.68</v>
      </c>
      <c r="H3668" s="1">
        <v>3</v>
      </c>
      <c r="I3668" s="1">
        <v>19.754999999999999</v>
      </c>
    </row>
    <row r="3669" spans="1:9" x14ac:dyDescent="0.35">
      <c r="A3669" s="3">
        <v>41863</v>
      </c>
      <c r="B3669" s="1" t="s">
        <v>2241</v>
      </c>
      <c r="C3669" s="1" t="s">
        <v>909</v>
      </c>
      <c r="D3669" s="1" t="s">
        <v>212</v>
      </c>
      <c r="E3669" s="1" t="s">
        <v>289</v>
      </c>
      <c r="F3669" s="2" t="s">
        <v>2611</v>
      </c>
      <c r="G3669" s="1">
        <v>13.88</v>
      </c>
      <c r="H3669" s="1">
        <v>5</v>
      </c>
      <c r="I3669" s="1">
        <v>-2.6025</v>
      </c>
    </row>
    <row r="3670" spans="1:9" x14ac:dyDescent="0.35">
      <c r="A3670" s="3">
        <v>41863</v>
      </c>
      <c r="B3670" s="1" t="s">
        <v>2241</v>
      </c>
      <c r="C3670" s="1" t="s">
        <v>909</v>
      </c>
      <c r="D3670" s="1" t="s">
        <v>212</v>
      </c>
      <c r="E3670" s="1" t="s">
        <v>81</v>
      </c>
      <c r="F3670" s="2" t="s">
        <v>2353</v>
      </c>
      <c r="G3670" s="1">
        <v>103.92</v>
      </c>
      <c r="H3670" s="1">
        <v>10</v>
      </c>
      <c r="I3670" s="1">
        <v>-18.186</v>
      </c>
    </row>
    <row r="3671" spans="1:9" x14ac:dyDescent="0.35">
      <c r="A3671" s="3">
        <v>41863</v>
      </c>
      <c r="B3671" s="1" t="s">
        <v>2241</v>
      </c>
      <c r="C3671" s="1" t="s">
        <v>909</v>
      </c>
      <c r="D3671" s="1" t="s">
        <v>212</v>
      </c>
      <c r="E3671" s="1" t="s">
        <v>19</v>
      </c>
      <c r="F3671" s="2" t="s">
        <v>2612</v>
      </c>
      <c r="G3671" s="1">
        <v>11.52</v>
      </c>
      <c r="H3671" s="1">
        <v>5</v>
      </c>
      <c r="I3671" s="1">
        <v>3.7440000000000002</v>
      </c>
    </row>
    <row r="3672" spans="1:9" x14ac:dyDescent="0.35">
      <c r="A3672" s="3">
        <v>41863</v>
      </c>
      <c r="B3672" s="1" t="s">
        <v>2241</v>
      </c>
      <c r="C3672" s="1" t="s">
        <v>909</v>
      </c>
      <c r="D3672" s="1" t="s">
        <v>212</v>
      </c>
      <c r="E3672" s="1" t="s">
        <v>44</v>
      </c>
      <c r="F3672" s="2" t="s">
        <v>143</v>
      </c>
      <c r="G3672" s="1">
        <v>10.368</v>
      </c>
      <c r="H3672" s="1">
        <v>2</v>
      </c>
      <c r="I3672" s="1">
        <v>3.6288</v>
      </c>
    </row>
    <row r="3673" spans="1:9" x14ac:dyDescent="0.35">
      <c r="A3673" s="3">
        <v>41863</v>
      </c>
      <c r="B3673" s="1" t="s">
        <v>2241</v>
      </c>
      <c r="C3673" s="1" t="s">
        <v>909</v>
      </c>
      <c r="D3673" s="1" t="s">
        <v>212</v>
      </c>
      <c r="E3673" s="1" t="s">
        <v>26</v>
      </c>
      <c r="F3673" s="2" t="s">
        <v>2613</v>
      </c>
      <c r="G3673" s="1">
        <v>39.072000000000003</v>
      </c>
      <c r="H3673" s="1">
        <v>3</v>
      </c>
      <c r="I3673" s="1">
        <v>2.9304000000000001</v>
      </c>
    </row>
    <row r="3674" spans="1:9" x14ac:dyDescent="0.35">
      <c r="A3674" s="3">
        <v>42586</v>
      </c>
      <c r="B3674" s="1" t="s">
        <v>987</v>
      </c>
      <c r="C3674" s="1" t="s">
        <v>141</v>
      </c>
      <c r="D3674" s="1" t="s">
        <v>250</v>
      </c>
      <c r="E3674" s="1" t="s">
        <v>87</v>
      </c>
      <c r="F3674" s="2" t="s">
        <v>2454</v>
      </c>
      <c r="G3674" s="1">
        <v>8.8719999999999999</v>
      </c>
      <c r="H3674" s="1">
        <v>1</v>
      </c>
      <c r="I3674" s="1">
        <v>3.2161</v>
      </c>
    </row>
    <row r="3675" spans="1:9" x14ac:dyDescent="0.35">
      <c r="A3675" s="3">
        <v>42586</v>
      </c>
      <c r="B3675" s="1" t="s">
        <v>987</v>
      </c>
      <c r="C3675" s="1" t="s">
        <v>141</v>
      </c>
      <c r="D3675" s="1" t="s">
        <v>250</v>
      </c>
      <c r="E3675" s="1" t="s">
        <v>35</v>
      </c>
      <c r="F3675" s="2" t="s">
        <v>1812</v>
      </c>
      <c r="G3675" s="1">
        <v>121.104</v>
      </c>
      <c r="H3675" s="1">
        <v>6</v>
      </c>
      <c r="I3675" s="1">
        <v>-100.92</v>
      </c>
    </row>
    <row r="3676" spans="1:9" x14ac:dyDescent="0.35">
      <c r="A3676" s="3">
        <v>42897</v>
      </c>
      <c r="B3676" s="1" t="s">
        <v>2105</v>
      </c>
      <c r="C3676" s="1" t="s">
        <v>74</v>
      </c>
      <c r="D3676" s="1" t="s">
        <v>75</v>
      </c>
      <c r="E3676" s="1" t="s">
        <v>14</v>
      </c>
      <c r="F3676" s="2" t="s">
        <v>1997</v>
      </c>
      <c r="G3676" s="1">
        <v>127.372</v>
      </c>
      <c r="H3676" s="1">
        <v>2</v>
      </c>
      <c r="I3676" s="1">
        <v>-30.933199999999999</v>
      </c>
    </row>
    <row r="3677" spans="1:9" x14ac:dyDescent="0.35">
      <c r="A3677" s="3">
        <v>42897</v>
      </c>
      <c r="B3677" s="1" t="s">
        <v>2105</v>
      </c>
      <c r="C3677" s="1" t="s">
        <v>74</v>
      </c>
      <c r="D3677" s="1" t="s">
        <v>75</v>
      </c>
      <c r="E3677" s="1" t="s">
        <v>44</v>
      </c>
      <c r="F3677" s="2" t="s">
        <v>687</v>
      </c>
      <c r="G3677" s="1">
        <v>47.951999999999998</v>
      </c>
      <c r="H3677" s="1">
        <v>3</v>
      </c>
      <c r="I3677" s="1">
        <v>16.183800000000002</v>
      </c>
    </row>
    <row r="3678" spans="1:9" x14ac:dyDescent="0.35">
      <c r="A3678" s="3">
        <v>42136</v>
      </c>
      <c r="B3678" s="1" t="s">
        <v>2112</v>
      </c>
      <c r="C3678" s="1" t="s">
        <v>461</v>
      </c>
      <c r="D3678" s="1" t="s">
        <v>18</v>
      </c>
      <c r="E3678" s="1" t="s">
        <v>29</v>
      </c>
      <c r="F3678" s="2" t="s">
        <v>1130</v>
      </c>
      <c r="G3678" s="1">
        <v>44.46</v>
      </c>
      <c r="H3678" s="1">
        <v>2</v>
      </c>
      <c r="I3678" s="1">
        <v>14.671799999999999</v>
      </c>
    </row>
    <row r="3679" spans="1:9" x14ac:dyDescent="0.35">
      <c r="A3679" s="3">
        <v>42254</v>
      </c>
      <c r="B3679" s="1" t="s">
        <v>1901</v>
      </c>
      <c r="C3679" s="1" t="s">
        <v>1397</v>
      </c>
      <c r="D3679" s="1" t="s">
        <v>1217</v>
      </c>
      <c r="E3679" s="1" t="s">
        <v>137</v>
      </c>
      <c r="F3679" s="2" t="s">
        <v>2375</v>
      </c>
      <c r="G3679" s="1">
        <v>15.8</v>
      </c>
      <c r="H3679" s="1">
        <v>4</v>
      </c>
      <c r="I3679" s="1">
        <v>5.056</v>
      </c>
    </row>
    <row r="3680" spans="1:9" x14ac:dyDescent="0.35">
      <c r="A3680" s="3">
        <v>42254</v>
      </c>
      <c r="B3680" s="1" t="s">
        <v>1901</v>
      </c>
      <c r="C3680" s="1" t="s">
        <v>1397</v>
      </c>
      <c r="D3680" s="1" t="s">
        <v>1217</v>
      </c>
      <c r="E3680" s="1" t="s">
        <v>338</v>
      </c>
      <c r="F3680" s="2" t="s">
        <v>2532</v>
      </c>
      <c r="G3680" s="1">
        <v>464.97</v>
      </c>
      <c r="H3680" s="1">
        <v>3</v>
      </c>
      <c r="I3680" s="1">
        <v>209.23650000000001</v>
      </c>
    </row>
    <row r="3681" spans="1:9" x14ac:dyDescent="0.35">
      <c r="A3681" s="3">
        <v>42254</v>
      </c>
      <c r="B3681" s="1" t="s">
        <v>1901</v>
      </c>
      <c r="C3681" s="1" t="s">
        <v>1397</v>
      </c>
      <c r="D3681" s="1" t="s">
        <v>1217</v>
      </c>
      <c r="E3681" s="1" t="s">
        <v>29</v>
      </c>
      <c r="F3681" s="2" t="s">
        <v>521</v>
      </c>
      <c r="G3681" s="1">
        <v>181.96</v>
      </c>
      <c r="H3681" s="1">
        <v>2</v>
      </c>
      <c r="I3681" s="1">
        <v>20.015599999999999</v>
      </c>
    </row>
    <row r="3682" spans="1:9" x14ac:dyDescent="0.35">
      <c r="A3682" s="3">
        <v>42254</v>
      </c>
      <c r="B3682" s="1" t="s">
        <v>1901</v>
      </c>
      <c r="C3682" s="1" t="s">
        <v>1397</v>
      </c>
      <c r="D3682" s="1" t="s">
        <v>1217</v>
      </c>
      <c r="E3682" s="1" t="s">
        <v>19</v>
      </c>
      <c r="F3682" s="2" t="s">
        <v>2614</v>
      </c>
      <c r="G3682" s="1">
        <v>12.39</v>
      </c>
      <c r="H3682" s="1">
        <v>3</v>
      </c>
      <c r="I3682" s="1">
        <v>5.6993999999999998</v>
      </c>
    </row>
    <row r="3683" spans="1:9" x14ac:dyDescent="0.35">
      <c r="A3683" s="3">
        <v>42254</v>
      </c>
      <c r="B3683" s="1" t="s">
        <v>1901</v>
      </c>
      <c r="C3683" s="1" t="s">
        <v>1397</v>
      </c>
      <c r="D3683" s="1" t="s">
        <v>1217</v>
      </c>
      <c r="E3683" s="1" t="s">
        <v>35</v>
      </c>
      <c r="F3683" s="2" t="s">
        <v>1530</v>
      </c>
      <c r="G3683" s="1">
        <v>84.09</v>
      </c>
      <c r="H3683" s="1">
        <v>3</v>
      </c>
      <c r="I3683" s="1">
        <v>42.045000000000002</v>
      </c>
    </row>
    <row r="3684" spans="1:9" x14ac:dyDescent="0.35">
      <c r="A3684" s="3">
        <v>42254</v>
      </c>
      <c r="B3684" s="1" t="s">
        <v>1901</v>
      </c>
      <c r="C3684" s="1" t="s">
        <v>1397</v>
      </c>
      <c r="D3684" s="1" t="s">
        <v>1217</v>
      </c>
      <c r="E3684" s="1" t="s">
        <v>31</v>
      </c>
      <c r="F3684" s="2" t="s">
        <v>2615</v>
      </c>
      <c r="G3684" s="1">
        <v>79.36</v>
      </c>
      <c r="H3684" s="1">
        <v>4</v>
      </c>
      <c r="I3684" s="1">
        <v>32.537599999999998</v>
      </c>
    </row>
    <row r="3685" spans="1:9" x14ac:dyDescent="0.35">
      <c r="A3685" s="3">
        <v>42254</v>
      </c>
      <c r="B3685" s="1" t="s">
        <v>1901</v>
      </c>
      <c r="C3685" s="1" t="s">
        <v>1397</v>
      </c>
      <c r="D3685" s="1" t="s">
        <v>1217</v>
      </c>
      <c r="E3685" s="1" t="s">
        <v>35</v>
      </c>
      <c r="F3685" s="2" t="s">
        <v>1401</v>
      </c>
      <c r="G3685" s="1">
        <v>153.36000000000001</v>
      </c>
      <c r="H3685" s="1">
        <v>9</v>
      </c>
      <c r="I3685" s="1">
        <v>70.545599999999993</v>
      </c>
    </row>
    <row r="3686" spans="1:9" x14ac:dyDescent="0.35">
      <c r="A3686" s="3">
        <v>42254</v>
      </c>
      <c r="B3686" s="1" t="s">
        <v>1901</v>
      </c>
      <c r="C3686" s="1" t="s">
        <v>1397</v>
      </c>
      <c r="D3686" s="1" t="s">
        <v>1217</v>
      </c>
      <c r="E3686" s="1" t="s">
        <v>35</v>
      </c>
      <c r="F3686" s="2" t="s">
        <v>80</v>
      </c>
      <c r="G3686" s="1">
        <v>43.68</v>
      </c>
      <c r="H3686" s="1">
        <v>6</v>
      </c>
      <c r="I3686" s="1">
        <v>21.403199999999998</v>
      </c>
    </row>
    <row r="3687" spans="1:9" x14ac:dyDescent="0.35">
      <c r="A3687" s="3">
        <v>42254</v>
      </c>
      <c r="B3687" s="1" t="s">
        <v>1901</v>
      </c>
      <c r="C3687" s="1" t="s">
        <v>1397</v>
      </c>
      <c r="D3687" s="1" t="s">
        <v>1217</v>
      </c>
      <c r="E3687" s="1" t="s">
        <v>26</v>
      </c>
      <c r="F3687" s="2" t="s">
        <v>1321</v>
      </c>
      <c r="G3687" s="1">
        <v>98.21</v>
      </c>
      <c r="H3687" s="1">
        <v>7</v>
      </c>
      <c r="I3687" s="1">
        <v>28.480899999999998</v>
      </c>
    </row>
    <row r="3688" spans="1:9" x14ac:dyDescent="0.35">
      <c r="A3688" s="3" t="s">
        <v>3430</v>
      </c>
      <c r="B3688" s="1" t="s">
        <v>843</v>
      </c>
      <c r="C3688" s="1" t="s">
        <v>1263</v>
      </c>
      <c r="D3688" s="1" t="s">
        <v>18</v>
      </c>
      <c r="E3688" s="1" t="s">
        <v>31</v>
      </c>
      <c r="F3688" s="2" t="s">
        <v>647</v>
      </c>
      <c r="G3688" s="1">
        <v>9.84</v>
      </c>
      <c r="H3688" s="1">
        <v>3</v>
      </c>
      <c r="I3688" s="1">
        <v>3.2471999999999999</v>
      </c>
    </row>
    <row r="3689" spans="1:9" x14ac:dyDescent="0.35">
      <c r="A3689" s="3" t="s">
        <v>3431</v>
      </c>
      <c r="B3689" s="1" t="s">
        <v>828</v>
      </c>
      <c r="C3689" s="1" t="s">
        <v>2616</v>
      </c>
      <c r="D3689" s="1" t="s">
        <v>23</v>
      </c>
      <c r="E3689" s="1" t="s">
        <v>35</v>
      </c>
      <c r="F3689" s="2" t="s">
        <v>581</v>
      </c>
      <c r="G3689" s="1">
        <v>2.694</v>
      </c>
      <c r="H3689" s="1">
        <v>2</v>
      </c>
      <c r="I3689" s="1">
        <v>-2.2450000000000001</v>
      </c>
    </row>
    <row r="3690" spans="1:9" x14ac:dyDescent="0.35">
      <c r="A3690" s="3">
        <v>42772</v>
      </c>
      <c r="B3690" s="1" t="s">
        <v>639</v>
      </c>
      <c r="C3690" s="1" t="s">
        <v>849</v>
      </c>
      <c r="D3690" s="1" t="s">
        <v>158</v>
      </c>
      <c r="E3690" s="1" t="s">
        <v>44</v>
      </c>
      <c r="F3690" s="2" t="s">
        <v>445</v>
      </c>
      <c r="G3690" s="1">
        <v>25.344000000000001</v>
      </c>
      <c r="H3690" s="1">
        <v>6</v>
      </c>
      <c r="I3690" s="1">
        <v>7.92</v>
      </c>
    </row>
    <row r="3691" spans="1:9" x14ac:dyDescent="0.35">
      <c r="A3691" s="3">
        <v>42772</v>
      </c>
      <c r="B3691" s="1" t="s">
        <v>639</v>
      </c>
      <c r="C3691" s="1" t="s">
        <v>849</v>
      </c>
      <c r="D3691" s="1" t="s">
        <v>158</v>
      </c>
      <c r="E3691" s="1" t="s">
        <v>87</v>
      </c>
      <c r="F3691" s="2" t="s">
        <v>1058</v>
      </c>
      <c r="G3691" s="1">
        <v>43.92</v>
      </c>
      <c r="H3691" s="1">
        <v>5</v>
      </c>
      <c r="I3691" s="1">
        <v>15.920999999999999</v>
      </c>
    </row>
    <row r="3692" spans="1:9" x14ac:dyDescent="0.35">
      <c r="A3692" s="3" t="s">
        <v>3432</v>
      </c>
      <c r="B3692" s="1" t="s">
        <v>558</v>
      </c>
      <c r="C3692" s="1" t="s">
        <v>395</v>
      </c>
      <c r="D3692" s="1" t="s">
        <v>229</v>
      </c>
      <c r="E3692" s="1" t="s">
        <v>338</v>
      </c>
      <c r="F3692" s="2" t="s">
        <v>2182</v>
      </c>
      <c r="G3692" s="1">
        <v>59.994</v>
      </c>
      <c r="H3692" s="1">
        <v>2</v>
      </c>
      <c r="I3692" s="1">
        <v>-45.995399999999997</v>
      </c>
    </row>
    <row r="3693" spans="1:9" x14ac:dyDescent="0.35">
      <c r="A3693" s="3" t="s">
        <v>3432</v>
      </c>
      <c r="B3693" s="1" t="s">
        <v>558</v>
      </c>
      <c r="C3693" s="1" t="s">
        <v>395</v>
      </c>
      <c r="D3693" s="1" t="s">
        <v>229</v>
      </c>
      <c r="E3693" s="1" t="s">
        <v>579</v>
      </c>
      <c r="F3693" s="2" t="s">
        <v>2617</v>
      </c>
      <c r="G3693" s="1">
        <v>439.99200000000002</v>
      </c>
      <c r="H3693" s="1">
        <v>1</v>
      </c>
      <c r="I3693" s="1">
        <v>164.99700000000001</v>
      </c>
    </row>
    <row r="3694" spans="1:9" x14ac:dyDescent="0.35">
      <c r="A3694" s="3" t="s">
        <v>3432</v>
      </c>
      <c r="B3694" s="1" t="s">
        <v>558</v>
      </c>
      <c r="C3694" s="1" t="s">
        <v>395</v>
      </c>
      <c r="D3694" s="1" t="s">
        <v>229</v>
      </c>
      <c r="E3694" s="1" t="s">
        <v>33</v>
      </c>
      <c r="F3694" s="2" t="s">
        <v>1250</v>
      </c>
      <c r="G3694" s="1">
        <v>87.96</v>
      </c>
      <c r="H3694" s="1">
        <v>5</v>
      </c>
      <c r="I3694" s="1">
        <v>30.786000000000001</v>
      </c>
    </row>
    <row r="3695" spans="1:9" x14ac:dyDescent="0.35">
      <c r="A3695" s="3" t="s">
        <v>3432</v>
      </c>
      <c r="B3695" s="1" t="s">
        <v>558</v>
      </c>
      <c r="C3695" s="1" t="s">
        <v>395</v>
      </c>
      <c r="D3695" s="1" t="s">
        <v>229</v>
      </c>
      <c r="E3695" s="1" t="s">
        <v>29</v>
      </c>
      <c r="F3695" s="2" t="s">
        <v>2618</v>
      </c>
      <c r="G3695" s="1">
        <v>15.488</v>
      </c>
      <c r="H3695" s="1">
        <v>4</v>
      </c>
      <c r="I3695" s="1">
        <v>3.6783999999999999</v>
      </c>
    </row>
    <row r="3696" spans="1:9" x14ac:dyDescent="0.35">
      <c r="A3696" s="3" t="s">
        <v>3184</v>
      </c>
      <c r="B3696" s="1" t="s">
        <v>1554</v>
      </c>
      <c r="C3696" s="1" t="s">
        <v>162</v>
      </c>
      <c r="D3696" s="1" t="s">
        <v>163</v>
      </c>
      <c r="E3696" s="1" t="s">
        <v>35</v>
      </c>
      <c r="F3696" s="2" t="s">
        <v>1983</v>
      </c>
      <c r="G3696" s="1">
        <v>232.96</v>
      </c>
      <c r="H3696" s="1">
        <v>7</v>
      </c>
      <c r="I3696" s="1">
        <v>116.48</v>
      </c>
    </row>
    <row r="3697" spans="1:9" x14ac:dyDescent="0.35">
      <c r="A3697" s="3" t="s">
        <v>3184</v>
      </c>
      <c r="B3697" s="1" t="s">
        <v>1554</v>
      </c>
      <c r="C3697" s="1" t="s">
        <v>162</v>
      </c>
      <c r="D3697" s="1" t="s">
        <v>163</v>
      </c>
      <c r="E3697" s="1" t="s">
        <v>87</v>
      </c>
      <c r="F3697" s="2" t="s">
        <v>2454</v>
      </c>
      <c r="G3697" s="1">
        <v>66.540000000000006</v>
      </c>
      <c r="H3697" s="1">
        <v>6</v>
      </c>
      <c r="I3697" s="1">
        <v>32.604599999999998</v>
      </c>
    </row>
    <row r="3698" spans="1:9" x14ac:dyDescent="0.35">
      <c r="A3698" s="3" t="s">
        <v>3184</v>
      </c>
      <c r="B3698" s="1" t="s">
        <v>1554</v>
      </c>
      <c r="C3698" s="1" t="s">
        <v>162</v>
      </c>
      <c r="D3698" s="1" t="s">
        <v>163</v>
      </c>
      <c r="E3698" s="1" t="s">
        <v>37</v>
      </c>
      <c r="F3698" s="2" t="s">
        <v>631</v>
      </c>
      <c r="G3698" s="1">
        <v>43.26</v>
      </c>
      <c r="H3698" s="1">
        <v>3</v>
      </c>
      <c r="I3698" s="1">
        <v>14.2758</v>
      </c>
    </row>
    <row r="3699" spans="1:9" x14ac:dyDescent="0.35">
      <c r="A3699" s="3" t="s">
        <v>3433</v>
      </c>
      <c r="B3699" s="1" t="s">
        <v>2457</v>
      </c>
      <c r="C3699" s="1" t="s">
        <v>47</v>
      </c>
      <c r="D3699" s="1" t="s">
        <v>48</v>
      </c>
      <c r="E3699" s="1" t="s">
        <v>29</v>
      </c>
      <c r="F3699" s="2" t="s">
        <v>2423</v>
      </c>
      <c r="G3699" s="1">
        <v>141.96</v>
      </c>
      <c r="H3699" s="1">
        <v>2</v>
      </c>
      <c r="I3699" s="1">
        <v>22.7136</v>
      </c>
    </row>
    <row r="3700" spans="1:9" x14ac:dyDescent="0.35">
      <c r="A3700" s="3" t="s">
        <v>3434</v>
      </c>
      <c r="B3700" s="1" t="s">
        <v>113</v>
      </c>
      <c r="C3700" s="1" t="s">
        <v>1730</v>
      </c>
      <c r="D3700" s="1" t="s">
        <v>158</v>
      </c>
      <c r="E3700" s="1" t="s">
        <v>26</v>
      </c>
      <c r="F3700" s="2" t="s">
        <v>2619</v>
      </c>
      <c r="G3700" s="1">
        <v>79.400000000000006</v>
      </c>
      <c r="H3700" s="1">
        <v>5</v>
      </c>
      <c r="I3700" s="1">
        <v>5.9550000000000001</v>
      </c>
    </row>
    <row r="3701" spans="1:9" x14ac:dyDescent="0.35">
      <c r="A3701" s="3" t="s">
        <v>3165</v>
      </c>
      <c r="B3701" s="1" t="s">
        <v>266</v>
      </c>
      <c r="C3701" s="1" t="s">
        <v>1387</v>
      </c>
      <c r="D3701" s="1" t="s">
        <v>136</v>
      </c>
      <c r="E3701" s="1" t="s">
        <v>81</v>
      </c>
      <c r="F3701" s="2" t="s">
        <v>698</v>
      </c>
      <c r="G3701" s="1">
        <v>163.96</v>
      </c>
      <c r="H3701" s="1">
        <v>4</v>
      </c>
      <c r="I3701" s="1">
        <v>70.502799999999993</v>
      </c>
    </row>
    <row r="3702" spans="1:9" x14ac:dyDescent="0.35">
      <c r="A3702" s="3" t="s">
        <v>3372</v>
      </c>
      <c r="B3702" s="1" t="s">
        <v>1985</v>
      </c>
      <c r="C3702" s="1" t="s">
        <v>197</v>
      </c>
      <c r="D3702" s="1" t="s">
        <v>136</v>
      </c>
      <c r="E3702" s="1" t="s">
        <v>29</v>
      </c>
      <c r="F3702" s="2" t="s">
        <v>1319</v>
      </c>
      <c r="G3702" s="1">
        <v>37.93</v>
      </c>
      <c r="H3702" s="1">
        <v>1</v>
      </c>
      <c r="I3702" s="1">
        <v>6.8273999999999999</v>
      </c>
    </row>
    <row r="3703" spans="1:9" x14ac:dyDescent="0.35">
      <c r="A3703" s="3">
        <v>42614</v>
      </c>
      <c r="B3703" s="1" t="s">
        <v>2620</v>
      </c>
      <c r="C3703" s="1" t="s">
        <v>1256</v>
      </c>
      <c r="D3703" s="1" t="s">
        <v>250</v>
      </c>
      <c r="E3703" s="1" t="s">
        <v>29</v>
      </c>
      <c r="F3703" s="2" t="s">
        <v>2427</v>
      </c>
      <c r="G3703" s="1">
        <v>15.167999999999999</v>
      </c>
      <c r="H3703" s="1">
        <v>2</v>
      </c>
      <c r="I3703" s="1">
        <v>3.7919999999999998</v>
      </c>
    </row>
    <row r="3704" spans="1:9" x14ac:dyDescent="0.35">
      <c r="A3704" s="3" t="s">
        <v>3435</v>
      </c>
      <c r="B3704" s="1" t="s">
        <v>2555</v>
      </c>
      <c r="C3704" s="1" t="s">
        <v>181</v>
      </c>
      <c r="D3704" s="1" t="s">
        <v>182</v>
      </c>
      <c r="E3704" s="1" t="s">
        <v>31</v>
      </c>
      <c r="F3704" s="2" t="s">
        <v>2602</v>
      </c>
      <c r="G3704" s="1">
        <v>24.78</v>
      </c>
      <c r="H3704" s="1">
        <v>6</v>
      </c>
      <c r="I3704" s="1">
        <v>6.9383999999999997</v>
      </c>
    </row>
    <row r="3705" spans="1:9" x14ac:dyDescent="0.35">
      <c r="A3705" s="3" t="s">
        <v>3435</v>
      </c>
      <c r="B3705" s="1" t="s">
        <v>2555</v>
      </c>
      <c r="C3705" s="1" t="s">
        <v>181</v>
      </c>
      <c r="D3705" s="1" t="s">
        <v>182</v>
      </c>
      <c r="E3705" s="1" t="s">
        <v>35</v>
      </c>
      <c r="F3705" s="2" t="s">
        <v>1995</v>
      </c>
      <c r="G3705" s="1">
        <v>19.14</v>
      </c>
      <c r="H3705" s="1">
        <v>3</v>
      </c>
      <c r="I3705" s="1">
        <v>8.8043999999999993</v>
      </c>
    </row>
    <row r="3706" spans="1:9" x14ac:dyDescent="0.35">
      <c r="A3706" s="3" t="s">
        <v>3435</v>
      </c>
      <c r="B3706" s="1" t="s">
        <v>2555</v>
      </c>
      <c r="C3706" s="1" t="s">
        <v>181</v>
      </c>
      <c r="D3706" s="1" t="s">
        <v>182</v>
      </c>
      <c r="E3706" s="1" t="s">
        <v>579</v>
      </c>
      <c r="F3706" s="2" t="s">
        <v>1437</v>
      </c>
      <c r="G3706" s="1">
        <v>899.97</v>
      </c>
      <c r="H3706" s="1">
        <v>3</v>
      </c>
      <c r="I3706" s="1">
        <v>314.98950000000002</v>
      </c>
    </row>
    <row r="3707" spans="1:9" x14ac:dyDescent="0.35">
      <c r="A3707" s="3" t="s">
        <v>3435</v>
      </c>
      <c r="B3707" s="1" t="s">
        <v>2555</v>
      </c>
      <c r="C3707" s="1" t="s">
        <v>181</v>
      </c>
      <c r="D3707" s="1" t="s">
        <v>182</v>
      </c>
      <c r="E3707" s="1" t="s">
        <v>44</v>
      </c>
      <c r="F3707" s="2" t="s">
        <v>2570</v>
      </c>
      <c r="G3707" s="1">
        <v>32.4</v>
      </c>
      <c r="H3707" s="1">
        <v>5</v>
      </c>
      <c r="I3707" s="1">
        <v>15.552</v>
      </c>
    </row>
    <row r="3708" spans="1:9" x14ac:dyDescent="0.35">
      <c r="A3708" s="3" t="s">
        <v>3436</v>
      </c>
      <c r="B3708" s="1" t="s">
        <v>2291</v>
      </c>
      <c r="C3708" s="1" t="s">
        <v>399</v>
      </c>
      <c r="D3708" s="1" t="s">
        <v>52</v>
      </c>
      <c r="E3708" s="1" t="s">
        <v>31</v>
      </c>
      <c r="F3708" s="2" t="s">
        <v>1790</v>
      </c>
      <c r="G3708" s="1">
        <v>23.832000000000001</v>
      </c>
      <c r="H3708" s="1">
        <v>3</v>
      </c>
      <c r="I3708" s="1">
        <v>6.5537999999999998</v>
      </c>
    </row>
    <row r="3709" spans="1:9" x14ac:dyDescent="0.35">
      <c r="A3709" s="3" t="s">
        <v>3437</v>
      </c>
      <c r="B3709" s="1" t="s">
        <v>661</v>
      </c>
      <c r="C3709" s="1" t="s">
        <v>2055</v>
      </c>
      <c r="D3709" s="1" t="s">
        <v>52</v>
      </c>
      <c r="E3709" s="1" t="s">
        <v>29</v>
      </c>
      <c r="F3709" s="2" t="s">
        <v>449</v>
      </c>
      <c r="G3709" s="1">
        <v>6.3680000000000003</v>
      </c>
      <c r="H3709" s="1">
        <v>2</v>
      </c>
      <c r="I3709" s="1">
        <v>-2.5472000000000001</v>
      </c>
    </row>
    <row r="3710" spans="1:9" x14ac:dyDescent="0.35">
      <c r="A3710" s="3" t="s">
        <v>3437</v>
      </c>
      <c r="B3710" s="1" t="s">
        <v>661</v>
      </c>
      <c r="C3710" s="1" t="s">
        <v>2055</v>
      </c>
      <c r="D3710" s="1" t="s">
        <v>52</v>
      </c>
      <c r="E3710" s="1" t="s">
        <v>37</v>
      </c>
      <c r="F3710" s="2" t="s">
        <v>1770</v>
      </c>
      <c r="G3710" s="1">
        <v>34.176000000000002</v>
      </c>
      <c r="H3710" s="1">
        <v>3</v>
      </c>
      <c r="I3710" s="1">
        <v>-87.148799999999994</v>
      </c>
    </row>
    <row r="3711" spans="1:9" x14ac:dyDescent="0.35">
      <c r="A3711" s="3" t="s">
        <v>3437</v>
      </c>
      <c r="B3711" s="1" t="s">
        <v>661</v>
      </c>
      <c r="C3711" s="1" t="s">
        <v>2055</v>
      </c>
      <c r="D3711" s="1" t="s">
        <v>52</v>
      </c>
      <c r="E3711" s="1" t="s">
        <v>81</v>
      </c>
      <c r="F3711" s="2" t="s">
        <v>2364</v>
      </c>
      <c r="G3711" s="1">
        <v>5.5439999999999996</v>
      </c>
      <c r="H3711" s="1">
        <v>7</v>
      </c>
      <c r="I3711" s="1">
        <v>1.6632</v>
      </c>
    </row>
    <row r="3712" spans="1:9" x14ac:dyDescent="0.35">
      <c r="A3712" s="3" t="s">
        <v>3438</v>
      </c>
      <c r="B3712" s="1" t="s">
        <v>1041</v>
      </c>
      <c r="C3712" s="1" t="s">
        <v>17</v>
      </c>
      <c r="D3712" s="1" t="s">
        <v>18</v>
      </c>
      <c r="E3712" s="1" t="s">
        <v>24</v>
      </c>
      <c r="F3712" s="2" t="s">
        <v>439</v>
      </c>
      <c r="G3712" s="1">
        <v>510.24</v>
      </c>
      <c r="H3712" s="1">
        <v>3</v>
      </c>
      <c r="I3712" s="1">
        <v>6.3780000000000001</v>
      </c>
    </row>
    <row r="3713" spans="1:9" x14ac:dyDescent="0.35">
      <c r="A3713" s="3" t="s">
        <v>3438</v>
      </c>
      <c r="B3713" s="1" t="s">
        <v>1041</v>
      </c>
      <c r="C3713" s="1" t="s">
        <v>17</v>
      </c>
      <c r="D3713" s="1" t="s">
        <v>18</v>
      </c>
      <c r="E3713" s="1" t="s">
        <v>44</v>
      </c>
      <c r="F3713" s="2" t="s">
        <v>1879</v>
      </c>
      <c r="G3713" s="1">
        <v>204.95</v>
      </c>
      <c r="H3713" s="1">
        <v>5</v>
      </c>
      <c r="I3713" s="1">
        <v>100.4255</v>
      </c>
    </row>
    <row r="3714" spans="1:9" x14ac:dyDescent="0.35">
      <c r="A3714" s="3" t="s">
        <v>3439</v>
      </c>
      <c r="B3714" s="1" t="s">
        <v>1863</v>
      </c>
      <c r="C3714" s="1" t="s">
        <v>47</v>
      </c>
      <c r="D3714" s="1" t="s">
        <v>48</v>
      </c>
      <c r="E3714" s="1" t="s">
        <v>81</v>
      </c>
      <c r="F3714" s="2" t="s">
        <v>2621</v>
      </c>
      <c r="G3714" s="1">
        <v>11.54</v>
      </c>
      <c r="H3714" s="1">
        <v>1</v>
      </c>
      <c r="I3714" s="1">
        <v>3.4620000000000002</v>
      </c>
    </row>
    <row r="3715" spans="1:9" x14ac:dyDescent="0.35">
      <c r="A3715" s="3" t="s">
        <v>3439</v>
      </c>
      <c r="B3715" s="1" t="s">
        <v>1863</v>
      </c>
      <c r="C3715" s="1" t="s">
        <v>47</v>
      </c>
      <c r="D3715" s="1" t="s">
        <v>48</v>
      </c>
      <c r="E3715" s="1" t="s">
        <v>29</v>
      </c>
      <c r="F3715" s="2" t="s">
        <v>1361</v>
      </c>
      <c r="G3715" s="1">
        <v>162.6</v>
      </c>
      <c r="H3715" s="1">
        <v>3</v>
      </c>
      <c r="I3715" s="1">
        <v>34.146000000000001</v>
      </c>
    </row>
    <row r="3716" spans="1:9" x14ac:dyDescent="0.35">
      <c r="A3716" s="3">
        <v>41863</v>
      </c>
      <c r="B3716" s="1" t="s">
        <v>2149</v>
      </c>
      <c r="C3716" s="1" t="s">
        <v>1320</v>
      </c>
      <c r="D3716" s="1" t="s">
        <v>48</v>
      </c>
      <c r="E3716" s="1" t="s">
        <v>44</v>
      </c>
      <c r="F3716" s="2" t="s">
        <v>1062</v>
      </c>
      <c r="G3716" s="1">
        <v>45.68</v>
      </c>
      <c r="H3716" s="1">
        <v>2</v>
      </c>
      <c r="I3716" s="1">
        <v>21.012799999999999</v>
      </c>
    </row>
    <row r="3717" spans="1:9" x14ac:dyDescent="0.35">
      <c r="A3717" s="3">
        <v>41863</v>
      </c>
      <c r="B3717" s="1" t="s">
        <v>2149</v>
      </c>
      <c r="C3717" s="1" t="s">
        <v>1320</v>
      </c>
      <c r="D3717" s="1" t="s">
        <v>48</v>
      </c>
      <c r="E3717" s="1" t="s">
        <v>14</v>
      </c>
      <c r="F3717" s="2" t="s">
        <v>556</v>
      </c>
      <c r="G3717" s="1">
        <v>603.91999999999996</v>
      </c>
      <c r="H3717" s="1">
        <v>5</v>
      </c>
      <c r="I3717" s="1">
        <v>45.293999999999997</v>
      </c>
    </row>
    <row r="3718" spans="1:9" x14ac:dyDescent="0.35">
      <c r="A3718" s="3" t="s">
        <v>3387</v>
      </c>
      <c r="B3718" s="1" t="s">
        <v>1023</v>
      </c>
      <c r="C3718" s="1" t="s">
        <v>1138</v>
      </c>
      <c r="D3718" s="1" t="s">
        <v>70</v>
      </c>
      <c r="E3718" s="1" t="s">
        <v>137</v>
      </c>
      <c r="F3718" s="2" t="s">
        <v>2006</v>
      </c>
      <c r="G3718" s="1">
        <v>23.55</v>
      </c>
      <c r="H3718" s="1">
        <v>5</v>
      </c>
      <c r="I3718" s="1">
        <v>1.1775</v>
      </c>
    </row>
    <row r="3719" spans="1:9" x14ac:dyDescent="0.35">
      <c r="A3719" s="3" t="s">
        <v>3287</v>
      </c>
      <c r="B3719" s="1" t="s">
        <v>919</v>
      </c>
      <c r="C3719" s="1" t="s">
        <v>249</v>
      </c>
      <c r="D3719" s="1" t="s">
        <v>604</v>
      </c>
      <c r="E3719" s="1" t="s">
        <v>289</v>
      </c>
      <c r="F3719" s="2" t="s">
        <v>2622</v>
      </c>
      <c r="G3719" s="1">
        <v>5.04</v>
      </c>
      <c r="H3719" s="1">
        <v>2</v>
      </c>
      <c r="I3719" s="1">
        <v>0.1512</v>
      </c>
    </row>
    <row r="3720" spans="1:9" x14ac:dyDescent="0.35">
      <c r="A3720" s="3" t="s">
        <v>3287</v>
      </c>
      <c r="B3720" s="1" t="s">
        <v>919</v>
      </c>
      <c r="C3720" s="1" t="s">
        <v>249</v>
      </c>
      <c r="D3720" s="1" t="s">
        <v>604</v>
      </c>
      <c r="E3720" s="1" t="s">
        <v>81</v>
      </c>
      <c r="F3720" s="2" t="s">
        <v>1895</v>
      </c>
      <c r="G3720" s="1">
        <v>249.95</v>
      </c>
      <c r="H3720" s="1">
        <v>5</v>
      </c>
      <c r="I3720" s="1">
        <v>107.4785</v>
      </c>
    </row>
    <row r="3721" spans="1:9" x14ac:dyDescent="0.35">
      <c r="A3721" s="3" t="s">
        <v>3168</v>
      </c>
      <c r="B3721" s="1" t="s">
        <v>156</v>
      </c>
      <c r="C3721" s="1" t="s">
        <v>249</v>
      </c>
      <c r="D3721" s="1" t="s">
        <v>129</v>
      </c>
      <c r="E3721" s="1" t="s">
        <v>31</v>
      </c>
      <c r="F3721" s="2" t="s">
        <v>342</v>
      </c>
      <c r="G3721" s="1">
        <v>33.4</v>
      </c>
      <c r="H3721" s="1">
        <v>5</v>
      </c>
      <c r="I3721" s="1">
        <v>12.358000000000001</v>
      </c>
    </row>
    <row r="3722" spans="1:9" x14ac:dyDescent="0.35">
      <c r="A3722" s="3" t="s">
        <v>3408</v>
      </c>
      <c r="B3722" s="1" t="s">
        <v>1581</v>
      </c>
      <c r="C3722" s="1" t="s">
        <v>167</v>
      </c>
      <c r="D3722" s="1" t="s">
        <v>704</v>
      </c>
      <c r="E3722" s="1" t="s">
        <v>29</v>
      </c>
      <c r="F3722" s="2" t="s">
        <v>543</v>
      </c>
      <c r="G3722" s="1">
        <v>18.920000000000002</v>
      </c>
      <c r="H3722" s="1">
        <v>4</v>
      </c>
      <c r="I3722" s="1">
        <v>7.3788</v>
      </c>
    </row>
    <row r="3723" spans="1:9" x14ac:dyDescent="0.35">
      <c r="A3723" s="3" t="s">
        <v>3408</v>
      </c>
      <c r="B3723" s="1" t="s">
        <v>1581</v>
      </c>
      <c r="C3723" s="1" t="s">
        <v>167</v>
      </c>
      <c r="D3723" s="1" t="s">
        <v>704</v>
      </c>
      <c r="E3723" s="1" t="s">
        <v>35</v>
      </c>
      <c r="F3723" s="2" t="s">
        <v>36</v>
      </c>
      <c r="G3723" s="1">
        <v>15.42</v>
      </c>
      <c r="H3723" s="1">
        <v>2</v>
      </c>
      <c r="I3723" s="1">
        <v>6.9390000000000001</v>
      </c>
    </row>
    <row r="3724" spans="1:9" x14ac:dyDescent="0.35">
      <c r="A3724" s="3" t="s">
        <v>3440</v>
      </c>
      <c r="B3724" s="1" t="s">
        <v>1376</v>
      </c>
      <c r="C3724" s="1" t="s">
        <v>93</v>
      </c>
      <c r="D3724" s="1" t="s">
        <v>52</v>
      </c>
      <c r="E3724" s="1" t="s">
        <v>31</v>
      </c>
      <c r="F3724" s="2" t="s">
        <v>586</v>
      </c>
      <c r="G3724" s="1">
        <v>35.712000000000003</v>
      </c>
      <c r="H3724" s="1">
        <v>8</v>
      </c>
      <c r="I3724" s="1">
        <v>2.2320000000000002</v>
      </c>
    </row>
    <row r="3725" spans="1:9" x14ac:dyDescent="0.35">
      <c r="A3725" s="3" t="s">
        <v>3369</v>
      </c>
      <c r="B3725" s="1" t="s">
        <v>2620</v>
      </c>
      <c r="C3725" s="1" t="s">
        <v>272</v>
      </c>
      <c r="D3725" s="1" t="s">
        <v>158</v>
      </c>
      <c r="E3725" s="1" t="s">
        <v>35</v>
      </c>
      <c r="F3725" s="2" t="s">
        <v>2492</v>
      </c>
      <c r="G3725" s="1">
        <v>551.98500000000001</v>
      </c>
      <c r="H3725" s="1">
        <v>5</v>
      </c>
      <c r="I3725" s="1">
        <v>-459.98750000000001</v>
      </c>
    </row>
    <row r="3726" spans="1:9" x14ac:dyDescent="0.35">
      <c r="A3726" s="3">
        <v>42798</v>
      </c>
      <c r="B3726" s="1" t="s">
        <v>782</v>
      </c>
      <c r="C3726" s="1" t="s">
        <v>154</v>
      </c>
      <c r="D3726" s="1" t="s">
        <v>106</v>
      </c>
      <c r="E3726" s="1" t="s">
        <v>31</v>
      </c>
      <c r="F3726" s="2" t="s">
        <v>772</v>
      </c>
      <c r="G3726" s="1">
        <v>7.056</v>
      </c>
      <c r="H3726" s="1">
        <v>3</v>
      </c>
      <c r="I3726" s="1">
        <v>2.2050000000000001</v>
      </c>
    </row>
    <row r="3727" spans="1:9" x14ac:dyDescent="0.35">
      <c r="A3727" s="3" t="s">
        <v>3378</v>
      </c>
      <c r="B3727" s="1" t="s">
        <v>292</v>
      </c>
      <c r="C3727" s="1" t="s">
        <v>395</v>
      </c>
      <c r="D3727" s="1" t="s">
        <v>229</v>
      </c>
      <c r="E3727" s="1" t="s">
        <v>37</v>
      </c>
      <c r="F3727" s="2" t="s">
        <v>2098</v>
      </c>
      <c r="G3727" s="1">
        <v>18.72</v>
      </c>
      <c r="H3727" s="1">
        <v>2</v>
      </c>
      <c r="I3727" s="1">
        <v>3.51</v>
      </c>
    </row>
    <row r="3728" spans="1:9" x14ac:dyDescent="0.35">
      <c r="A3728" s="3">
        <v>42496</v>
      </c>
      <c r="B3728" s="1" t="s">
        <v>1904</v>
      </c>
      <c r="C3728" s="1" t="s">
        <v>303</v>
      </c>
      <c r="D3728" s="1" t="s">
        <v>124</v>
      </c>
      <c r="E3728" s="1" t="s">
        <v>26</v>
      </c>
      <c r="F3728" s="2" t="s">
        <v>1269</v>
      </c>
      <c r="G3728" s="1">
        <v>360.38</v>
      </c>
      <c r="H3728" s="1">
        <v>2</v>
      </c>
      <c r="I3728" s="1">
        <v>93.698800000000006</v>
      </c>
    </row>
    <row r="3729" spans="1:9" x14ac:dyDescent="0.35">
      <c r="A3729" s="3">
        <v>42496</v>
      </c>
      <c r="B3729" s="1" t="s">
        <v>1904</v>
      </c>
      <c r="C3729" s="1" t="s">
        <v>303</v>
      </c>
      <c r="D3729" s="1" t="s">
        <v>124</v>
      </c>
      <c r="E3729" s="1" t="s">
        <v>31</v>
      </c>
      <c r="F3729" s="2" t="s">
        <v>586</v>
      </c>
      <c r="G3729" s="1">
        <v>11.16</v>
      </c>
      <c r="H3729" s="1">
        <v>2</v>
      </c>
      <c r="I3729" s="1">
        <v>2.79</v>
      </c>
    </row>
    <row r="3730" spans="1:9" x14ac:dyDescent="0.35">
      <c r="A3730" s="3">
        <v>42496</v>
      </c>
      <c r="B3730" s="1" t="s">
        <v>1904</v>
      </c>
      <c r="C3730" s="1" t="s">
        <v>303</v>
      </c>
      <c r="D3730" s="1" t="s">
        <v>124</v>
      </c>
      <c r="E3730" s="1" t="s">
        <v>19</v>
      </c>
      <c r="F3730" s="2" t="s">
        <v>2507</v>
      </c>
      <c r="G3730" s="1">
        <v>14.94</v>
      </c>
      <c r="H3730" s="1">
        <v>3</v>
      </c>
      <c r="I3730" s="1">
        <v>6.8723999999999998</v>
      </c>
    </row>
    <row r="3731" spans="1:9" x14ac:dyDescent="0.35">
      <c r="A3731" s="3" t="s">
        <v>3441</v>
      </c>
      <c r="B3731" s="1" t="s">
        <v>712</v>
      </c>
      <c r="C3731" s="1" t="s">
        <v>1397</v>
      </c>
      <c r="D3731" s="1" t="s">
        <v>1217</v>
      </c>
      <c r="E3731" s="1" t="s">
        <v>26</v>
      </c>
      <c r="F3731" s="2" t="s">
        <v>1710</v>
      </c>
      <c r="G3731" s="1">
        <v>41.96</v>
      </c>
      <c r="H3731" s="1">
        <v>2</v>
      </c>
      <c r="I3731" s="1">
        <v>7.9724000000000004</v>
      </c>
    </row>
    <row r="3732" spans="1:9" x14ac:dyDescent="0.35">
      <c r="A3732" s="3" t="s">
        <v>3441</v>
      </c>
      <c r="B3732" s="1" t="s">
        <v>712</v>
      </c>
      <c r="C3732" s="1" t="s">
        <v>1397</v>
      </c>
      <c r="D3732" s="1" t="s">
        <v>1217</v>
      </c>
      <c r="E3732" s="1" t="s">
        <v>26</v>
      </c>
      <c r="F3732" s="2" t="s">
        <v>174</v>
      </c>
      <c r="G3732" s="1">
        <v>636.86</v>
      </c>
      <c r="H3732" s="1">
        <v>7</v>
      </c>
      <c r="I3732" s="1">
        <v>0</v>
      </c>
    </row>
    <row r="3733" spans="1:9" x14ac:dyDescent="0.35">
      <c r="A3733" s="3" t="s">
        <v>3441</v>
      </c>
      <c r="B3733" s="1" t="s">
        <v>712</v>
      </c>
      <c r="C3733" s="1" t="s">
        <v>1397</v>
      </c>
      <c r="D3733" s="1" t="s">
        <v>1217</v>
      </c>
      <c r="E3733" s="1" t="s">
        <v>33</v>
      </c>
      <c r="F3733" s="2" t="s">
        <v>2623</v>
      </c>
      <c r="G3733" s="1">
        <v>499.99</v>
      </c>
      <c r="H3733" s="1">
        <v>1</v>
      </c>
      <c r="I3733" s="1">
        <v>129.9974</v>
      </c>
    </row>
    <row r="3734" spans="1:9" x14ac:dyDescent="0.35">
      <c r="A3734" s="3" t="s">
        <v>3441</v>
      </c>
      <c r="B3734" s="1" t="s">
        <v>712</v>
      </c>
      <c r="C3734" s="1" t="s">
        <v>1397</v>
      </c>
      <c r="D3734" s="1" t="s">
        <v>1217</v>
      </c>
      <c r="E3734" s="1" t="s">
        <v>33</v>
      </c>
      <c r="F3734" s="2" t="s">
        <v>1917</v>
      </c>
      <c r="G3734" s="1">
        <v>1259.93</v>
      </c>
      <c r="H3734" s="1">
        <v>7</v>
      </c>
      <c r="I3734" s="1">
        <v>327.58179999999999</v>
      </c>
    </row>
    <row r="3735" spans="1:9" x14ac:dyDescent="0.35">
      <c r="A3735" s="3" t="s">
        <v>3441</v>
      </c>
      <c r="B3735" s="1" t="s">
        <v>712</v>
      </c>
      <c r="C3735" s="1" t="s">
        <v>1397</v>
      </c>
      <c r="D3735" s="1" t="s">
        <v>1217</v>
      </c>
      <c r="E3735" s="1" t="s">
        <v>35</v>
      </c>
      <c r="F3735" s="2" t="s">
        <v>2540</v>
      </c>
      <c r="G3735" s="1">
        <v>65.08</v>
      </c>
      <c r="H3735" s="1">
        <v>4</v>
      </c>
      <c r="I3735" s="1">
        <v>31.889199999999999</v>
      </c>
    </row>
    <row r="3736" spans="1:9" x14ac:dyDescent="0.35">
      <c r="A3736" s="3">
        <v>42889</v>
      </c>
      <c r="B3736" s="1" t="s">
        <v>2624</v>
      </c>
      <c r="C3736" s="1" t="s">
        <v>135</v>
      </c>
      <c r="D3736" s="1" t="s">
        <v>136</v>
      </c>
      <c r="E3736" s="1" t="s">
        <v>44</v>
      </c>
      <c r="F3736" s="2" t="s">
        <v>316</v>
      </c>
      <c r="G3736" s="1">
        <v>26.38</v>
      </c>
      <c r="H3736" s="1">
        <v>1</v>
      </c>
      <c r="I3736" s="1">
        <v>12.1348</v>
      </c>
    </row>
    <row r="3737" spans="1:9" x14ac:dyDescent="0.35">
      <c r="A3737" s="3">
        <v>42889</v>
      </c>
      <c r="B3737" s="1" t="s">
        <v>2624</v>
      </c>
      <c r="C3737" s="1" t="s">
        <v>135</v>
      </c>
      <c r="D3737" s="1" t="s">
        <v>136</v>
      </c>
      <c r="E3737" s="1" t="s">
        <v>29</v>
      </c>
      <c r="F3737" s="2" t="s">
        <v>1557</v>
      </c>
      <c r="G3737" s="1">
        <v>71.97</v>
      </c>
      <c r="H3737" s="1">
        <v>3</v>
      </c>
      <c r="I3737" s="1">
        <v>16.553100000000001</v>
      </c>
    </row>
    <row r="3738" spans="1:9" x14ac:dyDescent="0.35">
      <c r="A3738" s="3" t="s">
        <v>3442</v>
      </c>
      <c r="B3738" s="1" t="s">
        <v>2625</v>
      </c>
      <c r="C3738" s="1" t="s">
        <v>303</v>
      </c>
      <c r="D3738" s="1" t="s">
        <v>124</v>
      </c>
      <c r="E3738" s="1" t="s">
        <v>33</v>
      </c>
      <c r="F3738" s="2" t="s">
        <v>2344</v>
      </c>
      <c r="G3738" s="1">
        <v>129.97999999999999</v>
      </c>
      <c r="H3738" s="1">
        <v>2</v>
      </c>
      <c r="I3738" s="1">
        <v>62.3904</v>
      </c>
    </row>
    <row r="3739" spans="1:9" x14ac:dyDescent="0.35">
      <c r="A3739" s="3" t="s">
        <v>3442</v>
      </c>
      <c r="B3739" s="1" t="s">
        <v>2625</v>
      </c>
      <c r="C3739" s="1" t="s">
        <v>303</v>
      </c>
      <c r="D3739" s="1" t="s">
        <v>124</v>
      </c>
      <c r="E3739" s="1" t="s">
        <v>35</v>
      </c>
      <c r="F3739" s="2" t="s">
        <v>2540</v>
      </c>
      <c r="G3739" s="1">
        <v>32.54</v>
      </c>
      <c r="H3739" s="1">
        <v>2</v>
      </c>
      <c r="I3739" s="1">
        <v>15.944599999999999</v>
      </c>
    </row>
    <row r="3740" spans="1:9" x14ac:dyDescent="0.35">
      <c r="A3740" s="3">
        <v>42625</v>
      </c>
      <c r="B3740" s="1" t="s">
        <v>458</v>
      </c>
      <c r="C3740" s="1" t="s">
        <v>167</v>
      </c>
      <c r="D3740" s="1" t="s">
        <v>120</v>
      </c>
      <c r="E3740" s="1" t="s">
        <v>33</v>
      </c>
      <c r="F3740" s="2" t="s">
        <v>126</v>
      </c>
      <c r="G3740" s="1">
        <v>10.9</v>
      </c>
      <c r="H3740" s="1">
        <v>1</v>
      </c>
      <c r="I3740" s="1">
        <v>3.052</v>
      </c>
    </row>
    <row r="3741" spans="1:9" x14ac:dyDescent="0.35">
      <c r="A3741" s="3">
        <v>42625</v>
      </c>
      <c r="B3741" s="1" t="s">
        <v>458</v>
      </c>
      <c r="C3741" s="1" t="s">
        <v>167</v>
      </c>
      <c r="D3741" s="1" t="s">
        <v>120</v>
      </c>
      <c r="E3741" s="1" t="s">
        <v>81</v>
      </c>
      <c r="F3741" s="2" t="s">
        <v>1703</v>
      </c>
      <c r="G3741" s="1">
        <v>59.98</v>
      </c>
      <c r="H3741" s="1">
        <v>2</v>
      </c>
      <c r="I3741" s="1">
        <v>25.191600000000001</v>
      </c>
    </row>
    <row r="3742" spans="1:9" x14ac:dyDescent="0.35">
      <c r="A3742" s="3">
        <v>42625</v>
      </c>
      <c r="B3742" s="1" t="s">
        <v>458</v>
      </c>
      <c r="C3742" s="1" t="s">
        <v>167</v>
      </c>
      <c r="D3742" s="1" t="s">
        <v>120</v>
      </c>
      <c r="E3742" s="1" t="s">
        <v>37</v>
      </c>
      <c r="F3742" s="2" t="s">
        <v>53</v>
      </c>
      <c r="G3742" s="1">
        <v>61.929000000000002</v>
      </c>
      <c r="H3742" s="1">
        <v>1</v>
      </c>
      <c r="I3742" s="1">
        <v>23.395399999999999</v>
      </c>
    </row>
    <row r="3743" spans="1:9" x14ac:dyDescent="0.35">
      <c r="A3743" s="3" t="s">
        <v>3286</v>
      </c>
      <c r="B3743" s="1" t="s">
        <v>2071</v>
      </c>
      <c r="C3743" s="1" t="s">
        <v>135</v>
      </c>
      <c r="D3743" s="1" t="s">
        <v>136</v>
      </c>
      <c r="E3743" s="1" t="s">
        <v>87</v>
      </c>
      <c r="F3743" s="2" t="s">
        <v>600</v>
      </c>
      <c r="G3743" s="1">
        <v>16.52</v>
      </c>
      <c r="H3743" s="1">
        <v>4</v>
      </c>
      <c r="I3743" s="1">
        <v>7.5991999999999997</v>
      </c>
    </row>
    <row r="3744" spans="1:9" x14ac:dyDescent="0.35">
      <c r="A3744" s="3" t="s">
        <v>3286</v>
      </c>
      <c r="B3744" s="1" t="s">
        <v>2071</v>
      </c>
      <c r="C3744" s="1" t="s">
        <v>135</v>
      </c>
      <c r="D3744" s="1" t="s">
        <v>136</v>
      </c>
      <c r="E3744" s="1" t="s">
        <v>44</v>
      </c>
      <c r="F3744" s="2" t="s">
        <v>2130</v>
      </c>
      <c r="G3744" s="1">
        <v>60.12</v>
      </c>
      <c r="H3744" s="1">
        <v>9</v>
      </c>
      <c r="I3744" s="1">
        <v>28.857600000000001</v>
      </c>
    </row>
    <row r="3745" spans="1:9" x14ac:dyDescent="0.35">
      <c r="A3745" s="3" t="s">
        <v>3286</v>
      </c>
      <c r="B3745" s="1" t="s">
        <v>2071</v>
      </c>
      <c r="C3745" s="1" t="s">
        <v>135</v>
      </c>
      <c r="D3745" s="1" t="s">
        <v>136</v>
      </c>
      <c r="E3745" s="1" t="s">
        <v>35</v>
      </c>
      <c r="F3745" s="2" t="s">
        <v>636</v>
      </c>
      <c r="G3745" s="1">
        <v>49.536000000000001</v>
      </c>
      <c r="H3745" s="1">
        <v>3</v>
      </c>
      <c r="I3745" s="1">
        <v>17.337599999999998</v>
      </c>
    </row>
    <row r="3746" spans="1:9" x14ac:dyDescent="0.35">
      <c r="A3746" s="3" t="s">
        <v>3185</v>
      </c>
      <c r="B3746" s="1" t="s">
        <v>1038</v>
      </c>
      <c r="C3746" s="1" t="s">
        <v>2626</v>
      </c>
      <c r="D3746" s="1" t="s">
        <v>194</v>
      </c>
      <c r="E3746" s="1" t="s">
        <v>137</v>
      </c>
      <c r="F3746" s="2" t="s">
        <v>2375</v>
      </c>
      <c r="G3746" s="1">
        <v>11.85</v>
      </c>
      <c r="H3746" s="1">
        <v>3</v>
      </c>
      <c r="I3746" s="1">
        <v>3.7919999999999998</v>
      </c>
    </row>
    <row r="3747" spans="1:9" x14ac:dyDescent="0.35">
      <c r="A3747" s="3" t="s">
        <v>3443</v>
      </c>
      <c r="B3747" s="1" t="s">
        <v>630</v>
      </c>
      <c r="C3747" s="1" t="s">
        <v>249</v>
      </c>
      <c r="D3747" s="1" t="s">
        <v>604</v>
      </c>
      <c r="E3747" s="1" t="s">
        <v>26</v>
      </c>
      <c r="F3747" s="2" t="s">
        <v>727</v>
      </c>
      <c r="G3747" s="1">
        <v>118.25</v>
      </c>
      <c r="H3747" s="1">
        <v>5</v>
      </c>
      <c r="I3747" s="1">
        <v>34.292499999999997</v>
      </c>
    </row>
    <row r="3748" spans="1:9" x14ac:dyDescent="0.35">
      <c r="A3748" s="3" t="s">
        <v>3443</v>
      </c>
      <c r="B3748" s="1" t="s">
        <v>630</v>
      </c>
      <c r="C3748" s="1" t="s">
        <v>249</v>
      </c>
      <c r="D3748" s="1" t="s">
        <v>604</v>
      </c>
      <c r="E3748" s="1" t="s">
        <v>14</v>
      </c>
      <c r="F3748" s="2" t="s">
        <v>2095</v>
      </c>
      <c r="G3748" s="1">
        <v>368.97</v>
      </c>
      <c r="H3748" s="1">
        <v>3</v>
      </c>
      <c r="I3748" s="1">
        <v>81.173400000000001</v>
      </c>
    </row>
    <row r="3749" spans="1:9" x14ac:dyDescent="0.35">
      <c r="A3749" s="3" t="s">
        <v>3298</v>
      </c>
      <c r="B3749" s="1" t="s">
        <v>466</v>
      </c>
      <c r="C3749" s="1" t="s">
        <v>494</v>
      </c>
      <c r="D3749" s="1" t="s">
        <v>18</v>
      </c>
      <c r="E3749" s="1" t="s">
        <v>29</v>
      </c>
      <c r="F3749" s="2" t="s">
        <v>1794</v>
      </c>
      <c r="G3749" s="1">
        <v>198.46</v>
      </c>
      <c r="H3749" s="1">
        <v>2</v>
      </c>
      <c r="I3749" s="1">
        <v>99.23</v>
      </c>
    </row>
    <row r="3750" spans="1:9" x14ac:dyDescent="0.35">
      <c r="A3750" s="3" t="s">
        <v>3298</v>
      </c>
      <c r="B3750" s="1" t="s">
        <v>466</v>
      </c>
      <c r="C3750" s="1" t="s">
        <v>494</v>
      </c>
      <c r="D3750" s="1" t="s">
        <v>18</v>
      </c>
      <c r="E3750" s="1" t="s">
        <v>37</v>
      </c>
      <c r="F3750" s="2" t="s">
        <v>2369</v>
      </c>
      <c r="G3750" s="1">
        <v>321.92</v>
      </c>
      <c r="H3750" s="1">
        <v>4</v>
      </c>
      <c r="I3750" s="1">
        <v>96.575999999999993</v>
      </c>
    </row>
    <row r="3751" spans="1:9" x14ac:dyDescent="0.35">
      <c r="A3751" s="3" t="s">
        <v>3298</v>
      </c>
      <c r="B3751" s="1" t="s">
        <v>466</v>
      </c>
      <c r="C3751" s="1" t="s">
        <v>494</v>
      </c>
      <c r="D3751" s="1" t="s">
        <v>18</v>
      </c>
      <c r="E3751" s="1" t="s">
        <v>579</v>
      </c>
      <c r="F3751" s="2" t="s">
        <v>2617</v>
      </c>
      <c r="G3751" s="1">
        <v>879.98400000000004</v>
      </c>
      <c r="H3751" s="1">
        <v>2</v>
      </c>
      <c r="I3751" s="1">
        <v>329.99400000000003</v>
      </c>
    </row>
    <row r="3752" spans="1:9" x14ac:dyDescent="0.35">
      <c r="A3752" s="3" t="s">
        <v>3298</v>
      </c>
      <c r="B3752" s="1" t="s">
        <v>466</v>
      </c>
      <c r="C3752" s="1" t="s">
        <v>494</v>
      </c>
      <c r="D3752" s="1" t="s">
        <v>18</v>
      </c>
      <c r="E3752" s="1" t="s">
        <v>289</v>
      </c>
      <c r="F3752" s="2" t="s">
        <v>1176</v>
      </c>
      <c r="G3752" s="1">
        <v>28.4</v>
      </c>
      <c r="H3752" s="1">
        <v>5</v>
      </c>
      <c r="I3752" s="1">
        <v>8.2360000000000007</v>
      </c>
    </row>
    <row r="3753" spans="1:9" x14ac:dyDescent="0.35">
      <c r="A3753" s="3" t="s">
        <v>3298</v>
      </c>
      <c r="B3753" s="1" t="s">
        <v>466</v>
      </c>
      <c r="C3753" s="1" t="s">
        <v>494</v>
      </c>
      <c r="D3753" s="1" t="s">
        <v>18</v>
      </c>
      <c r="E3753" s="1" t="s">
        <v>14</v>
      </c>
      <c r="F3753" s="2" t="s">
        <v>692</v>
      </c>
      <c r="G3753" s="1">
        <v>230.28</v>
      </c>
      <c r="H3753" s="1">
        <v>3</v>
      </c>
      <c r="I3753" s="1">
        <v>23.027999999999999</v>
      </c>
    </row>
    <row r="3754" spans="1:9" x14ac:dyDescent="0.35">
      <c r="A3754" s="3" t="s">
        <v>3298</v>
      </c>
      <c r="B3754" s="1" t="s">
        <v>466</v>
      </c>
      <c r="C3754" s="1" t="s">
        <v>494</v>
      </c>
      <c r="D3754" s="1" t="s">
        <v>18</v>
      </c>
      <c r="E3754" s="1" t="s">
        <v>44</v>
      </c>
      <c r="F3754" s="2" t="s">
        <v>1628</v>
      </c>
      <c r="G3754" s="1">
        <v>116.28</v>
      </c>
      <c r="H3754" s="1">
        <v>3</v>
      </c>
      <c r="I3754" s="1">
        <v>56.977200000000003</v>
      </c>
    </row>
    <row r="3755" spans="1:9" x14ac:dyDescent="0.35">
      <c r="A3755" s="3" t="s">
        <v>3298</v>
      </c>
      <c r="B3755" s="1" t="s">
        <v>466</v>
      </c>
      <c r="C3755" s="1" t="s">
        <v>494</v>
      </c>
      <c r="D3755" s="1" t="s">
        <v>18</v>
      </c>
      <c r="E3755" s="1" t="s">
        <v>35</v>
      </c>
      <c r="F3755" s="2" t="s">
        <v>259</v>
      </c>
      <c r="G3755" s="1">
        <v>841.56799999999998</v>
      </c>
      <c r="H3755" s="1">
        <v>2</v>
      </c>
      <c r="I3755" s="1">
        <v>294.54880000000003</v>
      </c>
    </row>
    <row r="3756" spans="1:9" x14ac:dyDescent="0.35">
      <c r="A3756" s="3" t="s">
        <v>3298</v>
      </c>
      <c r="B3756" s="1" t="s">
        <v>466</v>
      </c>
      <c r="C3756" s="1" t="s">
        <v>494</v>
      </c>
      <c r="D3756" s="1" t="s">
        <v>18</v>
      </c>
      <c r="E3756" s="1" t="s">
        <v>26</v>
      </c>
      <c r="F3756" s="2" t="s">
        <v>1757</v>
      </c>
      <c r="G3756" s="1">
        <v>354.9</v>
      </c>
      <c r="H3756" s="1">
        <v>5</v>
      </c>
      <c r="I3756" s="1">
        <v>17.745000000000001</v>
      </c>
    </row>
    <row r="3757" spans="1:9" x14ac:dyDescent="0.35">
      <c r="A3757" s="3">
        <v>42432</v>
      </c>
      <c r="B3757" s="1" t="s">
        <v>2474</v>
      </c>
      <c r="C3757" s="1" t="s">
        <v>2627</v>
      </c>
      <c r="D3757" s="1" t="s">
        <v>52</v>
      </c>
      <c r="E3757" s="1" t="s">
        <v>44</v>
      </c>
      <c r="F3757" s="2" t="s">
        <v>1408</v>
      </c>
      <c r="G3757" s="1">
        <v>42.783999999999999</v>
      </c>
      <c r="H3757" s="1">
        <v>7</v>
      </c>
      <c r="I3757" s="1">
        <v>15.5092</v>
      </c>
    </row>
    <row r="3758" spans="1:9" x14ac:dyDescent="0.35">
      <c r="A3758" s="3">
        <v>42432</v>
      </c>
      <c r="B3758" s="1" t="s">
        <v>2474</v>
      </c>
      <c r="C3758" s="1" t="s">
        <v>2627</v>
      </c>
      <c r="D3758" s="1" t="s">
        <v>52</v>
      </c>
      <c r="E3758" s="1" t="s">
        <v>14</v>
      </c>
      <c r="F3758" s="2" t="s">
        <v>2628</v>
      </c>
      <c r="G3758" s="1">
        <v>563.42999999999995</v>
      </c>
      <c r="H3758" s="1">
        <v>5</v>
      </c>
      <c r="I3758" s="1">
        <v>-56.343000000000004</v>
      </c>
    </row>
    <row r="3759" spans="1:9" x14ac:dyDescent="0.35">
      <c r="A3759" s="3" t="s">
        <v>3444</v>
      </c>
      <c r="B3759" s="1" t="s">
        <v>227</v>
      </c>
      <c r="C3759" s="1" t="s">
        <v>303</v>
      </c>
      <c r="D3759" s="1" t="s">
        <v>250</v>
      </c>
      <c r="E3759" s="1" t="s">
        <v>31</v>
      </c>
      <c r="F3759" s="2" t="s">
        <v>2496</v>
      </c>
      <c r="G3759" s="1">
        <v>111.104</v>
      </c>
      <c r="H3759" s="1">
        <v>7</v>
      </c>
      <c r="I3759" s="1">
        <v>8.3328000000000007</v>
      </c>
    </row>
    <row r="3760" spans="1:9" x14ac:dyDescent="0.35">
      <c r="A3760" s="3" t="s">
        <v>3441</v>
      </c>
      <c r="B3760" s="1" t="s">
        <v>1226</v>
      </c>
      <c r="C3760" s="1" t="s">
        <v>17</v>
      </c>
      <c r="D3760" s="1" t="s">
        <v>18</v>
      </c>
      <c r="E3760" s="1" t="s">
        <v>31</v>
      </c>
      <c r="F3760" s="2" t="s">
        <v>481</v>
      </c>
      <c r="G3760" s="1">
        <v>11.68</v>
      </c>
      <c r="H3760" s="1">
        <v>2</v>
      </c>
      <c r="I3760" s="1">
        <v>5.4896000000000003</v>
      </c>
    </row>
    <row r="3761" spans="1:9" x14ac:dyDescent="0.35">
      <c r="A3761" s="3" t="s">
        <v>3441</v>
      </c>
      <c r="B3761" s="1" t="s">
        <v>1226</v>
      </c>
      <c r="C3761" s="1" t="s">
        <v>17</v>
      </c>
      <c r="D3761" s="1" t="s">
        <v>18</v>
      </c>
      <c r="E3761" s="1" t="s">
        <v>289</v>
      </c>
      <c r="F3761" s="2" t="s">
        <v>2610</v>
      </c>
      <c r="G3761" s="1">
        <v>16.899999999999999</v>
      </c>
      <c r="H3761" s="1">
        <v>2</v>
      </c>
      <c r="I3761" s="1">
        <v>5.07</v>
      </c>
    </row>
    <row r="3762" spans="1:9" x14ac:dyDescent="0.35">
      <c r="A3762" s="3" t="s">
        <v>3441</v>
      </c>
      <c r="B3762" s="1" t="s">
        <v>1226</v>
      </c>
      <c r="C3762" s="1" t="s">
        <v>17</v>
      </c>
      <c r="D3762" s="1" t="s">
        <v>18</v>
      </c>
      <c r="E3762" s="1" t="s">
        <v>29</v>
      </c>
      <c r="F3762" s="2" t="s">
        <v>1871</v>
      </c>
      <c r="G3762" s="1">
        <v>24.4</v>
      </c>
      <c r="H3762" s="1">
        <v>2</v>
      </c>
      <c r="I3762" s="1">
        <v>10.247999999999999</v>
      </c>
    </row>
    <row r="3763" spans="1:9" x14ac:dyDescent="0.35">
      <c r="A3763" s="3">
        <v>43074</v>
      </c>
      <c r="B3763" s="1" t="s">
        <v>921</v>
      </c>
      <c r="C3763" s="1" t="s">
        <v>1739</v>
      </c>
      <c r="D3763" s="1" t="s">
        <v>592</v>
      </c>
      <c r="E3763" s="1" t="s">
        <v>44</v>
      </c>
      <c r="F3763" s="2" t="s">
        <v>2177</v>
      </c>
      <c r="G3763" s="1">
        <v>87.6</v>
      </c>
      <c r="H3763" s="1">
        <v>5</v>
      </c>
      <c r="I3763" s="1">
        <v>42.048000000000002</v>
      </c>
    </row>
    <row r="3764" spans="1:9" x14ac:dyDescent="0.35">
      <c r="A3764" s="3" t="s">
        <v>3445</v>
      </c>
      <c r="B3764" s="1" t="s">
        <v>1366</v>
      </c>
      <c r="C3764" s="1" t="s">
        <v>2629</v>
      </c>
      <c r="D3764" s="1" t="s">
        <v>57</v>
      </c>
      <c r="E3764" s="1" t="s">
        <v>12</v>
      </c>
      <c r="F3764" s="2" t="s">
        <v>780</v>
      </c>
      <c r="G3764" s="1">
        <v>241.96</v>
      </c>
      <c r="H3764" s="1">
        <v>2</v>
      </c>
      <c r="I3764" s="1">
        <v>24.196000000000002</v>
      </c>
    </row>
    <row r="3765" spans="1:9" x14ac:dyDescent="0.35">
      <c r="A3765" s="3" t="s">
        <v>3445</v>
      </c>
      <c r="B3765" s="1" t="s">
        <v>1366</v>
      </c>
      <c r="C3765" s="1" t="s">
        <v>2629</v>
      </c>
      <c r="D3765" s="1" t="s">
        <v>57</v>
      </c>
      <c r="E3765" s="1" t="s">
        <v>35</v>
      </c>
      <c r="F3765" s="2" t="s">
        <v>1362</v>
      </c>
      <c r="G3765" s="1">
        <v>8.52</v>
      </c>
      <c r="H3765" s="1">
        <v>3</v>
      </c>
      <c r="I3765" s="1">
        <v>4.1748000000000003</v>
      </c>
    </row>
    <row r="3766" spans="1:9" x14ac:dyDescent="0.35">
      <c r="A3766" s="3" t="s">
        <v>3446</v>
      </c>
      <c r="B3766" s="1" t="s">
        <v>2380</v>
      </c>
      <c r="C3766" s="1" t="s">
        <v>154</v>
      </c>
      <c r="D3766" s="1" t="s">
        <v>106</v>
      </c>
      <c r="E3766" s="1" t="s">
        <v>35</v>
      </c>
      <c r="F3766" s="2" t="s">
        <v>224</v>
      </c>
      <c r="G3766" s="1">
        <v>1.788</v>
      </c>
      <c r="H3766" s="1">
        <v>3</v>
      </c>
      <c r="I3766" s="1">
        <v>-3.0396000000000001</v>
      </c>
    </row>
    <row r="3767" spans="1:9" x14ac:dyDescent="0.35">
      <c r="A3767" s="3" t="s">
        <v>3347</v>
      </c>
      <c r="B3767" s="1" t="s">
        <v>2450</v>
      </c>
      <c r="C3767" s="1" t="s">
        <v>93</v>
      </c>
      <c r="D3767" s="1" t="s">
        <v>52</v>
      </c>
      <c r="E3767" s="1" t="s">
        <v>24</v>
      </c>
      <c r="F3767" s="2" t="s">
        <v>1945</v>
      </c>
      <c r="G3767" s="1">
        <v>99.372</v>
      </c>
      <c r="H3767" s="1">
        <v>2</v>
      </c>
      <c r="I3767" s="1">
        <v>-1.4196</v>
      </c>
    </row>
    <row r="3768" spans="1:9" x14ac:dyDescent="0.35">
      <c r="A3768" s="3" t="s">
        <v>3347</v>
      </c>
      <c r="B3768" s="1" t="s">
        <v>2450</v>
      </c>
      <c r="C3768" s="1" t="s">
        <v>93</v>
      </c>
      <c r="D3768" s="1" t="s">
        <v>52</v>
      </c>
      <c r="E3768" s="1" t="s">
        <v>31</v>
      </c>
      <c r="F3768" s="2" t="s">
        <v>147</v>
      </c>
      <c r="G3768" s="1">
        <v>1.3440000000000001</v>
      </c>
      <c r="H3768" s="1">
        <v>1</v>
      </c>
      <c r="I3768" s="1">
        <v>0.504</v>
      </c>
    </row>
    <row r="3769" spans="1:9" x14ac:dyDescent="0.35">
      <c r="A3769" s="3">
        <v>42228</v>
      </c>
      <c r="B3769" s="1" t="s">
        <v>1255</v>
      </c>
      <c r="C3769" s="1" t="s">
        <v>93</v>
      </c>
      <c r="D3769" s="1" t="s">
        <v>52</v>
      </c>
      <c r="E3769" s="1" t="s">
        <v>33</v>
      </c>
      <c r="F3769" s="2" t="s">
        <v>364</v>
      </c>
      <c r="G3769" s="1">
        <v>119.96</v>
      </c>
      <c r="H3769" s="1">
        <v>5</v>
      </c>
      <c r="I3769" s="1">
        <v>11.996</v>
      </c>
    </row>
    <row r="3770" spans="1:9" x14ac:dyDescent="0.35">
      <c r="A3770" s="3" t="s">
        <v>3210</v>
      </c>
      <c r="B3770" s="1" t="s">
        <v>68</v>
      </c>
      <c r="C3770" s="1" t="s">
        <v>1055</v>
      </c>
      <c r="D3770" s="1" t="s">
        <v>23</v>
      </c>
      <c r="E3770" s="1" t="s">
        <v>14</v>
      </c>
      <c r="F3770" s="2" t="s">
        <v>1925</v>
      </c>
      <c r="G3770" s="1">
        <v>1013.832</v>
      </c>
      <c r="H3770" s="1">
        <v>9</v>
      </c>
      <c r="I3770" s="1">
        <v>101.3832</v>
      </c>
    </row>
    <row r="3771" spans="1:9" x14ac:dyDescent="0.35">
      <c r="A3771" s="3" t="s">
        <v>3210</v>
      </c>
      <c r="B3771" s="1" t="s">
        <v>68</v>
      </c>
      <c r="C3771" s="1" t="s">
        <v>1055</v>
      </c>
      <c r="D3771" s="1" t="s">
        <v>23</v>
      </c>
      <c r="E3771" s="1" t="s">
        <v>137</v>
      </c>
      <c r="F3771" s="2" t="s">
        <v>585</v>
      </c>
      <c r="G3771" s="1">
        <v>1.984</v>
      </c>
      <c r="H3771" s="1">
        <v>2</v>
      </c>
      <c r="I3771" s="1">
        <v>0.66959999999999997</v>
      </c>
    </row>
    <row r="3772" spans="1:9" x14ac:dyDescent="0.35">
      <c r="A3772" s="3" t="s">
        <v>3447</v>
      </c>
      <c r="B3772" s="1" t="s">
        <v>1372</v>
      </c>
      <c r="C3772" s="1" t="s">
        <v>64</v>
      </c>
      <c r="D3772" s="1" t="s">
        <v>18</v>
      </c>
      <c r="E3772" s="1" t="s">
        <v>24</v>
      </c>
      <c r="F3772" s="2" t="s">
        <v>877</v>
      </c>
      <c r="G3772" s="1">
        <v>2003.52</v>
      </c>
      <c r="H3772" s="1">
        <v>6</v>
      </c>
      <c r="I3772" s="1">
        <v>-325.572</v>
      </c>
    </row>
    <row r="3773" spans="1:9" x14ac:dyDescent="0.35">
      <c r="A3773" s="3">
        <v>42709</v>
      </c>
      <c r="B3773" s="1" t="s">
        <v>1855</v>
      </c>
      <c r="C3773" s="1" t="s">
        <v>74</v>
      </c>
      <c r="D3773" s="1" t="s">
        <v>75</v>
      </c>
      <c r="E3773" s="1" t="s">
        <v>26</v>
      </c>
      <c r="F3773" s="2" t="s">
        <v>467</v>
      </c>
      <c r="G3773" s="1">
        <v>82.367999999999995</v>
      </c>
      <c r="H3773" s="1">
        <v>2</v>
      </c>
      <c r="I3773" s="1">
        <v>-19.5624</v>
      </c>
    </row>
    <row r="3774" spans="1:9" x14ac:dyDescent="0.35">
      <c r="A3774" s="3">
        <v>41798</v>
      </c>
      <c r="B3774" s="1" t="s">
        <v>1079</v>
      </c>
      <c r="C3774" s="1" t="s">
        <v>193</v>
      </c>
      <c r="D3774" s="1" t="s">
        <v>194</v>
      </c>
      <c r="E3774" s="1" t="s">
        <v>81</v>
      </c>
      <c r="F3774" s="2" t="s">
        <v>1537</v>
      </c>
      <c r="G3774" s="1">
        <v>62.91</v>
      </c>
      <c r="H3774" s="1">
        <v>3</v>
      </c>
      <c r="I3774" s="1">
        <v>22.647600000000001</v>
      </c>
    </row>
    <row r="3775" spans="1:9" x14ac:dyDescent="0.35">
      <c r="A3775" s="3">
        <v>41947</v>
      </c>
      <c r="B3775" s="1" t="s">
        <v>1029</v>
      </c>
      <c r="C3775" s="1" t="s">
        <v>672</v>
      </c>
      <c r="D3775" s="1" t="s">
        <v>23</v>
      </c>
      <c r="E3775" s="1" t="s">
        <v>137</v>
      </c>
      <c r="F3775" s="2" t="s">
        <v>2630</v>
      </c>
      <c r="G3775" s="1">
        <v>6.9119999999999999</v>
      </c>
      <c r="H3775" s="1">
        <v>3</v>
      </c>
      <c r="I3775" s="1">
        <v>2.3328000000000002</v>
      </c>
    </row>
    <row r="3776" spans="1:9" x14ac:dyDescent="0.35">
      <c r="A3776" s="3">
        <v>41947</v>
      </c>
      <c r="B3776" s="1" t="s">
        <v>1029</v>
      </c>
      <c r="C3776" s="1" t="s">
        <v>672</v>
      </c>
      <c r="D3776" s="1" t="s">
        <v>23</v>
      </c>
      <c r="E3776" s="1" t="s">
        <v>81</v>
      </c>
      <c r="F3776" s="2" t="s">
        <v>515</v>
      </c>
      <c r="G3776" s="1">
        <v>383.976</v>
      </c>
      <c r="H3776" s="1">
        <v>3</v>
      </c>
      <c r="I3776" s="1">
        <v>81.594899999999996</v>
      </c>
    </row>
    <row r="3777" spans="1:9" x14ac:dyDescent="0.35">
      <c r="A3777" s="3">
        <v>41947</v>
      </c>
      <c r="B3777" s="1" t="s">
        <v>1029</v>
      </c>
      <c r="C3777" s="1" t="s">
        <v>672</v>
      </c>
      <c r="D3777" s="1" t="s">
        <v>23</v>
      </c>
      <c r="E3777" s="1" t="s">
        <v>44</v>
      </c>
      <c r="F3777" s="2" t="s">
        <v>1389</v>
      </c>
      <c r="G3777" s="1">
        <v>10.368</v>
      </c>
      <c r="H3777" s="1">
        <v>2</v>
      </c>
      <c r="I3777" s="1">
        <v>3.6288</v>
      </c>
    </row>
    <row r="3778" spans="1:9" x14ac:dyDescent="0.35">
      <c r="A3778" s="3">
        <v>41947</v>
      </c>
      <c r="B3778" s="1" t="s">
        <v>1029</v>
      </c>
      <c r="C3778" s="1" t="s">
        <v>672</v>
      </c>
      <c r="D3778" s="1" t="s">
        <v>23</v>
      </c>
      <c r="E3778" s="1" t="s">
        <v>81</v>
      </c>
      <c r="F3778" s="2" t="s">
        <v>2631</v>
      </c>
      <c r="G3778" s="1">
        <v>335.94400000000002</v>
      </c>
      <c r="H3778" s="1">
        <v>7</v>
      </c>
      <c r="I3778" s="1">
        <v>41.993000000000002</v>
      </c>
    </row>
    <row r="3779" spans="1:9" x14ac:dyDescent="0.35">
      <c r="A3779" s="3">
        <v>42068</v>
      </c>
      <c r="B3779" s="1" t="s">
        <v>2433</v>
      </c>
      <c r="C3779" s="1" t="s">
        <v>2632</v>
      </c>
      <c r="D3779" s="1" t="s">
        <v>18</v>
      </c>
      <c r="E3779" s="1" t="s">
        <v>29</v>
      </c>
      <c r="F3779" s="2" t="s">
        <v>2187</v>
      </c>
      <c r="G3779" s="1">
        <v>665.88</v>
      </c>
      <c r="H3779" s="1">
        <v>6</v>
      </c>
      <c r="I3779" s="1">
        <v>106.5408</v>
      </c>
    </row>
    <row r="3780" spans="1:9" x14ac:dyDescent="0.35">
      <c r="A3780" s="3" t="s">
        <v>3329</v>
      </c>
      <c r="B3780" s="1" t="s">
        <v>214</v>
      </c>
      <c r="C3780" s="1" t="s">
        <v>672</v>
      </c>
      <c r="D3780" s="1" t="s">
        <v>23</v>
      </c>
      <c r="E3780" s="1" t="s">
        <v>33</v>
      </c>
      <c r="F3780" s="2" t="s">
        <v>1665</v>
      </c>
      <c r="G3780" s="1">
        <v>71.975999999999999</v>
      </c>
      <c r="H3780" s="1">
        <v>3</v>
      </c>
      <c r="I3780" s="1">
        <v>8.9969999999999999</v>
      </c>
    </row>
    <row r="3781" spans="1:9" x14ac:dyDescent="0.35">
      <c r="A3781" s="3" t="s">
        <v>3448</v>
      </c>
      <c r="B3781" s="1" t="s">
        <v>671</v>
      </c>
      <c r="C3781" s="1" t="s">
        <v>135</v>
      </c>
      <c r="D3781" s="1" t="s">
        <v>136</v>
      </c>
      <c r="E3781" s="1" t="s">
        <v>44</v>
      </c>
      <c r="F3781" s="2" t="s">
        <v>768</v>
      </c>
      <c r="G3781" s="1">
        <v>37.94</v>
      </c>
      <c r="H3781" s="1">
        <v>2</v>
      </c>
      <c r="I3781" s="1">
        <v>18.211200000000002</v>
      </c>
    </row>
    <row r="3782" spans="1:9" x14ac:dyDescent="0.35">
      <c r="A3782" s="3" t="s">
        <v>3449</v>
      </c>
      <c r="B3782" s="1" t="s">
        <v>2019</v>
      </c>
      <c r="C3782" s="1" t="s">
        <v>2633</v>
      </c>
      <c r="D3782" s="1" t="s">
        <v>1891</v>
      </c>
      <c r="E3782" s="1" t="s">
        <v>33</v>
      </c>
      <c r="F3782" s="2" t="s">
        <v>1804</v>
      </c>
      <c r="G3782" s="1">
        <v>273.95999999999998</v>
      </c>
      <c r="H3782" s="1">
        <v>2</v>
      </c>
      <c r="I3782" s="1">
        <v>10.958399999999999</v>
      </c>
    </row>
    <row r="3783" spans="1:9" x14ac:dyDescent="0.35">
      <c r="A3783" s="3">
        <v>42254</v>
      </c>
      <c r="B3783" s="1" t="s">
        <v>1569</v>
      </c>
      <c r="C3783" s="1" t="s">
        <v>74</v>
      </c>
      <c r="D3783" s="1" t="s">
        <v>75</v>
      </c>
      <c r="E3783" s="1" t="s">
        <v>33</v>
      </c>
      <c r="F3783" s="2" t="s">
        <v>2206</v>
      </c>
      <c r="G3783" s="1">
        <v>269.98200000000003</v>
      </c>
      <c r="H3783" s="1">
        <v>3</v>
      </c>
      <c r="I3783" s="1">
        <v>40.497300000000003</v>
      </c>
    </row>
    <row r="3784" spans="1:9" x14ac:dyDescent="0.35">
      <c r="A3784" s="3" t="s">
        <v>3165</v>
      </c>
      <c r="B3784" s="1" t="s">
        <v>1582</v>
      </c>
      <c r="C3784" s="1" t="s">
        <v>170</v>
      </c>
      <c r="D3784" s="1" t="s">
        <v>171</v>
      </c>
      <c r="E3784" s="1" t="s">
        <v>44</v>
      </c>
      <c r="F3784" s="2" t="s">
        <v>1846</v>
      </c>
      <c r="G3784" s="1">
        <v>8.9039999999999999</v>
      </c>
      <c r="H3784" s="1">
        <v>3</v>
      </c>
      <c r="I3784" s="1">
        <v>3.339</v>
      </c>
    </row>
    <row r="3785" spans="1:9" x14ac:dyDescent="0.35">
      <c r="A3785" s="3" t="s">
        <v>3165</v>
      </c>
      <c r="B3785" s="1" t="s">
        <v>1582</v>
      </c>
      <c r="C3785" s="1" t="s">
        <v>170</v>
      </c>
      <c r="D3785" s="1" t="s">
        <v>171</v>
      </c>
      <c r="E3785" s="1" t="s">
        <v>26</v>
      </c>
      <c r="F3785" s="2" t="s">
        <v>1519</v>
      </c>
      <c r="G3785" s="1">
        <v>720.06399999999996</v>
      </c>
      <c r="H3785" s="1">
        <v>4</v>
      </c>
      <c r="I3785" s="1">
        <v>-63.005600000000001</v>
      </c>
    </row>
    <row r="3786" spans="1:9" x14ac:dyDescent="0.35">
      <c r="A3786" s="3" t="s">
        <v>3450</v>
      </c>
      <c r="B3786" s="1" t="s">
        <v>987</v>
      </c>
      <c r="C3786" s="1" t="s">
        <v>22</v>
      </c>
      <c r="D3786" s="1" t="s">
        <v>23</v>
      </c>
      <c r="E3786" s="1" t="s">
        <v>81</v>
      </c>
      <c r="F3786" s="2" t="s">
        <v>1858</v>
      </c>
      <c r="G3786" s="1">
        <v>41.423999999999999</v>
      </c>
      <c r="H3786" s="1">
        <v>2</v>
      </c>
      <c r="I3786" s="1">
        <v>8.2848000000000006</v>
      </c>
    </row>
    <row r="3787" spans="1:9" x14ac:dyDescent="0.35">
      <c r="A3787" s="3" t="s">
        <v>3451</v>
      </c>
      <c r="B3787" s="1" t="s">
        <v>1555</v>
      </c>
      <c r="C3787" s="1" t="s">
        <v>249</v>
      </c>
      <c r="D3787" s="1" t="s">
        <v>250</v>
      </c>
      <c r="E3787" s="1" t="s">
        <v>35</v>
      </c>
      <c r="F3787" s="2" t="s">
        <v>2634</v>
      </c>
      <c r="G3787" s="1">
        <v>3.1320000000000001</v>
      </c>
      <c r="H3787" s="1">
        <v>2</v>
      </c>
      <c r="I3787" s="1">
        <v>-2.61</v>
      </c>
    </row>
    <row r="3788" spans="1:9" x14ac:dyDescent="0.35">
      <c r="A3788" s="3" t="s">
        <v>3452</v>
      </c>
      <c r="B3788" s="1" t="s">
        <v>291</v>
      </c>
      <c r="C3788" s="1" t="s">
        <v>17</v>
      </c>
      <c r="D3788" s="1" t="s">
        <v>18</v>
      </c>
      <c r="E3788" s="1" t="s">
        <v>26</v>
      </c>
      <c r="F3788" s="2" t="s">
        <v>2408</v>
      </c>
      <c r="G3788" s="1">
        <v>1085.42</v>
      </c>
      <c r="H3788" s="1">
        <v>7</v>
      </c>
      <c r="I3788" s="1">
        <v>282.20920000000001</v>
      </c>
    </row>
    <row r="3789" spans="1:9" x14ac:dyDescent="0.35">
      <c r="A3789" s="3">
        <v>42469</v>
      </c>
      <c r="B3789" s="1" t="s">
        <v>2090</v>
      </c>
      <c r="C3789" s="1" t="s">
        <v>93</v>
      </c>
      <c r="D3789" s="1" t="s">
        <v>52</v>
      </c>
      <c r="E3789" s="1" t="s">
        <v>31</v>
      </c>
      <c r="F3789" s="2" t="s">
        <v>541</v>
      </c>
      <c r="G3789" s="1">
        <v>3.9119999999999999</v>
      </c>
      <c r="H3789" s="1">
        <v>1</v>
      </c>
      <c r="I3789" s="1">
        <v>1.0268999999999999</v>
      </c>
    </row>
    <row r="3790" spans="1:9" x14ac:dyDescent="0.35">
      <c r="A3790" s="3">
        <v>42469</v>
      </c>
      <c r="B3790" s="1" t="s">
        <v>2090</v>
      </c>
      <c r="C3790" s="1" t="s">
        <v>93</v>
      </c>
      <c r="D3790" s="1" t="s">
        <v>52</v>
      </c>
      <c r="E3790" s="1" t="s">
        <v>31</v>
      </c>
      <c r="F3790" s="2" t="s">
        <v>1783</v>
      </c>
      <c r="G3790" s="1">
        <v>62.375999999999998</v>
      </c>
      <c r="H3790" s="1">
        <v>3</v>
      </c>
      <c r="I3790" s="1">
        <v>7.0172999999999996</v>
      </c>
    </row>
    <row r="3791" spans="1:9" x14ac:dyDescent="0.35">
      <c r="A3791" s="3" t="s">
        <v>3219</v>
      </c>
      <c r="B3791" s="1" t="s">
        <v>2461</v>
      </c>
      <c r="C3791" s="1" t="s">
        <v>1138</v>
      </c>
      <c r="D3791" s="1" t="s">
        <v>70</v>
      </c>
      <c r="E3791" s="1" t="s">
        <v>137</v>
      </c>
      <c r="F3791" s="2" t="s">
        <v>409</v>
      </c>
      <c r="G3791" s="1">
        <v>29.05</v>
      </c>
      <c r="H3791" s="1">
        <v>5</v>
      </c>
      <c r="I3791" s="1">
        <v>9.0054999999999996</v>
      </c>
    </row>
    <row r="3792" spans="1:9" x14ac:dyDescent="0.35">
      <c r="A3792" s="3">
        <v>41766</v>
      </c>
      <c r="B3792" s="1" t="s">
        <v>1777</v>
      </c>
      <c r="C3792" s="1" t="s">
        <v>17</v>
      </c>
      <c r="D3792" s="1" t="s">
        <v>18</v>
      </c>
      <c r="E3792" s="1" t="s">
        <v>35</v>
      </c>
      <c r="F3792" s="2" t="s">
        <v>805</v>
      </c>
      <c r="G3792" s="1">
        <v>180.96</v>
      </c>
      <c r="H3792" s="1">
        <v>6</v>
      </c>
      <c r="I3792" s="1">
        <v>67.86</v>
      </c>
    </row>
    <row r="3793" spans="1:9" x14ac:dyDescent="0.35">
      <c r="A3793" s="3" t="s">
        <v>3453</v>
      </c>
      <c r="B3793" s="1" t="s">
        <v>1385</v>
      </c>
      <c r="C3793" s="1" t="s">
        <v>2635</v>
      </c>
      <c r="D3793" s="1" t="s">
        <v>75</v>
      </c>
      <c r="E3793" s="1" t="s">
        <v>35</v>
      </c>
      <c r="F3793" s="2" t="s">
        <v>390</v>
      </c>
      <c r="G3793" s="1">
        <v>4.4189999999999996</v>
      </c>
      <c r="H3793" s="1">
        <v>3</v>
      </c>
      <c r="I3793" s="1">
        <v>-3.3879000000000001</v>
      </c>
    </row>
    <row r="3794" spans="1:9" x14ac:dyDescent="0.35">
      <c r="A3794" s="3" t="s">
        <v>3453</v>
      </c>
      <c r="B3794" s="1" t="s">
        <v>1385</v>
      </c>
      <c r="C3794" s="1" t="s">
        <v>2635</v>
      </c>
      <c r="D3794" s="1" t="s">
        <v>75</v>
      </c>
      <c r="E3794" s="1" t="s">
        <v>31</v>
      </c>
      <c r="F3794" s="2" t="s">
        <v>2005</v>
      </c>
      <c r="G3794" s="1">
        <v>16.032</v>
      </c>
      <c r="H3794" s="1">
        <v>6</v>
      </c>
      <c r="I3794" s="1">
        <v>2.2044000000000001</v>
      </c>
    </row>
    <row r="3795" spans="1:9" x14ac:dyDescent="0.35">
      <c r="A3795" s="3" t="s">
        <v>3327</v>
      </c>
      <c r="B3795" s="1" t="s">
        <v>770</v>
      </c>
      <c r="C3795" s="1" t="s">
        <v>135</v>
      </c>
      <c r="D3795" s="1" t="s">
        <v>136</v>
      </c>
      <c r="E3795" s="1" t="s">
        <v>31</v>
      </c>
      <c r="F3795" s="2" t="s">
        <v>1790</v>
      </c>
      <c r="G3795" s="1">
        <v>29.79</v>
      </c>
      <c r="H3795" s="1">
        <v>3</v>
      </c>
      <c r="I3795" s="1">
        <v>12.511799999999999</v>
      </c>
    </row>
    <row r="3796" spans="1:9" x14ac:dyDescent="0.35">
      <c r="A3796" s="3" t="s">
        <v>3454</v>
      </c>
      <c r="B3796" s="1" t="s">
        <v>2636</v>
      </c>
      <c r="C3796" s="1" t="s">
        <v>461</v>
      </c>
      <c r="D3796" s="1" t="s">
        <v>18</v>
      </c>
      <c r="E3796" s="1" t="s">
        <v>26</v>
      </c>
      <c r="F3796" s="2" t="s">
        <v>2120</v>
      </c>
      <c r="G3796" s="1">
        <v>57.23</v>
      </c>
      <c r="H3796" s="1">
        <v>1</v>
      </c>
      <c r="I3796" s="1">
        <v>14.307499999999999</v>
      </c>
    </row>
    <row r="3797" spans="1:9" x14ac:dyDescent="0.35">
      <c r="A3797" s="3" t="s">
        <v>3454</v>
      </c>
      <c r="B3797" s="1" t="s">
        <v>2636</v>
      </c>
      <c r="C3797" s="1" t="s">
        <v>461</v>
      </c>
      <c r="D3797" s="1" t="s">
        <v>18</v>
      </c>
      <c r="E3797" s="1" t="s">
        <v>24</v>
      </c>
      <c r="F3797" s="2" t="s">
        <v>2637</v>
      </c>
      <c r="G3797" s="1">
        <v>333</v>
      </c>
      <c r="H3797" s="1">
        <v>3</v>
      </c>
      <c r="I3797" s="1">
        <v>-16.649999999999999</v>
      </c>
    </row>
    <row r="3798" spans="1:9" x14ac:dyDescent="0.35">
      <c r="A3798" s="3" t="s">
        <v>3454</v>
      </c>
      <c r="B3798" s="1" t="s">
        <v>2636</v>
      </c>
      <c r="C3798" s="1" t="s">
        <v>461</v>
      </c>
      <c r="D3798" s="1" t="s">
        <v>18</v>
      </c>
      <c r="E3798" s="1" t="s">
        <v>31</v>
      </c>
      <c r="F3798" s="2" t="s">
        <v>2638</v>
      </c>
      <c r="G3798" s="1">
        <v>36.44</v>
      </c>
      <c r="H3798" s="1">
        <v>4</v>
      </c>
      <c r="I3798" s="1">
        <v>12.0252</v>
      </c>
    </row>
    <row r="3799" spans="1:9" x14ac:dyDescent="0.35">
      <c r="A3799" s="3" t="s">
        <v>3348</v>
      </c>
      <c r="B3799" s="1" t="s">
        <v>2335</v>
      </c>
      <c r="C3799" s="1" t="s">
        <v>672</v>
      </c>
      <c r="D3799" s="1" t="s">
        <v>23</v>
      </c>
      <c r="E3799" s="1" t="s">
        <v>44</v>
      </c>
      <c r="F3799" s="2" t="s">
        <v>1152</v>
      </c>
      <c r="G3799" s="1">
        <v>251.64</v>
      </c>
      <c r="H3799" s="1">
        <v>3</v>
      </c>
      <c r="I3799" s="1">
        <v>88.073999999999998</v>
      </c>
    </row>
    <row r="3800" spans="1:9" x14ac:dyDescent="0.35">
      <c r="A3800" s="3">
        <v>42836</v>
      </c>
      <c r="B3800" s="1" t="s">
        <v>517</v>
      </c>
      <c r="C3800" s="1" t="s">
        <v>1874</v>
      </c>
      <c r="D3800" s="1" t="s">
        <v>43</v>
      </c>
      <c r="E3800" s="1" t="s">
        <v>24</v>
      </c>
      <c r="F3800" s="2" t="s">
        <v>584</v>
      </c>
      <c r="G3800" s="1">
        <v>523.76400000000001</v>
      </c>
      <c r="H3800" s="1">
        <v>3</v>
      </c>
      <c r="I3800" s="1">
        <v>-192.04679999999999</v>
      </c>
    </row>
    <row r="3801" spans="1:9" x14ac:dyDescent="0.35">
      <c r="A3801" s="3">
        <v>42836</v>
      </c>
      <c r="B3801" s="1" t="s">
        <v>517</v>
      </c>
      <c r="C3801" s="1" t="s">
        <v>1874</v>
      </c>
      <c r="D3801" s="1" t="s">
        <v>43</v>
      </c>
      <c r="E3801" s="1" t="s">
        <v>33</v>
      </c>
      <c r="F3801" s="2" t="s">
        <v>1978</v>
      </c>
      <c r="G3801" s="1">
        <v>1359.96</v>
      </c>
      <c r="H3801" s="1">
        <v>5</v>
      </c>
      <c r="I3801" s="1">
        <v>118.9965</v>
      </c>
    </row>
    <row r="3802" spans="1:9" x14ac:dyDescent="0.35">
      <c r="A3802" s="3" t="s">
        <v>3455</v>
      </c>
      <c r="B3802" s="1" t="s">
        <v>2639</v>
      </c>
      <c r="C3802" s="1" t="s">
        <v>719</v>
      </c>
      <c r="D3802" s="1" t="s">
        <v>43</v>
      </c>
      <c r="E3802" s="1" t="s">
        <v>14</v>
      </c>
      <c r="F3802" s="2" t="s">
        <v>2640</v>
      </c>
      <c r="G3802" s="1">
        <v>102.592</v>
      </c>
      <c r="H3802" s="1">
        <v>1</v>
      </c>
      <c r="I3802" s="1">
        <v>10.2592</v>
      </c>
    </row>
    <row r="3803" spans="1:9" x14ac:dyDescent="0.35">
      <c r="A3803" s="3" t="s">
        <v>3455</v>
      </c>
      <c r="B3803" s="1" t="s">
        <v>2639</v>
      </c>
      <c r="C3803" s="1" t="s">
        <v>719</v>
      </c>
      <c r="D3803" s="1" t="s">
        <v>43</v>
      </c>
      <c r="E3803" s="1" t="s">
        <v>81</v>
      </c>
      <c r="F3803" s="2" t="s">
        <v>1249</v>
      </c>
      <c r="G3803" s="1">
        <v>22.704000000000001</v>
      </c>
      <c r="H3803" s="1">
        <v>1</v>
      </c>
      <c r="I3803" s="1">
        <v>5.9598000000000004</v>
      </c>
    </row>
    <row r="3804" spans="1:9" x14ac:dyDescent="0.35">
      <c r="A3804" s="3" t="s">
        <v>3455</v>
      </c>
      <c r="B3804" s="1" t="s">
        <v>2639</v>
      </c>
      <c r="C3804" s="1" t="s">
        <v>719</v>
      </c>
      <c r="D3804" s="1" t="s">
        <v>43</v>
      </c>
      <c r="E3804" s="1" t="s">
        <v>44</v>
      </c>
      <c r="F3804" s="2" t="s">
        <v>2339</v>
      </c>
      <c r="G3804" s="1">
        <v>93.024000000000001</v>
      </c>
      <c r="H3804" s="1">
        <v>3</v>
      </c>
      <c r="I3804" s="1">
        <v>33.721200000000003</v>
      </c>
    </row>
    <row r="3805" spans="1:9" x14ac:dyDescent="0.35">
      <c r="A3805" s="3" t="s">
        <v>3455</v>
      </c>
      <c r="B3805" s="1" t="s">
        <v>2639</v>
      </c>
      <c r="C3805" s="1" t="s">
        <v>719</v>
      </c>
      <c r="D3805" s="1" t="s">
        <v>43</v>
      </c>
      <c r="E3805" s="1" t="s">
        <v>289</v>
      </c>
      <c r="F3805" s="2" t="s">
        <v>614</v>
      </c>
      <c r="G3805" s="1">
        <v>12.768000000000001</v>
      </c>
      <c r="H3805" s="1">
        <v>2</v>
      </c>
      <c r="I3805" s="1">
        <v>1.4363999999999999</v>
      </c>
    </row>
    <row r="3806" spans="1:9" x14ac:dyDescent="0.35">
      <c r="A3806" s="3" t="s">
        <v>3455</v>
      </c>
      <c r="B3806" s="1" t="s">
        <v>2639</v>
      </c>
      <c r="C3806" s="1" t="s">
        <v>719</v>
      </c>
      <c r="D3806" s="1" t="s">
        <v>43</v>
      </c>
      <c r="E3806" s="1" t="s">
        <v>87</v>
      </c>
      <c r="F3806" s="2" t="s">
        <v>840</v>
      </c>
      <c r="G3806" s="1">
        <v>35.008000000000003</v>
      </c>
      <c r="H3806" s="1">
        <v>4</v>
      </c>
      <c r="I3806" s="1">
        <v>13.128</v>
      </c>
    </row>
    <row r="3807" spans="1:9" x14ac:dyDescent="0.35">
      <c r="A3807" s="3" t="s">
        <v>3455</v>
      </c>
      <c r="B3807" s="1" t="s">
        <v>2639</v>
      </c>
      <c r="C3807" s="1" t="s">
        <v>719</v>
      </c>
      <c r="D3807" s="1" t="s">
        <v>43</v>
      </c>
      <c r="E3807" s="1" t="s">
        <v>44</v>
      </c>
      <c r="F3807" s="2" t="s">
        <v>280</v>
      </c>
      <c r="G3807" s="1">
        <v>39.152000000000001</v>
      </c>
      <c r="H3807" s="1">
        <v>1</v>
      </c>
      <c r="I3807" s="1">
        <v>14.682</v>
      </c>
    </row>
    <row r="3808" spans="1:9" x14ac:dyDescent="0.35">
      <c r="A3808" s="3">
        <v>42349</v>
      </c>
      <c r="B3808" s="1" t="s">
        <v>2562</v>
      </c>
      <c r="C3808" s="1" t="s">
        <v>2608</v>
      </c>
      <c r="D3808" s="1" t="s">
        <v>23</v>
      </c>
      <c r="E3808" s="1" t="s">
        <v>31</v>
      </c>
      <c r="F3808" s="2" t="s">
        <v>821</v>
      </c>
      <c r="G3808" s="1">
        <v>11.76</v>
      </c>
      <c r="H3808" s="1">
        <v>5</v>
      </c>
      <c r="I3808" s="1">
        <v>1.323</v>
      </c>
    </row>
    <row r="3809" spans="1:9" x14ac:dyDescent="0.35">
      <c r="A3809" s="3">
        <v>42349</v>
      </c>
      <c r="B3809" s="1" t="s">
        <v>2562</v>
      </c>
      <c r="C3809" s="1" t="s">
        <v>2608</v>
      </c>
      <c r="D3809" s="1" t="s">
        <v>23</v>
      </c>
      <c r="E3809" s="1" t="s">
        <v>35</v>
      </c>
      <c r="F3809" s="2" t="s">
        <v>117</v>
      </c>
      <c r="G3809" s="1">
        <v>5.2380000000000004</v>
      </c>
      <c r="H3809" s="1">
        <v>2</v>
      </c>
      <c r="I3809" s="1">
        <v>-4.0157999999999996</v>
      </c>
    </row>
    <row r="3810" spans="1:9" x14ac:dyDescent="0.35">
      <c r="A3810" s="3">
        <v>42349</v>
      </c>
      <c r="B3810" s="1" t="s">
        <v>2562</v>
      </c>
      <c r="C3810" s="1" t="s">
        <v>2608</v>
      </c>
      <c r="D3810" s="1" t="s">
        <v>23</v>
      </c>
      <c r="E3810" s="1" t="s">
        <v>35</v>
      </c>
      <c r="F3810" s="2" t="s">
        <v>2448</v>
      </c>
      <c r="G3810" s="1">
        <v>4.6619999999999999</v>
      </c>
      <c r="H3810" s="1">
        <v>3</v>
      </c>
      <c r="I3810" s="1">
        <v>-3.7296</v>
      </c>
    </row>
    <row r="3811" spans="1:9" x14ac:dyDescent="0.35">
      <c r="A3811" s="3">
        <v>42349</v>
      </c>
      <c r="B3811" s="1" t="s">
        <v>2562</v>
      </c>
      <c r="C3811" s="1" t="s">
        <v>2608</v>
      </c>
      <c r="D3811" s="1" t="s">
        <v>23</v>
      </c>
      <c r="E3811" s="1" t="s">
        <v>14</v>
      </c>
      <c r="F3811" s="2" t="s">
        <v>2641</v>
      </c>
      <c r="G3811" s="1">
        <v>523.91999999999996</v>
      </c>
      <c r="H3811" s="1">
        <v>5</v>
      </c>
      <c r="I3811" s="1">
        <v>-72.039000000000001</v>
      </c>
    </row>
    <row r="3812" spans="1:9" x14ac:dyDescent="0.35">
      <c r="A3812" s="3">
        <v>42349</v>
      </c>
      <c r="B3812" s="1" t="s">
        <v>2562</v>
      </c>
      <c r="C3812" s="1" t="s">
        <v>2608</v>
      </c>
      <c r="D3812" s="1" t="s">
        <v>23</v>
      </c>
      <c r="E3812" s="1" t="s">
        <v>33</v>
      </c>
      <c r="F3812" s="2" t="s">
        <v>1788</v>
      </c>
      <c r="G3812" s="1">
        <v>100.792</v>
      </c>
      <c r="H3812" s="1">
        <v>1</v>
      </c>
      <c r="I3812" s="1">
        <v>10.0792</v>
      </c>
    </row>
    <row r="3813" spans="1:9" x14ac:dyDescent="0.35">
      <c r="A3813" s="3">
        <v>42349</v>
      </c>
      <c r="B3813" s="1" t="s">
        <v>2562</v>
      </c>
      <c r="C3813" s="1" t="s">
        <v>2608</v>
      </c>
      <c r="D3813" s="1" t="s">
        <v>23</v>
      </c>
      <c r="E3813" s="1" t="s">
        <v>14</v>
      </c>
      <c r="F3813" s="2" t="s">
        <v>435</v>
      </c>
      <c r="G3813" s="1">
        <v>146.136</v>
      </c>
      <c r="H3813" s="1">
        <v>3</v>
      </c>
      <c r="I3813" s="1">
        <v>16.440300000000001</v>
      </c>
    </row>
    <row r="3814" spans="1:9" x14ac:dyDescent="0.35">
      <c r="A3814" s="3">
        <v>42858</v>
      </c>
      <c r="B3814" s="1" t="s">
        <v>55</v>
      </c>
      <c r="C3814" s="1" t="s">
        <v>1147</v>
      </c>
      <c r="D3814" s="1" t="s">
        <v>57</v>
      </c>
      <c r="E3814" s="1" t="s">
        <v>19</v>
      </c>
      <c r="F3814" s="2" t="s">
        <v>2642</v>
      </c>
      <c r="G3814" s="1">
        <v>25.06</v>
      </c>
      <c r="H3814" s="1">
        <v>2</v>
      </c>
      <c r="I3814" s="1">
        <v>11.7782</v>
      </c>
    </row>
    <row r="3815" spans="1:9" x14ac:dyDescent="0.35">
      <c r="A3815" s="3">
        <v>42135</v>
      </c>
      <c r="B3815" s="1" t="s">
        <v>646</v>
      </c>
      <c r="C3815" s="1" t="s">
        <v>626</v>
      </c>
      <c r="D3815" s="1" t="s">
        <v>106</v>
      </c>
      <c r="E3815" s="1" t="s">
        <v>19</v>
      </c>
      <c r="F3815" s="2" t="s">
        <v>1090</v>
      </c>
      <c r="G3815" s="1">
        <v>19.824000000000002</v>
      </c>
      <c r="H3815" s="1">
        <v>6</v>
      </c>
      <c r="I3815" s="1">
        <v>6.4428000000000001</v>
      </c>
    </row>
    <row r="3816" spans="1:9" x14ac:dyDescent="0.35">
      <c r="A3816" s="3">
        <v>42589</v>
      </c>
      <c r="B3816" s="1" t="s">
        <v>63</v>
      </c>
      <c r="C3816" s="1" t="s">
        <v>719</v>
      </c>
      <c r="D3816" s="1" t="s">
        <v>23</v>
      </c>
      <c r="E3816" s="1" t="s">
        <v>33</v>
      </c>
      <c r="F3816" s="2" t="s">
        <v>1937</v>
      </c>
      <c r="G3816" s="1">
        <v>823.96</v>
      </c>
      <c r="H3816" s="1">
        <v>5</v>
      </c>
      <c r="I3816" s="1">
        <v>51.497500000000002</v>
      </c>
    </row>
    <row r="3817" spans="1:9" x14ac:dyDescent="0.35">
      <c r="A3817" s="3">
        <v>42589</v>
      </c>
      <c r="B3817" s="1" t="s">
        <v>63</v>
      </c>
      <c r="C3817" s="1" t="s">
        <v>719</v>
      </c>
      <c r="D3817" s="1" t="s">
        <v>23</v>
      </c>
      <c r="E3817" s="1" t="s">
        <v>44</v>
      </c>
      <c r="F3817" s="2" t="s">
        <v>253</v>
      </c>
      <c r="G3817" s="1">
        <v>15.984</v>
      </c>
      <c r="H3817" s="1">
        <v>2</v>
      </c>
      <c r="I3817" s="1">
        <v>4.9950000000000001</v>
      </c>
    </row>
    <row r="3818" spans="1:9" x14ac:dyDescent="0.35">
      <c r="A3818" s="3" t="s">
        <v>3456</v>
      </c>
      <c r="B3818" s="1" t="s">
        <v>1802</v>
      </c>
      <c r="C3818" s="1" t="s">
        <v>1669</v>
      </c>
      <c r="D3818" s="1" t="s">
        <v>182</v>
      </c>
      <c r="E3818" s="1" t="s">
        <v>24</v>
      </c>
      <c r="F3818" s="2" t="s">
        <v>2287</v>
      </c>
      <c r="G3818" s="1">
        <v>801.96</v>
      </c>
      <c r="H3818" s="1">
        <v>2</v>
      </c>
      <c r="I3818" s="1">
        <v>200.49</v>
      </c>
    </row>
    <row r="3819" spans="1:9" x14ac:dyDescent="0.35">
      <c r="A3819" s="3" t="s">
        <v>3456</v>
      </c>
      <c r="B3819" s="1" t="s">
        <v>1802</v>
      </c>
      <c r="C3819" s="1" t="s">
        <v>1669</v>
      </c>
      <c r="D3819" s="1" t="s">
        <v>182</v>
      </c>
      <c r="E3819" s="1" t="s">
        <v>33</v>
      </c>
      <c r="F3819" s="2" t="s">
        <v>2374</v>
      </c>
      <c r="G3819" s="1">
        <v>59.97</v>
      </c>
      <c r="H3819" s="1">
        <v>3</v>
      </c>
      <c r="I3819" s="1">
        <v>0</v>
      </c>
    </row>
    <row r="3820" spans="1:9" x14ac:dyDescent="0.35">
      <c r="A3820" s="3" t="s">
        <v>3456</v>
      </c>
      <c r="B3820" s="1" t="s">
        <v>1802</v>
      </c>
      <c r="C3820" s="1" t="s">
        <v>1669</v>
      </c>
      <c r="D3820" s="1" t="s">
        <v>182</v>
      </c>
      <c r="E3820" s="1" t="s">
        <v>14</v>
      </c>
      <c r="F3820" s="2" t="s">
        <v>946</v>
      </c>
      <c r="G3820" s="1">
        <v>1056.8599999999999</v>
      </c>
      <c r="H3820" s="1">
        <v>7</v>
      </c>
      <c r="I3820" s="1">
        <v>306.48939999999999</v>
      </c>
    </row>
    <row r="3821" spans="1:9" x14ac:dyDescent="0.35">
      <c r="A3821" s="3">
        <v>42988</v>
      </c>
      <c r="B3821" s="1" t="s">
        <v>2403</v>
      </c>
      <c r="C3821" s="1" t="s">
        <v>135</v>
      </c>
      <c r="D3821" s="1" t="s">
        <v>136</v>
      </c>
      <c r="E3821" s="1" t="s">
        <v>35</v>
      </c>
      <c r="F3821" s="2" t="s">
        <v>1484</v>
      </c>
      <c r="G3821" s="1">
        <v>12.816000000000001</v>
      </c>
      <c r="H3821" s="1">
        <v>3</v>
      </c>
      <c r="I3821" s="1">
        <v>4.3254000000000001</v>
      </c>
    </row>
    <row r="3822" spans="1:9" x14ac:dyDescent="0.35">
      <c r="A3822" s="3">
        <v>42988</v>
      </c>
      <c r="B3822" s="1" t="s">
        <v>2403</v>
      </c>
      <c r="C3822" s="1" t="s">
        <v>135</v>
      </c>
      <c r="D3822" s="1" t="s">
        <v>136</v>
      </c>
      <c r="E3822" s="1" t="s">
        <v>12</v>
      </c>
      <c r="F3822" s="2" t="s">
        <v>2012</v>
      </c>
      <c r="G3822" s="1">
        <v>314.35199999999998</v>
      </c>
      <c r="H3822" s="1">
        <v>3</v>
      </c>
      <c r="I3822" s="1">
        <v>-15.717599999999999</v>
      </c>
    </row>
    <row r="3823" spans="1:9" x14ac:dyDescent="0.35">
      <c r="A3823" s="3">
        <v>42988</v>
      </c>
      <c r="B3823" s="1" t="s">
        <v>2403</v>
      </c>
      <c r="C3823" s="1" t="s">
        <v>135</v>
      </c>
      <c r="D3823" s="1" t="s">
        <v>136</v>
      </c>
      <c r="E3823" s="1" t="s">
        <v>44</v>
      </c>
      <c r="F3823" s="2" t="s">
        <v>2643</v>
      </c>
      <c r="G3823" s="1">
        <v>18.98</v>
      </c>
      <c r="H3823" s="1">
        <v>2</v>
      </c>
      <c r="I3823" s="1">
        <v>8.9206000000000003</v>
      </c>
    </row>
    <row r="3824" spans="1:9" x14ac:dyDescent="0.35">
      <c r="A3824" s="3">
        <v>42988</v>
      </c>
      <c r="B3824" s="1" t="s">
        <v>2403</v>
      </c>
      <c r="C3824" s="1" t="s">
        <v>135</v>
      </c>
      <c r="D3824" s="1" t="s">
        <v>136</v>
      </c>
      <c r="E3824" s="1" t="s">
        <v>35</v>
      </c>
      <c r="F3824" s="2" t="s">
        <v>2439</v>
      </c>
      <c r="G3824" s="1">
        <v>18.239999999999998</v>
      </c>
      <c r="H3824" s="1">
        <v>6</v>
      </c>
      <c r="I3824" s="1">
        <v>6.1559999999999997</v>
      </c>
    </row>
    <row r="3825" spans="1:9" x14ac:dyDescent="0.35">
      <c r="A3825" s="3" t="s">
        <v>3457</v>
      </c>
      <c r="B3825" s="1" t="s">
        <v>1873</v>
      </c>
      <c r="C3825" s="1" t="s">
        <v>135</v>
      </c>
      <c r="D3825" s="1" t="s">
        <v>136</v>
      </c>
      <c r="E3825" s="1" t="s">
        <v>26</v>
      </c>
      <c r="F3825" s="2" t="s">
        <v>970</v>
      </c>
      <c r="G3825" s="1">
        <v>991.2</v>
      </c>
      <c r="H3825" s="1">
        <v>6</v>
      </c>
      <c r="I3825" s="1">
        <v>257.71199999999999</v>
      </c>
    </row>
    <row r="3826" spans="1:9" x14ac:dyDescent="0.35">
      <c r="A3826" s="3" t="s">
        <v>3457</v>
      </c>
      <c r="B3826" s="1" t="s">
        <v>1873</v>
      </c>
      <c r="C3826" s="1" t="s">
        <v>135</v>
      </c>
      <c r="D3826" s="1" t="s">
        <v>136</v>
      </c>
      <c r="E3826" s="1" t="s">
        <v>579</v>
      </c>
      <c r="F3826" s="2" t="s">
        <v>2617</v>
      </c>
      <c r="G3826" s="1">
        <v>879.98400000000004</v>
      </c>
      <c r="H3826" s="1">
        <v>2</v>
      </c>
      <c r="I3826" s="1">
        <v>329.99400000000003</v>
      </c>
    </row>
    <row r="3827" spans="1:9" x14ac:dyDescent="0.35">
      <c r="A3827" s="3" t="s">
        <v>3457</v>
      </c>
      <c r="B3827" s="1" t="s">
        <v>1873</v>
      </c>
      <c r="C3827" s="1" t="s">
        <v>135</v>
      </c>
      <c r="D3827" s="1" t="s">
        <v>136</v>
      </c>
      <c r="E3827" s="1" t="s">
        <v>35</v>
      </c>
      <c r="F3827" s="2" t="s">
        <v>1292</v>
      </c>
      <c r="G3827" s="1">
        <v>12.96</v>
      </c>
      <c r="H3827" s="1">
        <v>9</v>
      </c>
      <c r="I3827" s="1">
        <v>4.5359999999999996</v>
      </c>
    </row>
    <row r="3828" spans="1:9" x14ac:dyDescent="0.35">
      <c r="A3828" s="3">
        <v>41830</v>
      </c>
      <c r="B3828" s="1" t="s">
        <v>771</v>
      </c>
      <c r="C3828" s="1" t="s">
        <v>399</v>
      </c>
      <c r="D3828" s="1" t="s">
        <v>52</v>
      </c>
      <c r="E3828" s="1" t="s">
        <v>26</v>
      </c>
      <c r="F3828" s="2" t="s">
        <v>464</v>
      </c>
      <c r="G3828" s="1">
        <v>107.44</v>
      </c>
      <c r="H3828" s="1">
        <v>10</v>
      </c>
      <c r="I3828" s="1">
        <v>10.744</v>
      </c>
    </row>
    <row r="3829" spans="1:9" x14ac:dyDescent="0.35">
      <c r="A3829" s="3">
        <v>42921</v>
      </c>
      <c r="B3829" s="1" t="s">
        <v>1648</v>
      </c>
      <c r="C3829" s="1" t="s">
        <v>429</v>
      </c>
      <c r="D3829" s="1" t="s">
        <v>120</v>
      </c>
      <c r="E3829" s="1" t="s">
        <v>14</v>
      </c>
      <c r="F3829" s="2" t="s">
        <v>544</v>
      </c>
      <c r="G3829" s="1">
        <v>1458.65</v>
      </c>
      <c r="H3829" s="1">
        <v>5</v>
      </c>
      <c r="I3829" s="1">
        <v>423.00850000000003</v>
      </c>
    </row>
    <row r="3830" spans="1:9" x14ac:dyDescent="0.35">
      <c r="A3830" s="3">
        <v>42921</v>
      </c>
      <c r="B3830" s="1" t="s">
        <v>1648</v>
      </c>
      <c r="C3830" s="1" t="s">
        <v>429</v>
      </c>
      <c r="D3830" s="1" t="s">
        <v>120</v>
      </c>
      <c r="E3830" s="1" t="s">
        <v>14</v>
      </c>
      <c r="F3830" s="2" t="s">
        <v>2305</v>
      </c>
      <c r="G3830" s="1">
        <v>26.64</v>
      </c>
      <c r="H3830" s="1">
        <v>1</v>
      </c>
      <c r="I3830" s="1">
        <v>7.4592000000000001</v>
      </c>
    </row>
    <row r="3831" spans="1:9" x14ac:dyDescent="0.35">
      <c r="A3831" s="3">
        <v>42921</v>
      </c>
      <c r="B3831" s="1" t="s">
        <v>1648</v>
      </c>
      <c r="C3831" s="1" t="s">
        <v>429</v>
      </c>
      <c r="D3831" s="1" t="s">
        <v>120</v>
      </c>
      <c r="E3831" s="1" t="s">
        <v>14</v>
      </c>
      <c r="F3831" s="2" t="s">
        <v>842</v>
      </c>
      <c r="G3831" s="1">
        <v>476.8</v>
      </c>
      <c r="H3831" s="1">
        <v>2</v>
      </c>
      <c r="I3831" s="1">
        <v>119.2</v>
      </c>
    </row>
    <row r="3832" spans="1:9" x14ac:dyDescent="0.35">
      <c r="A3832" s="3">
        <v>42921</v>
      </c>
      <c r="B3832" s="1" t="s">
        <v>1648</v>
      </c>
      <c r="C3832" s="1" t="s">
        <v>429</v>
      </c>
      <c r="D3832" s="1" t="s">
        <v>120</v>
      </c>
      <c r="E3832" s="1" t="s">
        <v>37</v>
      </c>
      <c r="F3832" s="2" t="s">
        <v>952</v>
      </c>
      <c r="G3832" s="1">
        <v>87.444000000000003</v>
      </c>
      <c r="H3832" s="1">
        <v>2</v>
      </c>
      <c r="I3832" s="1">
        <v>18.4604</v>
      </c>
    </row>
    <row r="3833" spans="1:9" x14ac:dyDescent="0.35">
      <c r="A3833" s="3" t="s">
        <v>3458</v>
      </c>
      <c r="B3833" s="1" t="s">
        <v>2644</v>
      </c>
      <c r="C3833" s="1" t="s">
        <v>123</v>
      </c>
      <c r="D3833" s="1" t="s">
        <v>124</v>
      </c>
      <c r="E3833" s="1" t="s">
        <v>29</v>
      </c>
      <c r="F3833" s="2" t="s">
        <v>2645</v>
      </c>
      <c r="G3833" s="1">
        <v>76.14</v>
      </c>
      <c r="H3833" s="1">
        <v>3</v>
      </c>
      <c r="I3833" s="1">
        <v>26.649000000000001</v>
      </c>
    </row>
    <row r="3834" spans="1:9" x14ac:dyDescent="0.35">
      <c r="A3834" s="3" t="s">
        <v>3458</v>
      </c>
      <c r="B3834" s="1" t="s">
        <v>2644</v>
      </c>
      <c r="C3834" s="1" t="s">
        <v>123</v>
      </c>
      <c r="D3834" s="1" t="s">
        <v>124</v>
      </c>
      <c r="E3834" s="1" t="s">
        <v>35</v>
      </c>
      <c r="F3834" s="2" t="s">
        <v>2030</v>
      </c>
      <c r="G3834" s="1">
        <v>19.96</v>
      </c>
      <c r="H3834" s="1">
        <v>2</v>
      </c>
      <c r="I3834" s="1">
        <v>9.3811999999999998</v>
      </c>
    </row>
    <row r="3835" spans="1:9" x14ac:dyDescent="0.35">
      <c r="A3835" s="3" t="s">
        <v>3459</v>
      </c>
      <c r="B3835" s="1" t="s">
        <v>1774</v>
      </c>
      <c r="C3835" s="1" t="s">
        <v>249</v>
      </c>
      <c r="D3835" s="1" t="s">
        <v>250</v>
      </c>
      <c r="E3835" s="1" t="s">
        <v>33</v>
      </c>
      <c r="F3835" s="2" t="s">
        <v>1297</v>
      </c>
      <c r="G3835" s="1">
        <v>1049.97</v>
      </c>
      <c r="H3835" s="1">
        <v>5</v>
      </c>
      <c r="I3835" s="1">
        <v>-209.994</v>
      </c>
    </row>
    <row r="3836" spans="1:9" x14ac:dyDescent="0.35">
      <c r="A3836" s="3" t="s">
        <v>3459</v>
      </c>
      <c r="B3836" s="1" t="s">
        <v>1774</v>
      </c>
      <c r="C3836" s="1" t="s">
        <v>249</v>
      </c>
      <c r="D3836" s="1" t="s">
        <v>250</v>
      </c>
      <c r="E3836" s="1" t="s">
        <v>14</v>
      </c>
      <c r="F3836" s="2" t="s">
        <v>1683</v>
      </c>
      <c r="G3836" s="1">
        <v>611.05799999999999</v>
      </c>
      <c r="H3836" s="1">
        <v>3</v>
      </c>
      <c r="I3836" s="1">
        <v>-34.9176</v>
      </c>
    </row>
    <row r="3837" spans="1:9" x14ac:dyDescent="0.35">
      <c r="A3837" s="3">
        <v>41855</v>
      </c>
      <c r="B3837" s="1" t="s">
        <v>1735</v>
      </c>
      <c r="C3837" s="1" t="s">
        <v>1682</v>
      </c>
      <c r="D3837" s="1" t="s">
        <v>158</v>
      </c>
      <c r="E3837" s="1" t="s">
        <v>137</v>
      </c>
      <c r="F3837" s="2" t="s">
        <v>1818</v>
      </c>
      <c r="G3837" s="1">
        <v>2.3679999999999999</v>
      </c>
      <c r="H3837" s="1">
        <v>2</v>
      </c>
      <c r="I3837" s="1">
        <v>0.82879999999999998</v>
      </c>
    </row>
    <row r="3838" spans="1:9" x14ac:dyDescent="0.35">
      <c r="A3838" s="3">
        <v>41855</v>
      </c>
      <c r="B3838" s="1" t="s">
        <v>1735</v>
      </c>
      <c r="C3838" s="1" t="s">
        <v>1682</v>
      </c>
      <c r="D3838" s="1" t="s">
        <v>158</v>
      </c>
      <c r="E3838" s="1" t="s">
        <v>44</v>
      </c>
      <c r="F3838" s="2" t="s">
        <v>2646</v>
      </c>
      <c r="G3838" s="1">
        <v>19.007999999999999</v>
      </c>
      <c r="H3838" s="1">
        <v>3</v>
      </c>
      <c r="I3838" s="1">
        <v>6.8903999999999996</v>
      </c>
    </row>
    <row r="3839" spans="1:9" x14ac:dyDescent="0.35">
      <c r="A3839" s="3" t="s">
        <v>3460</v>
      </c>
      <c r="B3839" s="1" t="s">
        <v>148</v>
      </c>
      <c r="C3839" s="1" t="s">
        <v>1719</v>
      </c>
      <c r="D3839" s="1" t="s">
        <v>659</v>
      </c>
      <c r="E3839" s="1" t="s">
        <v>33</v>
      </c>
      <c r="F3839" s="2" t="s">
        <v>783</v>
      </c>
      <c r="G3839" s="1">
        <v>911.98400000000004</v>
      </c>
      <c r="H3839" s="1">
        <v>2</v>
      </c>
      <c r="I3839" s="1">
        <v>113.998</v>
      </c>
    </row>
    <row r="3840" spans="1:9" x14ac:dyDescent="0.35">
      <c r="A3840" s="3" t="s">
        <v>3460</v>
      </c>
      <c r="B3840" s="1" t="s">
        <v>148</v>
      </c>
      <c r="C3840" s="1" t="s">
        <v>1719</v>
      </c>
      <c r="D3840" s="1" t="s">
        <v>659</v>
      </c>
      <c r="E3840" s="1" t="s">
        <v>14</v>
      </c>
      <c r="F3840" s="2" t="s">
        <v>570</v>
      </c>
      <c r="G3840" s="1">
        <v>674.35199999999998</v>
      </c>
      <c r="H3840" s="1">
        <v>3</v>
      </c>
      <c r="I3840" s="1">
        <v>-109.5822</v>
      </c>
    </row>
    <row r="3841" spans="1:9" x14ac:dyDescent="0.35">
      <c r="A3841" s="3" t="s">
        <v>3460</v>
      </c>
      <c r="B3841" s="1" t="s">
        <v>148</v>
      </c>
      <c r="C3841" s="1" t="s">
        <v>1719</v>
      </c>
      <c r="D3841" s="1" t="s">
        <v>659</v>
      </c>
      <c r="E3841" s="1" t="s">
        <v>29</v>
      </c>
      <c r="F3841" s="2" t="s">
        <v>1588</v>
      </c>
      <c r="G3841" s="1">
        <v>134.01</v>
      </c>
      <c r="H3841" s="1">
        <v>9</v>
      </c>
      <c r="I3841" s="1">
        <v>36.182699999999997</v>
      </c>
    </row>
    <row r="3842" spans="1:9" x14ac:dyDescent="0.35">
      <c r="A3842" s="3" t="s">
        <v>3460</v>
      </c>
      <c r="B3842" s="1" t="s">
        <v>148</v>
      </c>
      <c r="C3842" s="1" t="s">
        <v>1719</v>
      </c>
      <c r="D3842" s="1" t="s">
        <v>659</v>
      </c>
      <c r="E3842" s="1" t="s">
        <v>81</v>
      </c>
      <c r="F3842" s="2" t="s">
        <v>2647</v>
      </c>
      <c r="G3842" s="1">
        <v>170.97</v>
      </c>
      <c r="H3842" s="1">
        <v>3</v>
      </c>
      <c r="I3842" s="1">
        <v>70.097700000000003</v>
      </c>
    </row>
    <row r="3843" spans="1:9" x14ac:dyDescent="0.35">
      <c r="A3843" s="3">
        <v>41857</v>
      </c>
      <c r="B3843" s="1" t="s">
        <v>2648</v>
      </c>
      <c r="C3843" s="1" t="s">
        <v>258</v>
      </c>
      <c r="D3843" s="1" t="s">
        <v>171</v>
      </c>
      <c r="E3843" s="1" t="s">
        <v>14</v>
      </c>
      <c r="F3843" s="2" t="s">
        <v>856</v>
      </c>
      <c r="G3843" s="1">
        <v>170.352</v>
      </c>
      <c r="H3843" s="1">
        <v>3</v>
      </c>
      <c r="I3843" s="1">
        <v>10.647</v>
      </c>
    </row>
    <row r="3844" spans="1:9" x14ac:dyDescent="0.35">
      <c r="A3844" s="3" t="s">
        <v>3461</v>
      </c>
      <c r="B3844" s="1" t="s">
        <v>1705</v>
      </c>
      <c r="C3844" s="1" t="s">
        <v>17</v>
      </c>
      <c r="D3844" s="1" t="s">
        <v>18</v>
      </c>
      <c r="E3844" s="1" t="s">
        <v>35</v>
      </c>
      <c r="F3844" s="2" t="s">
        <v>581</v>
      </c>
      <c r="G3844" s="1">
        <v>7.1840000000000002</v>
      </c>
      <c r="H3844" s="1">
        <v>2</v>
      </c>
      <c r="I3844" s="1">
        <v>2.2450000000000001</v>
      </c>
    </row>
    <row r="3845" spans="1:9" x14ac:dyDescent="0.35">
      <c r="A3845" s="3" t="s">
        <v>3461</v>
      </c>
      <c r="B3845" s="1" t="s">
        <v>1705</v>
      </c>
      <c r="C3845" s="1" t="s">
        <v>17</v>
      </c>
      <c r="D3845" s="1" t="s">
        <v>18</v>
      </c>
      <c r="E3845" s="1" t="s">
        <v>289</v>
      </c>
      <c r="F3845" s="2" t="s">
        <v>2649</v>
      </c>
      <c r="G3845" s="1">
        <v>6.28</v>
      </c>
      <c r="H3845" s="1">
        <v>2</v>
      </c>
      <c r="I3845" s="1">
        <v>6.2799999999999995E-2</v>
      </c>
    </row>
    <row r="3846" spans="1:9" x14ac:dyDescent="0.35">
      <c r="A3846" s="3" t="s">
        <v>3461</v>
      </c>
      <c r="B3846" s="1" t="s">
        <v>1705</v>
      </c>
      <c r="C3846" s="1" t="s">
        <v>17</v>
      </c>
      <c r="D3846" s="1" t="s">
        <v>18</v>
      </c>
      <c r="E3846" s="1" t="s">
        <v>289</v>
      </c>
      <c r="F3846" s="2" t="s">
        <v>511</v>
      </c>
      <c r="G3846" s="1">
        <v>480.74</v>
      </c>
      <c r="H3846" s="1">
        <v>2</v>
      </c>
      <c r="I3846" s="1">
        <v>14.4222</v>
      </c>
    </row>
    <row r="3847" spans="1:9" x14ac:dyDescent="0.35">
      <c r="A3847" s="3" t="s">
        <v>3461</v>
      </c>
      <c r="B3847" s="1" t="s">
        <v>1705</v>
      </c>
      <c r="C3847" s="1" t="s">
        <v>17</v>
      </c>
      <c r="D3847" s="1" t="s">
        <v>18</v>
      </c>
      <c r="E3847" s="1" t="s">
        <v>12</v>
      </c>
      <c r="F3847" s="2" t="s">
        <v>780</v>
      </c>
      <c r="G3847" s="1">
        <v>616.99800000000005</v>
      </c>
      <c r="H3847" s="1">
        <v>6</v>
      </c>
      <c r="I3847" s="1">
        <v>-36.293999999999997</v>
      </c>
    </row>
    <row r="3848" spans="1:9" x14ac:dyDescent="0.35">
      <c r="A3848" s="3" t="s">
        <v>3461</v>
      </c>
      <c r="B3848" s="1" t="s">
        <v>1705</v>
      </c>
      <c r="C3848" s="1" t="s">
        <v>17</v>
      </c>
      <c r="D3848" s="1" t="s">
        <v>18</v>
      </c>
      <c r="E3848" s="1" t="s">
        <v>26</v>
      </c>
      <c r="F3848" s="2" t="s">
        <v>201</v>
      </c>
      <c r="G3848" s="1">
        <v>141.4</v>
      </c>
      <c r="H3848" s="1">
        <v>5</v>
      </c>
      <c r="I3848" s="1">
        <v>38.177999999999997</v>
      </c>
    </row>
    <row r="3849" spans="1:9" x14ac:dyDescent="0.35">
      <c r="A3849" s="3" t="s">
        <v>3462</v>
      </c>
      <c r="B3849" s="1" t="s">
        <v>1613</v>
      </c>
      <c r="C3849" s="1" t="s">
        <v>706</v>
      </c>
      <c r="D3849" s="1" t="s">
        <v>120</v>
      </c>
      <c r="E3849" s="1" t="s">
        <v>26</v>
      </c>
      <c r="F3849" s="2" t="s">
        <v>1290</v>
      </c>
      <c r="G3849" s="1">
        <v>501.81</v>
      </c>
      <c r="H3849" s="1">
        <v>3</v>
      </c>
      <c r="I3849" s="1">
        <v>0</v>
      </c>
    </row>
    <row r="3850" spans="1:9" x14ac:dyDescent="0.35">
      <c r="A3850" s="3" t="s">
        <v>3351</v>
      </c>
      <c r="B3850" s="1" t="s">
        <v>169</v>
      </c>
      <c r="C3850" s="1" t="s">
        <v>796</v>
      </c>
      <c r="D3850" s="1" t="s">
        <v>797</v>
      </c>
      <c r="E3850" s="1" t="s">
        <v>35</v>
      </c>
      <c r="F3850" s="2" t="s">
        <v>2650</v>
      </c>
      <c r="G3850" s="1">
        <v>691.96</v>
      </c>
      <c r="H3850" s="1">
        <v>4</v>
      </c>
      <c r="I3850" s="1">
        <v>318.30160000000001</v>
      </c>
    </row>
    <row r="3851" spans="1:9" x14ac:dyDescent="0.35">
      <c r="A3851" s="3" t="s">
        <v>3351</v>
      </c>
      <c r="B3851" s="1" t="s">
        <v>169</v>
      </c>
      <c r="C3851" s="1" t="s">
        <v>796</v>
      </c>
      <c r="D3851" s="1" t="s">
        <v>797</v>
      </c>
      <c r="E3851" s="1" t="s">
        <v>81</v>
      </c>
      <c r="F3851" s="2" t="s">
        <v>149</v>
      </c>
      <c r="G3851" s="1">
        <v>34.950000000000003</v>
      </c>
      <c r="H3851" s="1">
        <v>5</v>
      </c>
      <c r="I3851" s="1">
        <v>15.378</v>
      </c>
    </row>
    <row r="3852" spans="1:9" x14ac:dyDescent="0.35">
      <c r="A3852" s="3">
        <v>42106</v>
      </c>
      <c r="B3852" s="1" t="s">
        <v>411</v>
      </c>
      <c r="C3852" s="1" t="s">
        <v>162</v>
      </c>
      <c r="D3852" s="1" t="s">
        <v>298</v>
      </c>
      <c r="E3852" s="1" t="s">
        <v>44</v>
      </c>
      <c r="F3852" s="2" t="s">
        <v>595</v>
      </c>
      <c r="G3852" s="1">
        <v>85.96</v>
      </c>
      <c r="H3852" s="1">
        <v>7</v>
      </c>
      <c r="I3852" s="1">
        <v>40.401200000000003</v>
      </c>
    </row>
    <row r="3853" spans="1:9" x14ac:dyDescent="0.35">
      <c r="A3853" s="3" t="s">
        <v>3257</v>
      </c>
      <c r="B3853" s="1" t="s">
        <v>2651</v>
      </c>
      <c r="C3853" s="1" t="s">
        <v>626</v>
      </c>
      <c r="D3853" s="1" t="s">
        <v>592</v>
      </c>
      <c r="E3853" s="1" t="s">
        <v>29</v>
      </c>
      <c r="F3853" s="2" t="s">
        <v>231</v>
      </c>
      <c r="G3853" s="1">
        <v>85.3</v>
      </c>
      <c r="H3853" s="1">
        <v>2</v>
      </c>
      <c r="I3853" s="1">
        <v>14.500999999999999</v>
      </c>
    </row>
    <row r="3854" spans="1:9" x14ac:dyDescent="0.35">
      <c r="A3854" s="3" t="s">
        <v>3425</v>
      </c>
      <c r="B3854" s="1" t="s">
        <v>616</v>
      </c>
      <c r="C3854" s="1" t="s">
        <v>1354</v>
      </c>
      <c r="D3854" s="1" t="s">
        <v>106</v>
      </c>
      <c r="E3854" s="1" t="s">
        <v>35</v>
      </c>
      <c r="F3854" s="2" t="s">
        <v>572</v>
      </c>
      <c r="G3854" s="1">
        <v>33.567999999999998</v>
      </c>
      <c r="H3854" s="1">
        <v>8</v>
      </c>
      <c r="I3854" s="1">
        <v>-53.708799999999997</v>
      </c>
    </row>
    <row r="3855" spans="1:9" x14ac:dyDescent="0.35">
      <c r="A3855" s="3">
        <v>42892</v>
      </c>
      <c r="B3855" s="1" t="s">
        <v>2493</v>
      </c>
      <c r="C3855" s="1" t="s">
        <v>64</v>
      </c>
      <c r="D3855" s="1" t="s">
        <v>18</v>
      </c>
      <c r="E3855" s="1" t="s">
        <v>29</v>
      </c>
      <c r="F3855" s="2" t="s">
        <v>2652</v>
      </c>
      <c r="G3855" s="1">
        <v>4.95</v>
      </c>
      <c r="H3855" s="1">
        <v>1</v>
      </c>
      <c r="I3855" s="1">
        <v>2.1779999999999999</v>
      </c>
    </row>
    <row r="3856" spans="1:9" x14ac:dyDescent="0.35">
      <c r="A3856" s="3">
        <v>42892</v>
      </c>
      <c r="B3856" s="1" t="s">
        <v>2493</v>
      </c>
      <c r="C3856" s="1" t="s">
        <v>64</v>
      </c>
      <c r="D3856" s="1" t="s">
        <v>18</v>
      </c>
      <c r="E3856" s="1" t="s">
        <v>26</v>
      </c>
      <c r="F3856" s="2" t="s">
        <v>2501</v>
      </c>
      <c r="G3856" s="1">
        <v>26.4</v>
      </c>
      <c r="H3856" s="1">
        <v>5</v>
      </c>
      <c r="I3856" s="1">
        <v>0</v>
      </c>
    </row>
    <row r="3857" spans="1:9" x14ac:dyDescent="0.35">
      <c r="A3857" s="3" t="s">
        <v>3293</v>
      </c>
      <c r="B3857" s="1" t="s">
        <v>2384</v>
      </c>
      <c r="C3857" s="1" t="s">
        <v>336</v>
      </c>
      <c r="D3857" s="1" t="s">
        <v>52</v>
      </c>
      <c r="E3857" s="1" t="s">
        <v>35</v>
      </c>
      <c r="F3857" s="2" t="s">
        <v>578</v>
      </c>
      <c r="G3857" s="1">
        <v>3.5640000000000001</v>
      </c>
      <c r="H3857" s="1">
        <v>3</v>
      </c>
      <c r="I3857" s="1">
        <v>-6.2370000000000001</v>
      </c>
    </row>
    <row r="3858" spans="1:9" x14ac:dyDescent="0.35">
      <c r="A3858" s="3" t="s">
        <v>3293</v>
      </c>
      <c r="B3858" s="1" t="s">
        <v>2384</v>
      </c>
      <c r="C3858" s="1" t="s">
        <v>336</v>
      </c>
      <c r="D3858" s="1" t="s">
        <v>52</v>
      </c>
      <c r="E3858" s="1" t="s">
        <v>33</v>
      </c>
      <c r="F3858" s="2" t="s">
        <v>1937</v>
      </c>
      <c r="G3858" s="1">
        <v>823.96</v>
      </c>
      <c r="H3858" s="1">
        <v>5</v>
      </c>
      <c r="I3858" s="1">
        <v>51.497500000000002</v>
      </c>
    </row>
    <row r="3859" spans="1:9" x14ac:dyDescent="0.35">
      <c r="A3859" s="3" t="s">
        <v>3293</v>
      </c>
      <c r="B3859" s="1" t="s">
        <v>2384</v>
      </c>
      <c r="C3859" s="1" t="s">
        <v>336</v>
      </c>
      <c r="D3859" s="1" t="s">
        <v>52</v>
      </c>
      <c r="E3859" s="1" t="s">
        <v>31</v>
      </c>
      <c r="F3859" s="2" t="s">
        <v>1685</v>
      </c>
      <c r="G3859" s="1">
        <v>10.272</v>
      </c>
      <c r="H3859" s="1">
        <v>3</v>
      </c>
      <c r="I3859" s="1">
        <v>0.89880000000000004</v>
      </c>
    </row>
    <row r="3860" spans="1:9" x14ac:dyDescent="0.35">
      <c r="A3860" s="3" t="s">
        <v>3340</v>
      </c>
      <c r="B3860" s="1" t="s">
        <v>2325</v>
      </c>
      <c r="C3860" s="1" t="s">
        <v>2653</v>
      </c>
      <c r="D3860" s="1" t="s">
        <v>229</v>
      </c>
      <c r="E3860" s="1" t="s">
        <v>81</v>
      </c>
      <c r="F3860" s="2" t="s">
        <v>2654</v>
      </c>
      <c r="G3860" s="1">
        <v>447.94400000000002</v>
      </c>
      <c r="H3860" s="1">
        <v>7</v>
      </c>
      <c r="I3860" s="1">
        <v>89.588800000000006</v>
      </c>
    </row>
    <row r="3861" spans="1:9" x14ac:dyDescent="0.35">
      <c r="A3861" s="3" t="s">
        <v>3463</v>
      </c>
      <c r="B3861" s="1" t="s">
        <v>1625</v>
      </c>
      <c r="C3861" s="1" t="s">
        <v>154</v>
      </c>
      <c r="D3861" s="1" t="s">
        <v>106</v>
      </c>
      <c r="E3861" s="1" t="s">
        <v>24</v>
      </c>
      <c r="F3861" s="2" t="s">
        <v>1444</v>
      </c>
      <c r="G3861" s="1">
        <v>480.96</v>
      </c>
      <c r="H3861" s="1">
        <v>3</v>
      </c>
      <c r="I3861" s="1">
        <v>-269.33760000000001</v>
      </c>
    </row>
    <row r="3862" spans="1:9" x14ac:dyDescent="0.35">
      <c r="A3862" s="3" t="s">
        <v>3463</v>
      </c>
      <c r="B3862" s="1" t="s">
        <v>1625</v>
      </c>
      <c r="C3862" s="1" t="s">
        <v>154</v>
      </c>
      <c r="D3862" s="1" t="s">
        <v>106</v>
      </c>
      <c r="E3862" s="1" t="s">
        <v>33</v>
      </c>
      <c r="F3862" s="2" t="s">
        <v>2655</v>
      </c>
      <c r="G3862" s="1">
        <v>124.792</v>
      </c>
      <c r="H3862" s="1">
        <v>1</v>
      </c>
      <c r="I3862" s="1">
        <v>10.9193</v>
      </c>
    </row>
    <row r="3863" spans="1:9" x14ac:dyDescent="0.35">
      <c r="A3863" s="3">
        <v>41703</v>
      </c>
      <c r="B3863" s="1" t="s">
        <v>2639</v>
      </c>
      <c r="C3863" s="1" t="s">
        <v>1387</v>
      </c>
      <c r="D3863" s="1" t="s">
        <v>136</v>
      </c>
      <c r="E3863" s="1" t="s">
        <v>35</v>
      </c>
      <c r="F3863" s="2" t="s">
        <v>2656</v>
      </c>
      <c r="G3863" s="1">
        <v>40.176000000000002</v>
      </c>
      <c r="H3863" s="1">
        <v>3</v>
      </c>
      <c r="I3863" s="1">
        <v>14.563800000000001</v>
      </c>
    </row>
    <row r="3864" spans="1:9" x14ac:dyDescent="0.35">
      <c r="A3864" s="3">
        <v>41703</v>
      </c>
      <c r="B3864" s="1" t="s">
        <v>2639</v>
      </c>
      <c r="C3864" s="1" t="s">
        <v>1387</v>
      </c>
      <c r="D3864" s="1" t="s">
        <v>136</v>
      </c>
      <c r="E3864" s="1" t="s">
        <v>35</v>
      </c>
      <c r="F3864" s="2" t="s">
        <v>247</v>
      </c>
      <c r="G3864" s="1">
        <v>10.896000000000001</v>
      </c>
      <c r="H3864" s="1">
        <v>3</v>
      </c>
      <c r="I3864" s="1">
        <v>3.9498000000000002</v>
      </c>
    </row>
    <row r="3865" spans="1:9" x14ac:dyDescent="0.35">
      <c r="A3865" s="3" t="s">
        <v>3464</v>
      </c>
      <c r="B3865" s="1" t="s">
        <v>788</v>
      </c>
      <c r="C3865" s="1" t="s">
        <v>461</v>
      </c>
      <c r="D3865" s="1" t="s">
        <v>18</v>
      </c>
      <c r="E3865" s="1" t="s">
        <v>31</v>
      </c>
      <c r="F3865" s="2" t="s">
        <v>2657</v>
      </c>
      <c r="G3865" s="1">
        <v>10.64</v>
      </c>
      <c r="H3865" s="1">
        <v>4</v>
      </c>
      <c r="I3865" s="1">
        <v>2.7664</v>
      </c>
    </row>
    <row r="3866" spans="1:9" x14ac:dyDescent="0.35">
      <c r="A3866" s="3" t="s">
        <v>3465</v>
      </c>
      <c r="B3866" s="1" t="s">
        <v>282</v>
      </c>
      <c r="C3866" s="1" t="s">
        <v>2658</v>
      </c>
      <c r="D3866" s="1" t="s">
        <v>106</v>
      </c>
      <c r="E3866" s="1" t="s">
        <v>29</v>
      </c>
      <c r="F3866" s="2" t="s">
        <v>2659</v>
      </c>
      <c r="G3866" s="1">
        <v>151.96</v>
      </c>
      <c r="H3866" s="1">
        <v>5</v>
      </c>
      <c r="I3866" s="1">
        <v>-182.352</v>
      </c>
    </row>
    <row r="3867" spans="1:9" x14ac:dyDescent="0.35">
      <c r="A3867" s="3" t="s">
        <v>3466</v>
      </c>
      <c r="B3867" s="1" t="s">
        <v>1927</v>
      </c>
      <c r="C3867" s="1" t="s">
        <v>64</v>
      </c>
      <c r="D3867" s="1" t="s">
        <v>18</v>
      </c>
      <c r="E3867" s="1" t="s">
        <v>81</v>
      </c>
      <c r="F3867" s="2" t="s">
        <v>1987</v>
      </c>
      <c r="G3867" s="1">
        <v>238</v>
      </c>
      <c r="H3867" s="1">
        <v>2</v>
      </c>
      <c r="I3867" s="1">
        <v>38.08</v>
      </c>
    </row>
    <row r="3868" spans="1:9" x14ac:dyDescent="0.35">
      <c r="A3868" s="3" t="s">
        <v>3209</v>
      </c>
      <c r="B3868" s="1" t="s">
        <v>972</v>
      </c>
      <c r="C3868" s="1" t="s">
        <v>700</v>
      </c>
      <c r="D3868" s="1" t="s">
        <v>129</v>
      </c>
      <c r="E3868" s="1" t="s">
        <v>81</v>
      </c>
      <c r="F3868" s="2" t="s">
        <v>1858</v>
      </c>
      <c r="G3868" s="1">
        <v>155.34</v>
      </c>
      <c r="H3868" s="1">
        <v>6</v>
      </c>
      <c r="I3868" s="1">
        <v>55.922400000000003</v>
      </c>
    </row>
    <row r="3869" spans="1:9" x14ac:dyDescent="0.35">
      <c r="A3869" s="3" t="s">
        <v>3467</v>
      </c>
      <c r="B3869" s="1" t="s">
        <v>1057</v>
      </c>
      <c r="C3869" s="1" t="s">
        <v>461</v>
      </c>
      <c r="D3869" s="1" t="s">
        <v>18</v>
      </c>
      <c r="E3869" s="1" t="s">
        <v>81</v>
      </c>
      <c r="F3869" s="2" t="s">
        <v>1183</v>
      </c>
      <c r="G3869" s="1">
        <v>148.32</v>
      </c>
      <c r="H3869" s="1">
        <v>9</v>
      </c>
      <c r="I3869" s="1">
        <v>63.7776</v>
      </c>
    </row>
    <row r="3870" spans="1:9" x14ac:dyDescent="0.35">
      <c r="A3870" s="3" t="s">
        <v>3467</v>
      </c>
      <c r="B3870" s="1" t="s">
        <v>1057</v>
      </c>
      <c r="C3870" s="1" t="s">
        <v>461</v>
      </c>
      <c r="D3870" s="1" t="s">
        <v>18</v>
      </c>
      <c r="E3870" s="1" t="s">
        <v>14</v>
      </c>
      <c r="F3870" s="2" t="s">
        <v>2489</v>
      </c>
      <c r="G3870" s="1">
        <v>240.78399999999999</v>
      </c>
      <c r="H3870" s="1">
        <v>1</v>
      </c>
      <c r="I3870" s="1">
        <v>27.088200000000001</v>
      </c>
    </row>
    <row r="3871" spans="1:9" x14ac:dyDescent="0.35">
      <c r="A3871" s="3" t="s">
        <v>3467</v>
      </c>
      <c r="B3871" s="1" t="s">
        <v>1057</v>
      </c>
      <c r="C3871" s="1" t="s">
        <v>461</v>
      </c>
      <c r="D3871" s="1" t="s">
        <v>18</v>
      </c>
      <c r="E3871" s="1" t="s">
        <v>14</v>
      </c>
      <c r="F3871" s="2" t="s">
        <v>1479</v>
      </c>
      <c r="G3871" s="1">
        <v>191.96799999999999</v>
      </c>
      <c r="H3871" s="1">
        <v>7</v>
      </c>
      <c r="I3871" s="1">
        <v>16.7972</v>
      </c>
    </row>
    <row r="3872" spans="1:9" x14ac:dyDescent="0.35">
      <c r="A3872" s="3" t="s">
        <v>3467</v>
      </c>
      <c r="B3872" s="1" t="s">
        <v>1057</v>
      </c>
      <c r="C3872" s="1" t="s">
        <v>461</v>
      </c>
      <c r="D3872" s="1" t="s">
        <v>18</v>
      </c>
      <c r="E3872" s="1" t="s">
        <v>44</v>
      </c>
      <c r="F3872" s="2" t="s">
        <v>1074</v>
      </c>
      <c r="G3872" s="1">
        <v>11.56</v>
      </c>
      <c r="H3872" s="1">
        <v>2</v>
      </c>
      <c r="I3872" s="1">
        <v>5.6643999999999997</v>
      </c>
    </row>
    <row r="3873" spans="1:9" x14ac:dyDescent="0.35">
      <c r="A3873" s="3" t="s">
        <v>3467</v>
      </c>
      <c r="B3873" s="1" t="s">
        <v>1057</v>
      </c>
      <c r="C3873" s="1" t="s">
        <v>461</v>
      </c>
      <c r="D3873" s="1" t="s">
        <v>18</v>
      </c>
      <c r="E3873" s="1" t="s">
        <v>87</v>
      </c>
      <c r="F3873" s="2" t="s">
        <v>252</v>
      </c>
      <c r="G3873" s="1">
        <v>11.8</v>
      </c>
      <c r="H3873" s="1">
        <v>4</v>
      </c>
      <c r="I3873" s="1">
        <v>5.6639999999999997</v>
      </c>
    </row>
    <row r="3874" spans="1:9" x14ac:dyDescent="0.35">
      <c r="A3874" s="3" t="s">
        <v>3467</v>
      </c>
      <c r="B3874" s="1" t="s">
        <v>1057</v>
      </c>
      <c r="C3874" s="1" t="s">
        <v>461</v>
      </c>
      <c r="D3874" s="1" t="s">
        <v>18</v>
      </c>
      <c r="E3874" s="1" t="s">
        <v>14</v>
      </c>
      <c r="F3874" s="2" t="s">
        <v>1886</v>
      </c>
      <c r="G3874" s="1">
        <v>842.35199999999998</v>
      </c>
      <c r="H3874" s="1">
        <v>3</v>
      </c>
      <c r="I3874" s="1">
        <v>42.117600000000003</v>
      </c>
    </row>
    <row r="3875" spans="1:9" x14ac:dyDescent="0.35">
      <c r="A3875" s="3">
        <v>42499</v>
      </c>
      <c r="B3875" s="1" t="s">
        <v>2384</v>
      </c>
      <c r="C3875" s="1" t="s">
        <v>2013</v>
      </c>
      <c r="D3875" s="1" t="s">
        <v>171</v>
      </c>
      <c r="E3875" s="1" t="s">
        <v>87</v>
      </c>
      <c r="F3875" s="2" t="s">
        <v>332</v>
      </c>
      <c r="G3875" s="1">
        <v>23.472000000000001</v>
      </c>
      <c r="H3875" s="1">
        <v>3</v>
      </c>
      <c r="I3875" s="1">
        <v>7.6284000000000001</v>
      </c>
    </row>
    <row r="3876" spans="1:9" x14ac:dyDescent="0.35">
      <c r="A3876" s="3">
        <v>42499</v>
      </c>
      <c r="B3876" s="1" t="s">
        <v>2384</v>
      </c>
      <c r="C3876" s="1" t="s">
        <v>2013</v>
      </c>
      <c r="D3876" s="1" t="s">
        <v>171</v>
      </c>
      <c r="E3876" s="1" t="s">
        <v>35</v>
      </c>
      <c r="F3876" s="2" t="s">
        <v>1364</v>
      </c>
      <c r="G3876" s="1">
        <v>86.058000000000007</v>
      </c>
      <c r="H3876" s="1">
        <v>7</v>
      </c>
      <c r="I3876" s="1">
        <v>-63.109200000000001</v>
      </c>
    </row>
    <row r="3877" spans="1:9" x14ac:dyDescent="0.35">
      <c r="A3877" s="3">
        <v>42499</v>
      </c>
      <c r="B3877" s="1" t="s">
        <v>2384</v>
      </c>
      <c r="C3877" s="1" t="s">
        <v>2013</v>
      </c>
      <c r="D3877" s="1" t="s">
        <v>171</v>
      </c>
      <c r="E3877" s="1" t="s">
        <v>33</v>
      </c>
      <c r="F3877" s="2" t="s">
        <v>1221</v>
      </c>
      <c r="G3877" s="1">
        <v>108.78400000000001</v>
      </c>
      <c r="H3877" s="1">
        <v>2</v>
      </c>
      <c r="I3877" s="1">
        <v>6.7990000000000004</v>
      </c>
    </row>
    <row r="3878" spans="1:9" x14ac:dyDescent="0.35">
      <c r="A3878" s="3">
        <v>42499</v>
      </c>
      <c r="B3878" s="1" t="s">
        <v>2384</v>
      </c>
      <c r="C3878" s="1" t="s">
        <v>2013</v>
      </c>
      <c r="D3878" s="1" t="s">
        <v>171</v>
      </c>
      <c r="E3878" s="1" t="s">
        <v>44</v>
      </c>
      <c r="F3878" s="2" t="s">
        <v>2409</v>
      </c>
      <c r="G3878" s="1">
        <v>10.272</v>
      </c>
      <c r="H3878" s="1">
        <v>3</v>
      </c>
      <c r="I3878" s="1">
        <v>3.21</v>
      </c>
    </row>
    <row r="3879" spans="1:9" x14ac:dyDescent="0.35">
      <c r="A3879" s="3" t="s">
        <v>3468</v>
      </c>
      <c r="B3879" s="1" t="s">
        <v>851</v>
      </c>
      <c r="C3879" s="1" t="s">
        <v>438</v>
      </c>
      <c r="D3879" s="1" t="s">
        <v>23</v>
      </c>
      <c r="E3879" s="1" t="s">
        <v>35</v>
      </c>
      <c r="F3879" s="2" t="s">
        <v>1654</v>
      </c>
      <c r="G3879" s="1">
        <v>38.19</v>
      </c>
      <c r="H3879" s="1">
        <v>5</v>
      </c>
      <c r="I3879" s="1">
        <v>-26.733000000000001</v>
      </c>
    </row>
    <row r="3880" spans="1:9" x14ac:dyDescent="0.35">
      <c r="A3880" s="3">
        <v>41763</v>
      </c>
      <c r="B3880" s="1" t="s">
        <v>771</v>
      </c>
      <c r="C3880" s="1" t="s">
        <v>181</v>
      </c>
      <c r="D3880" s="1" t="s">
        <v>106</v>
      </c>
      <c r="E3880" s="1" t="s">
        <v>26</v>
      </c>
      <c r="F3880" s="2" t="s">
        <v>359</v>
      </c>
      <c r="G3880" s="1">
        <v>49.631999999999998</v>
      </c>
      <c r="H3880" s="1">
        <v>4</v>
      </c>
      <c r="I3880" s="1">
        <v>3.7223999999999999</v>
      </c>
    </row>
    <row r="3881" spans="1:9" x14ac:dyDescent="0.35">
      <c r="A3881" s="3">
        <v>41763</v>
      </c>
      <c r="B3881" s="1" t="s">
        <v>771</v>
      </c>
      <c r="C3881" s="1" t="s">
        <v>181</v>
      </c>
      <c r="D3881" s="1" t="s">
        <v>106</v>
      </c>
      <c r="E3881" s="1" t="s">
        <v>26</v>
      </c>
      <c r="F3881" s="2" t="s">
        <v>2613</v>
      </c>
      <c r="G3881" s="1">
        <v>52.095999999999997</v>
      </c>
      <c r="H3881" s="1">
        <v>4</v>
      </c>
      <c r="I3881" s="1">
        <v>3.9072</v>
      </c>
    </row>
    <row r="3882" spans="1:9" x14ac:dyDescent="0.35">
      <c r="A3882" s="3" t="s">
        <v>3469</v>
      </c>
      <c r="B3882" s="1" t="s">
        <v>2660</v>
      </c>
      <c r="C3882" s="1" t="s">
        <v>157</v>
      </c>
      <c r="D3882" s="1" t="s">
        <v>158</v>
      </c>
      <c r="E3882" s="1" t="s">
        <v>44</v>
      </c>
      <c r="F3882" s="2" t="s">
        <v>2243</v>
      </c>
      <c r="G3882" s="1">
        <v>9.5679999999999996</v>
      </c>
      <c r="H3882" s="1">
        <v>2</v>
      </c>
      <c r="I3882" s="1">
        <v>2.99</v>
      </c>
    </row>
    <row r="3883" spans="1:9" x14ac:dyDescent="0.35">
      <c r="A3883" s="3" t="s">
        <v>3469</v>
      </c>
      <c r="B3883" s="1" t="s">
        <v>2660</v>
      </c>
      <c r="C3883" s="1" t="s">
        <v>157</v>
      </c>
      <c r="D3883" s="1" t="s">
        <v>158</v>
      </c>
      <c r="E3883" s="1" t="s">
        <v>26</v>
      </c>
      <c r="F3883" s="2" t="s">
        <v>467</v>
      </c>
      <c r="G3883" s="1">
        <v>82.367999999999995</v>
      </c>
      <c r="H3883" s="1">
        <v>2</v>
      </c>
      <c r="I3883" s="1">
        <v>-19.5624</v>
      </c>
    </row>
    <row r="3884" spans="1:9" x14ac:dyDescent="0.35">
      <c r="A3884" s="3" t="s">
        <v>3469</v>
      </c>
      <c r="B3884" s="1" t="s">
        <v>2660</v>
      </c>
      <c r="C3884" s="1" t="s">
        <v>157</v>
      </c>
      <c r="D3884" s="1" t="s">
        <v>158</v>
      </c>
      <c r="E3884" s="1" t="s">
        <v>29</v>
      </c>
      <c r="F3884" s="2" t="s">
        <v>2659</v>
      </c>
      <c r="G3884" s="1">
        <v>364.70400000000001</v>
      </c>
      <c r="H3884" s="1">
        <v>6</v>
      </c>
      <c r="I3884" s="1">
        <v>-36.470399999999998</v>
      </c>
    </row>
    <row r="3885" spans="1:9" x14ac:dyDescent="0.35">
      <c r="A3885" s="3" t="s">
        <v>3469</v>
      </c>
      <c r="B3885" s="1" t="s">
        <v>2660</v>
      </c>
      <c r="C3885" s="1" t="s">
        <v>157</v>
      </c>
      <c r="D3885" s="1" t="s">
        <v>158</v>
      </c>
      <c r="E3885" s="1" t="s">
        <v>29</v>
      </c>
      <c r="F3885" s="2" t="s">
        <v>2661</v>
      </c>
      <c r="G3885" s="1">
        <v>40.256</v>
      </c>
      <c r="H3885" s="1">
        <v>4</v>
      </c>
      <c r="I3885" s="1">
        <v>11.070399999999999</v>
      </c>
    </row>
    <row r="3886" spans="1:9" x14ac:dyDescent="0.35">
      <c r="A3886" s="3">
        <v>41766</v>
      </c>
      <c r="B3886" s="1" t="s">
        <v>2515</v>
      </c>
      <c r="C3886" s="1" t="s">
        <v>2099</v>
      </c>
      <c r="D3886" s="1" t="s">
        <v>171</v>
      </c>
      <c r="E3886" s="1" t="s">
        <v>31</v>
      </c>
      <c r="F3886" s="2" t="s">
        <v>32</v>
      </c>
      <c r="G3886" s="1">
        <v>4.3680000000000003</v>
      </c>
      <c r="H3886" s="1">
        <v>3</v>
      </c>
      <c r="I3886" s="1">
        <v>0.38219999999999998</v>
      </c>
    </row>
    <row r="3887" spans="1:9" x14ac:dyDescent="0.35">
      <c r="A3887" s="3" t="s">
        <v>3470</v>
      </c>
      <c r="B3887" s="1" t="s">
        <v>935</v>
      </c>
      <c r="C3887" s="1" t="s">
        <v>154</v>
      </c>
      <c r="D3887" s="1" t="s">
        <v>106</v>
      </c>
      <c r="E3887" s="1" t="s">
        <v>35</v>
      </c>
      <c r="F3887" s="2" t="s">
        <v>537</v>
      </c>
      <c r="G3887" s="1">
        <v>12.128</v>
      </c>
      <c r="H3887" s="1">
        <v>4</v>
      </c>
      <c r="I3887" s="1">
        <v>-20.617599999999999</v>
      </c>
    </row>
    <row r="3888" spans="1:9" x14ac:dyDescent="0.35">
      <c r="A3888" s="3">
        <v>42432</v>
      </c>
      <c r="B3888" s="1" t="s">
        <v>469</v>
      </c>
      <c r="C3888" s="1" t="s">
        <v>269</v>
      </c>
      <c r="D3888" s="1" t="s">
        <v>129</v>
      </c>
      <c r="E3888" s="1" t="s">
        <v>33</v>
      </c>
      <c r="F3888" s="2" t="s">
        <v>2526</v>
      </c>
      <c r="G3888" s="1">
        <v>134.85</v>
      </c>
      <c r="H3888" s="1">
        <v>3</v>
      </c>
      <c r="I3888" s="1">
        <v>37.758000000000003</v>
      </c>
    </row>
    <row r="3889" spans="1:9" x14ac:dyDescent="0.35">
      <c r="A3889" s="3">
        <v>41676</v>
      </c>
      <c r="B3889" s="1" t="s">
        <v>2326</v>
      </c>
      <c r="C3889" s="1" t="s">
        <v>1416</v>
      </c>
      <c r="D3889" s="1" t="s">
        <v>604</v>
      </c>
      <c r="E3889" s="1" t="s">
        <v>31</v>
      </c>
      <c r="F3889" s="2" t="s">
        <v>2069</v>
      </c>
      <c r="G3889" s="1">
        <v>8.56</v>
      </c>
      <c r="H3889" s="1">
        <v>2</v>
      </c>
      <c r="I3889" s="1">
        <v>2.6536</v>
      </c>
    </row>
    <row r="3890" spans="1:9" x14ac:dyDescent="0.35">
      <c r="A3890" s="3">
        <v>41676</v>
      </c>
      <c r="B3890" s="1" t="s">
        <v>2326</v>
      </c>
      <c r="C3890" s="1" t="s">
        <v>1416</v>
      </c>
      <c r="D3890" s="1" t="s">
        <v>604</v>
      </c>
      <c r="E3890" s="1" t="s">
        <v>33</v>
      </c>
      <c r="F3890" s="2" t="s">
        <v>922</v>
      </c>
      <c r="G3890" s="1">
        <v>239.97</v>
      </c>
      <c r="H3890" s="1">
        <v>3</v>
      </c>
      <c r="I3890" s="1">
        <v>67.191599999999994</v>
      </c>
    </row>
    <row r="3891" spans="1:9" x14ac:dyDescent="0.35">
      <c r="A3891" s="3">
        <v>41676</v>
      </c>
      <c r="B3891" s="1" t="s">
        <v>2326</v>
      </c>
      <c r="C3891" s="1" t="s">
        <v>1416</v>
      </c>
      <c r="D3891" s="1" t="s">
        <v>604</v>
      </c>
      <c r="E3891" s="1" t="s">
        <v>26</v>
      </c>
      <c r="F3891" s="2" t="s">
        <v>925</v>
      </c>
      <c r="G3891" s="1">
        <v>356.94</v>
      </c>
      <c r="H3891" s="1">
        <v>2</v>
      </c>
      <c r="I3891" s="1">
        <v>107.08199999999999</v>
      </c>
    </row>
    <row r="3892" spans="1:9" x14ac:dyDescent="0.35">
      <c r="A3892" s="3" t="s">
        <v>3410</v>
      </c>
      <c r="B3892" s="1" t="s">
        <v>553</v>
      </c>
      <c r="C3892" s="1" t="s">
        <v>17</v>
      </c>
      <c r="D3892" s="1" t="s">
        <v>18</v>
      </c>
      <c r="E3892" s="1" t="s">
        <v>81</v>
      </c>
      <c r="F3892" s="2" t="s">
        <v>1313</v>
      </c>
      <c r="G3892" s="1">
        <v>659.9</v>
      </c>
      <c r="H3892" s="1">
        <v>2</v>
      </c>
      <c r="I3892" s="1">
        <v>217.767</v>
      </c>
    </row>
    <row r="3893" spans="1:9" x14ac:dyDescent="0.35">
      <c r="A3893" s="3" t="s">
        <v>3410</v>
      </c>
      <c r="B3893" s="1" t="s">
        <v>553</v>
      </c>
      <c r="C3893" s="1" t="s">
        <v>17</v>
      </c>
      <c r="D3893" s="1" t="s">
        <v>18</v>
      </c>
      <c r="E3893" s="1" t="s">
        <v>14</v>
      </c>
      <c r="F3893" s="2" t="s">
        <v>1150</v>
      </c>
      <c r="G3893" s="1">
        <v>1684.752</v>
      </c>
      <c r="H3893" s="1">
        <v>6</v>
      </c>
      <c r="I3893" s="1">
        <v>210.59399999999999</v>
      </c>
    </row>
    <row r="3894" spans="1:9" x14ac:dyDescent="0.35">
      <c r="A3894" s="3" t="s">
        <v>3410</v>
      </c>
      <c r="B3894" s="1" t="s">
        <v>553</v>
      </c>
      <c r="C3894" s="1" t="s">
        <v>17</v>
      </c>
      <c r="D3894" s="1" t="s">
        <v>18</v>
      </c>
      <c r="E3894" s="1" t="s">
        <v>81</v>
      </c>
      <c r="F3894" s="2" t="s">
        <v>2508</v>
      </c>
      <c r="G3894" s="1">
        <v>559.91999999999996</v>
      </c>
      <c r="H3894" s="1">
        <v>8</v>
      </c>
      <c r="I3894" s="1">
        <v>190.37280000000001</v>
      </c>
    </row>
    <row r="3895" spans="1:9" x14ac:dyDescent="0.35">
      <c r="A3895" s="3">
        <v>42654</v>
      </c>
      <c r="B3895" s="1" t="s">
        <v>1700</v>
      </c>
      <c r="C3895" s="1" t="s">
        <v>93</v>
      </c>
      <c r="D3895" s="1" t="s">
        <v>52</v>
      </c>
      <c r="E3895" s="1" t="s">
        <v>81</v>
      </c>
      <c r="F3895" s="2" t="s">
        <v>1139</v>
      </c>
      <c r="G3895" s="1">
        <v>279.94400000000002</v>
      </c>
      <c r="H3895" s="1">
        <v>7</v>
      </c>
      <c r="I3895" s="1">
        <v>48.990200000000002</v>
      </c>
    </row>
    <row r="3896" spans="1:9" x14ac:dyDescent="0.35">
      <c r="A3896" s="3" t="s">
        <v>3204</v>
      </c>
      <c r="B3896" s="1" t="s">
        <v>2457</v>
      </c>
      <c r="C3896" s="1" t="s">
        <v>2473</v>
      </c>
      <c r="D3896" s="1" t="s">
        <v>106</v>
      </c>
      <c r="E3896" s="1" t="s">
        <v>35</v>
      </c>
      <c r="F3896" s="2" t="s">
        <v>2030</v>
      </c>
      <c r="G3896" s="1">
        <v>9.98</v>
      </c>
      <c r="H3896" s="1">
        <v>5</v>
      </c>
      <c r="I3896" s="1">
        <v>-16.466999999999999</v>
      </c>
    </row>
    <row r="3897" spans="1:9" x14ac:dyDescent="0.35">
      <c r="A3897" s="3">
        <v>42740</v>
      </c>
      <c r="B3897" s="1" t="s">
        <v>1192</v>
      </c>
      <c r="C3897" s="1" t="s">
        <v>2662</v>
      </c>
      <c r="D3897" s="1" t="s">
        <v>797</v>
      </c>
      <c r="E3897" s="1" t="s">
        <v>81</v>
      </c>
      <c r="F3897" s="2" t="s">
        <v>2663</v>
      </c>
      <c r="G3897" s="1">
        <v>48.9</v>
      </c>
      <c r="H3897" s="1">
        <v>5</v>
      </c>
      <c r="I3897" s="1">
        <v>18.093</v>
      </c>
    </row>
    <row r="3898" spans="1:9" x14ac:dyDescent="0.35">
      <c r="A3898" s="3">
        <v>42928</v>
      </c>
      <c r="B3898" s="1" t="s">
        <v>428</v>
      </c>
      <c r="C3898" s="1" t="s">
        <v>336</v>
      </c>
      <c r="D3898" s="1" t="s">
        <v>52</v>
      </c>
      <c r="E3898" s="1" t="s">
        <v>137</v>
      </c>
      <c r="F3898" s="2" t="s">
        <v>1818</v>
      </c>
      <c r="G3898" s="1">
        <v>3.552</v>
      </c>
      <c r="H3898" s="1">
        <v>3</v>
      </c>
      <c r="I3898" s="1">
        <v>1.2432000000000001</v>
      </c>
    </row>
    <row r="3899" spans="1:9" x14ac:dyDescent="0.35">
      <c r="A3899" s="3">
        <v>42928</v>
      </c>
      <c r="B3899" s="1" t="s">
        <v>428</v>
      </c>
      <c r="C3899" s="1" t="s">
        <v>336</v>
      </c>
      <c r="D3899" s="1" t="s">
        <v>52</v>
      </c>
      <c r="E3899" s="1" t="s">
        <v>44</v>
      </c>
      <c r="F3899" s="2" t="s">
        <v>204</v>
      </c>
      <c r="G3899" s="1">
        <v>15.552</v>
      </c>
      <c r="H3899" s="1">
        <v>3</v>
      </c>
      <c r="I3899" s="1">
        <v>5.4432</v>
      </c>
    </row>
    <row r="3900" spans="1:9" x14ac:dyDescent="0.35">
      <c r="A3900" s="3" t="s">
        <v>3329</v>
      </c>
      <c r="B3900" s="1" t="s">
        <v>2014</v>
      </c>
      <c r="C3900" s="1" t="s">
        <v>2664</v>
      </c>
      <c r="D3900" s="1" t="s">
        <v>52</v>
      </c>
      <c r="E3900" s="1" t="s">
        <v>137</v>
      </c>
      <c r="F3900" s="2" t="s">
        <v>1818</v>
      </c>
      <c r="G3900" s="1">
        <v>2.3679999999999999</v>
      </c>
      <c r="H3900" s="1">
        <v>2</v>
      </c>
      <c r="I3900" s="1">
        <v>0.82879999999999998</v>
      </c>
    </row>
    <row r="3901" spans="1:9" x14ac:dyDescent="0.35">
      <c r="A3901" s="3">
        <v>42928</v>
      </c>
      <c r="B3901" s="1" t="s">
        <v>539</v>
      </c>
      <c r="C3901" s="1" t="s">
        <v>1256</v>
      </c>
      <c r="D3901" s="1" t="s">
        <v>250</v>
      </c>
      <c r="E3901" s="1" t="s">
        <v>81</v>
      </c>
      <c r="F3901" s="2" t="s">
        <v>777</v>
      </c>
      <c r="G3901" s="1">
        <v>127.98399999999999</v>
      </c>
      <c r="H3901" s="1">
        <v>2</v>
      </c>
      <c r="I3901" s="1">
        <v>25.596800000000002</v>
      </c>
    </row>
    <row r="3902" spans="1:9" x14ac:dyDescent="0.35">
      <c r="A3902" s="3">
        <v>42064</v>
      </c>
      <c r="B3902" s="1" t="s">
        <v>944</v>
      </c>
      <c r="C3902" s="1" t="s">
        <v>2665</v>
      </c>
      <c r="D3902" s="1" t="s">
        <v>52</v>
      </c>
      <c r="E3902" s="1" t="s">
        <v>44</v>
      </c>
      <c r="F3902" s="2" t="s">
        <v>552</v>
      </c>
      <c r="G3902" s="1">
        <v>10.368</v>
      </c>
      <c r="H3902" s="1">
        <v>2</v>
      </c>
      <c r="I3902" s="1">
        <v>3.6288</v>
      </c>
    </row>
    <row r="3903" spans="1:9" x14ac:dyDescent="0.35">
      <c r="A3903" s="3" t="s">
        <v>3458</v>
      </c>
      <c r="B3903" s="1" t="s">
        <v>302</v>
      </c>
      <c r="C3903" s="1" t="s">
        <v>74</v>
      </c>
      <c r="D3903" s="1" t="s">
        <v>75</v>
      </c>
      <c r="E3903" s="1" t="s">
        <v>81</v>
      </c>
      <c r="F3903" s="2" t="s">
        <v>2666</v>
      </c>
      <c r="G3903" s="1">
        <v>47.984000000000002</v>
      </c>
      <c r="H3903" s="1">
        <v>2</v>
      </c>
      <c r="I3903" s="1">
        <v>-1.1996</v>
      </c>
    </row>
    <row r="3904" spans="1:9" x14ac:dyDescent="0.35">
      <c r="A3904" s="3">
        <v>42045</v>
      </c>
      <c r="B3904" s="1" t="s">
        <v>191</v>
      </c>
      <c r="C3904" s="1" t="s">
        <v>17</v>
      </c>
      <c r="D3904" s="1" t="s">
        <v>18</v>
      </c>
      <c r="E3904" s="1" t="s">
        <v>26</v>
      </c>
      <c r="F3904" s="2" t="s">
        <v>2015</v>
      </c>
      <c r="G3904" s="1">
        <v>270.33999999999997</v>
      </c>
      <c r="H3904" s="1">
        <v>14</v>
      </c>
      <c r="I3904" s="1">
        <v>75.6952</v>
      </c>
    </row>
    <row r="3905" spans="1:9" x14ac:dyDescent="0.35">
      <c r="A3905" s="3">
        <v>42128</v>
      </c>
      <c r="B3905" s="1" t="s">
        <v>2667</v>
      </c>
      <c r="C3905" s="1" t="s">
        <v>74</v>
      </c>
      <c r="D3905" s="1" t="s">
        <v>75</v>
      </c>
      <c r="E3905" s="1" t="s">
        <v>37</v>
      </c>
      <c r="F3905" s="2" t="s">
        <v>2152</v>
      </c>
      <c r="G3905" s="1">
        <v>98.111999999999995</v>
      </c>
      <c r="H3905" s="1">
        <v>7</v>
      </c>
      <c r="I3905" s="1">
        <v>18.396000000000001</v>
      </c>
    </row>
    <row r="3906" spans="1:9" x14ac:dyDescent="0.35">
      <c r="A3906" s="3">
        <v>42128</v>
      </c>
      <c r="B3906" s="1" t="s">
        <v>2667</v>
      </c>
      <c r="C3906" s="1" t="s">
        <v>74</v>
      </c>
      <c r="D3906" s="1" t="s">
        <v>75</v>
      </c>
      <c r="E3906" s="1" t="s">
        <v>26</v>
      </c>
      <c r="F3906" s="2" t="s">
        <v>1241</v>
      </c>
      <c r="G3906" s="1">
        <v>563.80799999999999</v>
      </c>
      <c r="H3906" s="1">
        <v>4</v>
      </c>
      <c r="I3906" s="1">
        <v>21.142800000000001</v>
      </c>
    </row>
    <row r="3907" spans="1:9" x14ac:dyDescent="0.35">
      <c r="A3907" s="3">
        <v>42128</v>
      </c>
      <c r="B3907" s="1" t="s">
        <v>2667</v>
      </c>
      <c r="C3907" s="1" t="s">
        <v>74</v>
      </c>
      <c r="D3907" s="1" t="s">
        <v>75</v>
      </c>
      <c r="E3907" s="1" t="s">
        <v>35</v>
      </c>
      <c r="F3907" s="2" t="s">
        <v>1429</v>
      </c>
      <c r="G3907" s="1">
        <v>10.428000000000001</v>
      </c>
      <c r="H3907" s="1">
        <v>4</v>
      </c>
      <c r="I3907" s="1">
        <v>-6.952</v>
      </c>
    </row>
    <row r="3908" spans="1:9" x14ac:dyDescent="0.35">
      <c r="A3908" s="3">
        <v>42128</v>
      </c>
      <c r="B3908" s="1" t="s">
        <v>2667</v>
      </c>
      <c r="C3908" s="1" t="s">
        <v>74</v>
      </c>
      <c r="D3908" s="1" t="s">
        <v>75</v>
      </c>
      <c r="E3908" s="1" t="s">
        <v>29</v>
      </c>
      <c r="F3908" s="2" t="s">
        <v>2169</v>
      </c>
      <c r="G3908" s="1">
        <v>547.13599999999997</v>
      </c>
      <c r="H3908" s="1">
        <v>4</v>
      </c>
      <c r="I3908" s="1">
        <v>-68.391999999999996</v>
      </c>
    </row>
    <row r="3909" spans="1:9" x14ac:dyDescent="0.35">
      <c r="A3909" s="3">
        <v>42128</v>
      </c>
      <c r="B3909" s="1" t="s">
        <v>2667</v>
      </c>
      <c r="C3909" s="1" t="s">
        <v>74</v>
      </c>
      <c r="D3909" s="1" t="s">
        <v>75</v>
      </c>
      <c r="E3909" s="1" t="s">
        <v>33</v>
      </c>
      <c r="F3909" s="2" t="s">
        <v>893</v>
      </c>
      <c r="G3909" s="1">
        <v>14.85</v>
      </c>
      <c r="H3909" s="1">
        <v>5</v>
      </c>
      <c r="I3909" s="1">
        <v>-3.2174999999999998</v>
      </c>
    </row>
    <row r="3910" spans="1:9" x14ac:dyDescent="0.35">
      <c r="A3910" s="3">
        <v>42128</v>
      </c>
      <c r="B3910" s="1" t="s">
        <v>2667</v>
      </c>
      <c r="C3910" s="1" t="s">
        <v>74</v>
      </c>
      <c r="D3910" s="1" t="s">
        <v>75</v>
      </c>
      <c r="E3910" s="1" t="s">
        <v>33</v>
      </c>
      <c r="F3910" s="2" t="s">
        <v>236</v>
      </c>
      <c r="G3910" s="1">
        <v>41.988</v>
      </c>
      <c r="H3910" s="1">
        <v>2</v>
      </c>
      <c r="I3910" s="1">
        <v>-9.7972000000000001</v>
      </c>
    </row>
    <row r="3911" spans="1:9" x14ac:dyDescent="0.35">
      <c r="A3911" s="3">
        <v>42128</v>
      </c>
      <c r="B3911" s="1" t="s">
        <v>2667</v>
      </c>
      <c r="C3911" s="1" t="s">
        <v>74</v>
      </c>
      <c r="D3911" s="1" t="s">
        <v>75</v>
      </c>
      <c r="E3911" s="1" t="s">
        <v>29</v>
      </c>
      <c r="F3911" s="2" t="s">
        <v>1965</v>
      </c>
      <c r="G3911" s="1">
        <v>7.5839999999999996</v>
      </c>
      <c r="H3911" s="1">
        <v>1</v>
      </c>
      <c r="I3911" s="1">
        <v>2.37</v>
      </c>
    </row>
    <row r="3912" spans="1:9" x14ac:dyDescent="0.35">
      <c r="A3912" s="3">
        <v>42128</v>
      </c>
      <c r="B3912" s="1" t="s">
        <v>2667</v>
      </c>
      <c r="C3912" s="1" t="s">
        <v>74</v>
      </c>
      <c r="D3912" s="1" t="s">
        <v>75</v>
      </c>
      <c r="E3912" s="1" t="s">
        <v>12</v>
      </c>
      <c r="F3912" s="2" t="s">
        <v>2668</v>
      </c>
      <c r="G3912" s="1">
        <v>352.45</v>
      </c>
      <c r="H3912" s="1">
        <v>5</v>
      </c>
      <c r="I3912" s="1">
        <v>-211.47</v>
      </c>
    </row>
    <row r="3913" spans="1:9" x14ac:dyDescent="0.35">
      <c r="A3913" s="3">
        <v>42861</v>
      </c>
      <c r="B3913" s="1" t="s">
        <v>1641</v>
      </c>
      <c r="C3913" s="1" t="s">
        <v>2509</v>
      </c>
      <c r="D3913" s="1" t="s">
        <v>52</v>
      </c>
      <c r="E3913" s="1" t="s">
        <v>33</v>
      </c>
      <c r="F3913" s="2" t="s">
        <v>2669</v>
      </c>
      <c r="G3913" s="1">
        <v>470.37599999999998</v>
      </c>
      <c r="H3913" s="1">
        <v>3</v>
      </c>
      <c r="I3913" s="1">
        <v>52.917299999999997</v>
      </c>
    </row>
    <row r="3914" spans="1:9" x14ac:dyDescent="0.35">
      <c r="A3914" s="3" t="s">
        <v>3179</v>
      </c>
      <c r="B3914" s="1" t="s">
        <v>625</v>
      </c>
      <c r="C3914" s="1" t="s">
        <v>135</v>
      </c>
      <c r="D3914" s="1" t="s">
        <v>136</v>
      </c>
      <c r="E3914" s="1" t="s">
        <v>44</v>
      </c>
      <c r="F3914" s="2" t="s">
        <v>1658</v>
      </c>
      <c r="G3914" s="1">
        <v>19.440000000000001</v>
      </c>
      <c r="H3914" s="1">
        <v>3</v>
      </c>
      <c r="I3914" s="1">
        <v>9.3312000000000008</v>
      </c>
    </row>
    <row r="3915" spans="1:9" x14ac:dyDescent="0.35">
      <c r="A3915" s="3" t="s">
        <v>3179</v>
      </c>
      <c r="B3915" s="1" t="s">
        <v>625</v>
      </c>
      <c r="C3915" s="1" t="s">
        <v>135</v>
      </c>
      <c r="D3915" s="1" t="s">
        <v>136</v>
      </c>
      <c r="E3915" s="1" t="s">
        <v>29</v>
      </c>
      <c r="F3915" s="2" t="s">
        <v>1477</v>
      </c>
      <c r="G3915" s="1">
        <v>9.82</v>
      </c>
      <c r="H3915" s="1">
        <v>2</v>
      </c>
      <c r="I3915" s="1">
        <v>3.2406000000000001</v>
      </c>
    </row>
    <row r="3916" spans="1:9" x14ac:dyDescent="0.35">
      <c r="A3916" s="3" t="s">
        <v>3471</v>
      </c>
      <c r="B3916" s="1" t="s">
        <v>2105</v>
      </c>
      <c r="C3916" s="1" t="s">
        <v>272</v>
      </c>
      <c r="D3916" s="1" t="s">
        <v>158</v>
      </c>
      <c r="E3916" s="1" t="s">
        <v>24</v>
      </c>
      <c r="F3916" s="2" t="s">
        <v>1444</v>
      </c>
      <c r="G3916" s="1">
        <v>801.6</v>
      </c>
      <c r="H3916" s="1">
        <v>5</v>
      </c>
      <c r="I3916" s="1">
        <v>-448.89600000000002</v>
      </c>
    </row>
    <row r="3917" spans="1:9" x14ac:dyDescent="0.35">
      <c r="A3917" s="3" t="s">
        <v>3471</v>
      </c>
      <c r="B3917" s="1" t="s">
        <v>2105</v>
      </c>
      <c r="C3917" s="1" t="s">
        <v>272</v>
      </c>
      <c r="D3917" s="1" t="s">
        <v>158</v>
      </c>
      <c r="E3917" s="1" t="s">
        <v>14</v>
      </c>
      <c r="F3917" s="2" t="s">
        <v>102</v>
      </c>
      <c r="G3917" s="1">
        <v>161.56800000000001</v>
      </c>
      <c r="H3917" s="1">
        <v>2</v>
      </c>
      <c r="I3917" s="1">
        <v>10.098000000000001</v>
      </c>
    </row>
    <row r="3918" spans="1:9" x14ac:dyDescent="0.35">
      <c r="A3918" s="3" t="s">
        <v>3471</v>
      </c>
      <c r="B3918" s="1" t="s">
        <v>2105</v>
      </c>
      <c r="C3918" s="1" t="s">
        <v>272</v>
      </c>
      <c r="D3918" s="1" t="s">
        <v>158</v>
      </c>
      <c r="E3918" s="1" t="s">
        <v>44</v>
      </c>
      <c r="F3918" s="2" t="s">
        <v>2670</v>
      </c>
      <c r="G3918" s="1">
        <v>16.096</v>
      </c>
      <c r="H3918" s="1">
        <v>2</v>
      </c>
      <c r="I3918" s="1">
        <v>5.2312000000000003</v>
      </c>
    </row>
    <row r="3919" spans="1:9" x14ac:dyDescent="0.35">
      <c r="A3919" s="3" t="s">
        <v>3471</v>
      </c>
      <c r="B3919" s="1" t="s">
        <v>2105</v>
      </c>
      <c r="C3919" s="1" t="s">
        <v>272</v>
      </c>
      <c r="D3919" s="1" t="s">
        <v>158</v>
      </c>
      <c r="E3919" s="1" t="s">
        <v>35</v>
      </c>
      <c r="F3919" s="2" t="s">
        <v>1435</v>
      </c>
      <c r="G3919" s="1">
        <v>7.6559999999999997</v>
      </c>
      <c r="H3919" s="1">
        <v>4</v>
      </c>
      <c r="I3919" s="1">
        <v>-6.1247999999999996</v>
      </c>
    </row>
    <row r="3920" spans="1:9" x14ac:dyDescent="0.35">
      <c r="A3920" s="3" t="s">
        <v>3471</v>
      </c>
      <c r="B3920" s="1" t="s">
        <v>2105</v>
      </c>
      <c r="C3920" s="1" t="s">
        <v>272</v>
      </c>
      <c r="D3920" s="1" t="s">
        <v>158</v>
      </c>
      <c r="E3920" s="1" t="s">
        <v>14</v>
      </c>
      <c r="F3920" s="2" t="s">
        <v>172</v>
      </c>
      <c r="G3920" s="1">
        <v>311.976</v>
      </c>
      <c r="H3920" s="1">
        <v>3</v>
      </c>
      <c r="I3920" s="1">
        <v>-42.896700000000003</v>
      </c>
    </row>
    <row r="3921" spans="1:9" x14ac:dyDescent="0.35">
      <c r="A3921" s="3">
        <v>42016</v>
      </c>
      <c r="B3921" s="1" t="s">
        <v>1681</v>
      </c>
      <c r="C3921" s="1" t="s">
        <v>2009</v>
      </c>
      <c r="D3921" s="1" t="s">
        <v>163</v>
      </c>
      <c r="E3921" s="1" t="s">
        <v>26</v>
      </c>
      <c r="F3921" s="2" t="s">
        <v>766</v>
      </c>
      <c r="G3921" s="1">
        <v>61.68</v>
      </c>
      <c r="H3921" s="1">
        <v>4</v>
      </c>
      <c r="I3921" s="1">
        <v>16.653600000000001</v>
      </c>
    </row>
    <row r="3922" spans="1:9" x14ac:dyDescent="0.35">
      <c r="A3922" s="3">
        <v>42016</v>
      </c>
      <c r="B3922" s="1" t="s">
        <v>1681</v>
      </c>
      <c r="C3922" s="1" t="s">
        <v>2009</v>
      </c>
      <c r="D3922" s="1" t="s">
        <v>163</v>
      </c>
      <c r="E3922" s="1" t="s">
        <v>35</v>
      </c>
      <c r="F3922" s="2" t="s">
        <v>2317</v>
      </c>
      <c r="G3922" s="1">
        <v>63.96</v>
      </c>
      <c r="H3922" s="1">
        <v>4</v>
      </c>
      <c r="I3922" s="1">
        <v>30.700800000000001</v>
      </c>
    </row>
    <row r="3923" spans="1:9" x14ac:dyDescent="0.35">
      <c r="A3923" s="3" t="s">
        <v>3472</v>
      </c>
      <c r="B3923" s="1" t="s">
        <v>1079</v>
      </c>
      <c r="C3923" s="1" t="s">
        <v>154</v>
      </c>
      <c r="D3923" s="1" t="s">
        <v>106</v>
      </c>
      <c r="E3923" s="1" t="s">
        <v>33</v>
      </c>
      <c r="F3923" s="2" t="s">
        <v>2497</v>
      </c>
      <c r="G3923" s="1">
        <v>359.976</v>
      </c>
      <c r="H3923" s="1">
        <v>3</v>
      </c>
      <c r="I3923" s="1">
        <v>35.997599999999998</v>
      </c>
    </row>
    <row r="3924" spans="1:9" x14ac:dyDescent="0.35">
      <c r="A3924" s="3" t="s">
        <v>3473</v>
      </c>
      <c r="B3924" s="1" t="s">
        <v>972</v>
      </c>
      <c r="C3924" s="1" t="s">
        <v>154</v>
      </c>
      <c r="D3924" s="1" t="s">
        <v>106</v>
      </c>
      <c r="E3924" s="1" t="s">
        <v>44</v>
      </c>
      <c r="F3924" s="2" t="s">
        <v>445</v>
      </c>
      <c r="G3924" s="1">
        <v>25.344000000000001</v>
      </c>
      <c r="H3924" s="1">
        <v>6</v>
      </c>
      <c r="I3924" s="1">
        <v>7.92</v>
      </c>
    </row>
    <row r="3925" spans="1:9" x14ac:dyDescent="0.35">
      <c r="A3925" s="3" t="s">
        <v>3473</v>
      </c>
      <c r="B3925" s="1" t="s">
        <v>972</v>
      </c>
      <c r="C3925" s="1" t="s">
        <v>154</v>
      </c>
      <c r="D3925" s="1" t="s">
        <v>106</v>
      </c>
      <c r="E3925" s="1" t="s">
        <v>44</v>
      </c>
      <c r="F3925" s="2" t="s">
        <v>2671</v>
      </c>
      <c r="G3925" s="1">
        <v>26.72</v>
      </c>
      <c r="H3925" s="1">
        <v>5</v>
      </c>
      <c r="I3925" s="1">
        <v>9.3520000000000003</v>
      </c>
    </row>
    <row r="3926" spans="1:9" x14ac:dyDescent="0.35">
      <c r="A3926" s="3" t="s">
        <v>3362</v>
      </c>
      <c r="B3926" s="1" t="s">
        <v>819</v>
      </c>
      <c r="C3926" s="1" t="s">
        <v>47</v>
      </c>
      <c r="D3926" s="1" t="s">
        <v>48</v>
      </c>
      <c r="E3926" s="1" t="s">
        <v>26</v>
      </c>
      <c r="F3926" s="2" t="s">
        <v>838</v>
      </c>
      <c r="G3926" s="1">
        <v>30.28</v>
      </c>
      <c r="H3926" s="1">
        <v>2</v>
      </c>
      <c r="I3926" s="1">
        <v>1.2112000000000001</v>
      </c>
    </row>
    <row r="3927" spans="1:9" x14ac:dyDescent="0.35">
      <c r="A3927" s="3" t="s">
        <v>3362</v>
      </c>
      <c r="B3927" s="1" t="s">
        <v>819</v>
      </c>
      <c r="C3927" s="1" t="s">
        <v>47</v>
      </c>
      <c r="D3927" s="1" t="s">
        <v>48</v>
      </c>
      <c r="E3927" s="1" t="s">
        <v>26</v>
      </c>
      <c r="F3927" s="2" t="s">
        <v>2015</v>
      </c>
      <c r="G3927" s="1">
        <v>57.93</v>
      </c>
      <c r="H3927" s="1">
        <v>3</v>
      </c>
      <c r="I3927" s="1">
        <v>16.220400000000001</v>
      </c>
    </row>
    <row r="3928" spans="1:9" x14ac:dyDescent="0.35">
      <c r="A3928" s="3" t="s">
        <v>3362</v>
      </c>
      <c r="B3928" s="1" t="s">
        <v>819</v>
      </c>
      <c r="C3928" s="1" t="s">
        <v>47</v>
      </c>
      <c r="D3928" s="1" t="s">
        <v>48</v>
      </c>
      <c r="E3928" s="1" t="s">
        <v>29</v>
      </c>
      <c r="F3928" s="2" t="s">
        <v>2286</v>
      </c>
      <c r="G3928" s="1">
        <v>35.340000000000003</v>
      </c>
      <c r="H3928" s="1">
        <v>2</v>
      </c>
      <c r="I3928" s="1">
        <v>13.4292</v>
      </c>
    </row>
    <row r="3929" spans="1:9" x14ac:dyDescent="0.35">
      <c r="A3929" s="3" t="s">
        <v>3362</v>
      </c>
      <c r="B3929" s="1" t="s">
        <v>819</v>
      </c>
      <c r="C3929" s="1" t="s">
        <v>47</v>
      </c>
      <c r="D3929" s="1" t="s">
        <v>48</v>
      </c>
      <c r="E3929" s="1" t="s">
        <v>35</v>
      </c>
      <c r="F3929" s="2" t="s">
        <v>309</v>
      </c>
      <c r="G3929" s="1">
        <v>137.24</v>
      </c>
      <c r="H3929" s="1">
        <v>5</v>
      </c>
      <c r="I3929" s="1">
        <v>46.3185</v>
      </c>
    </row>
    <row r="3930" spans="1:9" x14ac:dyDescent="0.35">
      <c r="A3930" s="3" t="s">
        <v>3474</v>
      </c>
      <c r="B3930" s="1" t="s">
        <v>1322</v>
      </c>
      <c r="C3930" s="1" t="s">
        <v>617</v>
      </c>
      <c r="D3930" s="1" t="s">
        <v>52</v>
      </c>
      <c r="E3930" s="1" t="s">
        <v>12</v>
      </c>
      <c r="F3930" s="2" t="s">
        <v>1111</v>
      </c>
      <c r="G3930" s="1">
        <v>241.33199999999999</v>
      </c>
      <c r="H3930" s="1">
        <v>5</v>
      </c>
      <c r="I3930" s="1">
        <v>-14.196</v>
      </c>
    </row>
    <row r="3931" spans="1:9" x14ac:dyDescent="0.35">
      <c r="A3931" s="3" t="s">
        <v>3474</v>
      </c>
      <c r="B3931" s="1" t="s">
        <v>1322</v>
      </c>
      <c r="C3931" s="1" t="s">
        <v>617</v>
      </c>
      <c r="D3931" s="1" t="s">
        <v>52</v>
      </c>
      <c r="E3931" s="1" t="s">
        <v>44</v>
      </c>
      <c r="F3931" s="2" t="s">
        <v>974</v>
      </c>
      <c r="G3931" s="1">
        <v>5.1840000000000002</v>
      </c>
      <c r="H3931" s="1">
        <v>1</v>
      </c>
      <c r="I3931" s="1">
        <v>1.8792</v>
      </c>
    </row>
    <row r="3932" spans="1:9" x14ac:dyDescent="0.35">
      <c r="A3932" s="3" t="s">
        <v>3474</v>
      </c>
      <c r="B3932" s="1" t="s">
        <v>1322</v>
      </c>
      <c r="C3932" s="1" t="s">
        <v>617</v>
      </c>
      <c r="D3932" s="1" t="s">
        <v>52</v>
      </c>
      <c r="E3932" s="1" t="s">
        <v>31</v>
      </c>
      <c r="F3932" s="2" t="s">
        <v>1783</v>
      </c>
      <c r="G3932" s="1">
        <v>145.54400000000001</v>
      </c>
      <c r="H3932" s="1">
        <v>7</v>
      </c>
      <c r="I3932" s="1">
        <v>16.373699999999999</v>
      </c>
    </row>
    <row r="3933" spans="1:9" x14ac:dyDescent="0.35">
      <c r="A3933" s="3" t="s">
        <v>3278</v>
      </c>
      <c r="B3933" s="1" t="s">
        <v>1773</v>
      </c>
      <c r="C3933" s="1" t="s">
        <v>74</v>
      </c>
      <c r="D3933" s="1" t="s">
        <v>75</v>
      </c>
      <c r="E3933" s="1" t="s">
        <v>31</v>
      </c>
      <c r="F3933" s="2" t="s">
        <v>2672</v>
      </c>
      <c r="G3933" s="1">
        <v>5.4720000000000004</v>
      </c>
      <c r="H3933" s="1">
        <v>3</v>
      </c>
      <c r="I3933" s="1">
        <v>1.6415999999999999</v>
      </c>
    </row>
    <row r="3934" spans="1:9" x14ac:dyDescent="0.35">
      <c r="A3934" s="3" t="s">
        <v>3278</v>
      </c>
      <c r="B3934" s="1" t="s">
        <v>1773</v>
      </c>
      <c r="C3934" s="1" t="s">
        <v>74</v>
      </c>
      <c r="D3934" s="1" t="s">
        <v>75</v>
      </c>
      <c r="E3934" s="1" t="s">
        <v>81</v>
      </c>
      <c r="F3934" s="2" t="s">
        <v>1703</v>
      </c>
      <c r="G3934" s="1">
        <v>47.984000000000002</v>
      </c>
      <c r="H3934" s="1">
        <v>2</v>
      </c>
      <c r="I3934" s="1">
        <v>13.195600000000001</v>
      </c>
    </row>
    <row r="3935" spans="1:9" x14ac:dyDescent="0.35">
      <c r="A3935" s="3">
        <v>42775</v>
      </c>
      <c r="B3935" s="1" t="s">
        <v>1758</v>
      </c>
      <c r="C3935" s="1" t="s">
        <v>2371</v>
      </c>
      <c r="D3935" s="1" t="s">
        <v>18</v>
      </c>
      <c r="E3935" s="1" t="s">
        <v>31</v>
      </c>
      <c r="F3935" s="2" t="s">
        <v>1467</v>
      </c>
      <c r="G3935" s="1">
        <v>9.4</v>
      </c>
      <c r="H3935" s="1">
        <v>5</v>
      </c>
      <c r="I3935" s="1">
        <v>2.726</v>
      </c>
    </row>
    <row r="3936" spans="1:9" x14ac:dyDescent="0.35">
      <c r="A3936" s="3">
        <v>42775</v>
      </c>
      <c r="B3936" s="1" t="s">
        <v>1758</v>
      </c>
      <c r="C3936" s="1" t="s">
        <v>2371</v>
      </c>
      <c r="D3936" s="1" t="s">
        <v>18</v>
      </c>
      <c r="E3936" s="1" t="s">
        <v>19</v>
      </c>
      <c r="F3936" s="2" t="s">
        <v>415</v>
      </c>
      <c r="G3936" s="1">
        <v>74</v>
      </c>
      <c r="H3936" s="1">
        <v>5</v>
      </c>
      <c r="I3936" s="1">
        <v>37</v>
      </c>
    </row>
    <row r="3937" spans="1:9" x14ac:dyDescent="0.35">
      <c r="A3937" s="3">
        <v>42775</v>
      </c>
      <c r="B3937" s="1" t="s">
        <v>1758</v>
      </c>
      <c r="C3937" s="1" t="s">
        <v>2371</v>
      </c>
      <c r="D3937" s="1" t="s">
        <v>18</v>
      </c>
      <c r="E3937" s="1" t="s">
        <v>33</v>
      </c>
      <c r="F3937" s="2" t="s">
        <v>2586</v>
      </c>
      <c r="G3937" s="1">
        <v>201.584</v>
      </c>
      <c r="H3937" s="1">
        <v>2</v>
      </c>
      <c r="I3937" s="1">
        <v>12.599</v>
      </c>
    </row>
    <row r="3938" spans="1:9" x14ac:dyDescent="0.35">
      <c r="A3938" s="3" t="s">
        <v>3475</v>
      </c>
      <c r="B3938" s="1" t="s">
        <v>2644</v>
      </c>
      <c r="C3938" s="1" t="s">
        <v>373</v>
      </c>
      <c r="D3938" s="1" t="s">
        <v>52</v>
      </c>
      <c r="E3938" s="1" t="s">
        <v>87</v>
      </c>
      <c r="F3938" s="2" t="s">
        <v>332</v>
      </c>
      <c r="G3938" s="1">
        <v>28.751999999999999</v>
      </c>
      <c r="H3938" s="1">
        <v>3</v>
      </c>
      <c r="I3938" s="1">
        <v>9.3444000000000003</v>
      </c>
    </row>
    <row r="3939" spans="1:9" x14ac:dyDescent="0.35">
      <c r="A3939" s="3" t="s">
        <v>3475</v>
      </c>
      <c r="B3939" s="1" t="s">
        <v>2644</v>
      </c>
      <c r="C3939" s="1" t="s">
        <v>373</v>
      </c>
      <c r="D3939" s="1" t="s">
        <v>52</v>
      </c>
      <c r="E3939" s="1" t="s">
        <v>44</v>
      </c>
      <c r="F3939" s="2" t="s">
        <v>1294</v>
      </c>
      <c r="G3939" s="1">
        <v>27.216000000000001</v>
      </c>
      <c r="H3939" s="1">
        <v>3</v>
      </c>
      <c r="I3939" s="1">
        <v>9.8658000000000001</v>
      </c>
    </row>
    <row r="3940" spans="1:9" x14ac:dyDescent="0.35">
      <c r="A3940" s="3" t="s">
        <v>3475</v>
      </c>
      <c r="B3940" s="1" t="s">
        <v>2644</v>
      </c>
      <c r="C3940" s="1" t="s">
        <v>373</v>
      </c>
      <c r="D3940" s="1" t="s">
        <v>52</v>
      </c>
      <c r="E3940" s="1" t="s">
        <v>14</v>
      </c>
      <c r="F3940" s="2" t="s">
        <v>1513</v>
      </c>
      <c r="G3940" s="1">
        <v>197.37200000000001</v>
      </c>
      <c r="H3940" s="1">
        <v>2</v>
      </c>
      <c r="I3940" s="1">
        <v>-25.3764</v>
      </c>
    </row>
    <row r="3941" spans="1:9" x14ac:dyDescent="0.35">
      <c r="A3941" s="3">
        <v>42655</v>
      </c>
      <c r="B3941" s="1" t="s">
        <v>2567</v>
      </c>
      <c r="C3941" s="1" t="s">
        <v>2673</v>
      </c>
      <c r="D3941" s="1" t="s">
        <v>129</v>
      </c>
      <c r="E3941" s="1" t="s">
        <v>14</v>
      </c>
      <c r="F3941" s="2" t="s">
        <v>836</v>
      </c>
      <c r="G3941" s="1">
        <v>1424.9</v>
      </c>
      <c r="H3941" s="1">
        <v>5</v>
      </c>
      <c r="I3941" s="1">
        <v>356.22500000000002</v>
      </c>
    </row>
    <row r="3942" spans="1:9" x14ac:dyDescent="0.35">
      <c r="A3942" s="3" t="s">
        <v>3270</v>
      </c>
      <c r="B3942" s="1" t="s">
        <v>1300</v>
      </c>
      <c r="C3942" s="1" t="s">
        <v>135</v>
      </c>
      <c r="D3942" s="1" t="s">
        <v>136</v>
      </c>
      <c r="E3942" s="1" t="s">
        <v>29</v>
      </c>
      <c r="F3942" s="2" t="s">
        <v>1727</v>
      </c>
      <c r="G3942" s="1">
        <v>14.56</v>
      </c>
      <c r="H3942" s="1">
        <v>2</v>
      </c>
      <c r="I3942" s="1">
        <v>6.2607999999999997</v>
      </c>
    </row>
    <row r="3943" spans="1:9" x14ac:dyDescent="0.35">
      <c r="A3943" s="3" t="s">
        <v>3270</v>
      </c>
      <c r="B3943" s="1" t="s">
        <v>1300</v>
      </c>
      <c r="C3943" s="1" t="s">
        <v>135</v>
      </c>
      <c r="D3943" s="1" t="s">
        <v>136</v>
      </c>
      <c r="E3943" s="1" t="s">
        <v>35</v>
      </c>
      <c r="F3943" s="2" t="s">
        <v>953</v>
      </c>
      <c r="G3943" s="1">
        <v>3.048</v>
      </c>
      <c r="H3943" s="1">
        <v>1</v>
      </c>
      <c r="I3943" s="1">
        <v>1.0286999999999999</v>
      </c>
    </row>
    <row r="3944" spans="1:9" x14ac:dyDescent="0.35">
      <c r="A3944" s="3" t="s">
        <v>3333</v>
      </c>
      <c r="B3944" s="1" t="s">
        <v>79</v>
      </c>
      <c r="C3944" s="1" t="s">
        <v>170</v>
      </c>
      <c r="D3944" s="1" t="s">
        <v>171</v>
      </c>
      <c r="E3944" s="1" t="s">
        <v>44</v>
      </c>
      <c r="F3944" s="2" t="s">
        <v>1335</v>
      </c>
      <c r="G3944" s="1">
        <v>25.92</v>
      </c>
      <c r="H3944" s="1">
        <v>5</v>
      </c>
      <c r="I3944" s="1">
        <v>9.0719999999999992</v>
      </c>
    </row>
    <row r="3945" spans="1:9" x14ac:dyDescent="0.35">
      <c r="A3945" s="3" t="s">
        <v>3476</v>
      </c>
      <c r="B3945" s="1" t="s">
        <v>2674</v>
      </c>
      <c r="C3945" s="1" t="s">
        <v>1494</v>
      </c>
      <c r="D3945" s="1" t="s">
        <v>136</v>
      </c>
      <c r="E3945" s="1" t="s">
        <v>289</v>
      </c>
      <c r="F3945" s="2" t="s">
        <v>2352</v>
      </c>
      <c r="G3945" s="1">
        <v>835.17</v>
      </c>
      <c r="H3945" s="1">
        <v>7</v>
      </c>
      <c r="I3945" s="1">
        <v>16.703399999999998</v>
      </c>
    </row>
    <row r="3946" spans="1:9" x14ac:dyDescent="0.35">
      <c r="A3946" s="3" t="s">
        <v>3477</v>
      </c>
      <c r="B3946" s="1" t="s">
        <v>639</v>
      </c>
      <c r="C3946" s="1" t="s">
        <v>17</v>
      </c>
      <c r="D3946" s="1" t="s">
        <v>18</v>
      </c>
      <c r="E3946" s="1" t="s">
        <v>44</v>
      </c>
      <c r="F3946" s="2" t="s">
        <v>1074</v>
      </c>
      <c r="G3946" s="1">
        <v>17.34</v>
      </c>
      <c r="H3946" s="1">
        <v>3</v>
      </c>
      <c r="I3946" s="1">
        <v>8.4966000000000008</v>
      </c>
    </row>
    <row r="3947" spans="1:9" x14ac:dyDescent="0.35">
      <c r="A3947" s="3" t="s">
        <v>3303</v>
      </c>
      <c r="B3947" s="1" t="s">
        <v>2079</v>
      </c>
      <c r="C3947" s="1" t="s">
        <v>1424</v>
      </c>
      <c r="D3947" s="1" t="s">
        <v>23</v>
      </c>
      <c r="E3947" s="1" t="s">
        <v>44</v>
      </c>
      <c r="F3947" s="2" t="s">
        <v>2472</v>
      </c>
      <c r="G3947" s="1">
        <v>44.384</v>
      </c>
      <c r="H3947" s="1">
        <v>1</v>
      </c>
      <c r="I3947" s="1">
        <v>15.5344</v>
      </c>
    </row>
    <row r="3948" spans="1:9" x14ac:dyDescent="0.35">
      <c r="A3948" s="3" t="s">
        <v>3303</v>
      </c>
      <c r="B3948" s="1" t="s">
        <v>2079</v>
      </c>
      <c r="C3948" s="1" t="s">
        <v>1424</v>
      </c>
      <c r="D3948" s="1" t="s">
        <v>23</v>
      </c>
      <c r="E3948" s="1" t="s">
        <v>289</v>
      </c>
      <c r="F3948" s="2" t="s">
        <v>614</v>
      </c>
      <c r="G3948" s="1">
        <v>2.944</v>
      </c>
      <c r="H3948" s="1">
        <v>1</v>
      </c>
      <c r="I3948" s="1">
        <v>-0.66239999999999999</v>
      </c>
    </row>
    <row r="3949" spans="1:9" x14ac:dyDescent="0.35">
      <c r="A3949" s="3" t="s">
        <v>3182</v>
      </c>
      <c r="B3949" s="1" t="s">
        <v>99</v>
      </c>
      <c r="C3949" s="1" t="s">
        <v>301</v>
      </c>
      <c r="D3949" s="1" t="s">
        <v>52</v>
      </c>
      <c r="E3949" s="1" t="s">
        <v>31</v>
      </c>
      <c r="F3949" s="2" t="s">
        <v>379</v>
      </c>
      <c r="G3949" s="1">
        <v>6.3680000000000003</v>
      </c>
      <c r="H3949" s="1">
        <v>2</v>
      </c>
      <c r="I3949" s="1">
        <v>1.0347999999999999</v>
      </c>
    </row>
    <row r="3950" spans="1:9" x14ac:dyDescent="0.35">
      <c r="A3950" s="3" t="s">
        <v>3182</v>
      </c>
      <c r="B3950" s="1" t="s">
        <v>99</v>
      </c>
      <c r="C3950" s="1" t="s">
        <v>301</v>
      </c>
      <c r="D3950" s="1" t="s">
        <v>52</v>
      </c>
      <c r="E3950" s="1" t="s">
        <v>19</v>
      </c>
      <c r="F3950" s="2" t="s">
        <v>1026</v>
      </c>
      <c r="G3950" s="1">
        <v>48.847999999999999</v>
      </c>
      <c r="H3950" s="1">
        <v>2</v>
      </c>
      <c r="I3950" s="1">
        <v>15.8756</v>
      </c>
    </row>
    <row r="3951" spans="1:9" x14ac:dyDescent="0.35">
      <c r="A3951" s="3" t="s">
        <v>3182</v>
      </c>
      <c r="B3951" s="1" t="s">
        <v>99</v>
      </c>
      <c r="C3951" s="1" t="s">
        <v>301</v>
      </c>
      <c r="D3951" s="1" t="s">
        <v>52</v>
      </c>
      <c r="E3951" s="1" t="s">
        <v>44</v>
      </c>
      <c r="F3951" s="2" t="s">
        <v>595</v>
      </c>
      <c r="G3951" s="1">
        <v>19.648</v>
      </c>
      <c r="H3951" s="1">
        <v>2</v>
      </c>
      <c r="I3951" s="1">
        <v>6.6311999999999998</v>
      </c>
    </row>
    <row r="3952" spans="1:9" x14ac:dyDescent="0.35">
      <c r="A3952" s="3" t="s">
        <v>3182</v>
      </c>
      <c r="B3952" s="1" t="s">
        <v>99</v>
      </c>
      <c r="C3952" s="1" t="s">
        <v>301</v>
      </c>
      <c r="D3952" s="1" t="s">
        <v>52</v>
      </c>
      <c r="E3952" s="1" t="s">
        <v>14</v>
      </c>
      <c r="F3952" s="2" t="s">
        <v>348</v>
      </c>
      <c r="G3952" s="1">
        <v>255.108</v>
      </c>
      <c r="H3952" s="1">
        <v>6</v>
      </c>
      <c r="I3952" s="1">
        <v>-18.222000000000001</v>
      </c>
    </row>
    <row r="3953" spans="1:9" x14ac:dyDescent="0.35">
      <c r="A3953" s="3" t="s">
        <v>3478</v>
      </c>
      <c r="B3953" s="1" t="s">
        <v>1348</v>
      </c>
      <c r="C3953" s="1" t="s">
        <v>1593</v>
      </c>
      <c r="D3953" s="1" t="s">
        <v>136</v>
      </c>
      <c r="E3953" s="1" t="s">
        <v>35</v>
      </c>
      <c r="F3953" s="2" t="s">
        <v>1409</v>
      </c>
      <c r="G3953" s="1">
        <v>17.248000000000001</v>
      </c>
      <c r="H3953" s="1">
        <v>2</v>
      </c>
      <c r="I3953" s="1">
        <v>6.0368000000000004</v>
      </c>
    </row>
    <row r="3954" spans="1:9" x14ac:dyDescent="0.35">
      <c r="A3954" s="3">
        <v>42372</v>
      </c>
      <c r="B3954" s="1" t="s">
        <v>113</v>
      </c>
      <c r="C3954" s="1" t="s">
        <v>395</v>
      </c>
      <c r="D3954" s="1" t="s">
        <v>229</v>
      </c>
      <c r="E3954" s="1" t="s">
        <v>33</v>
      </c>
      <c r="F3954" s="2" t="s">
        <v>2675</v>
      </c>
      <c r="G3954" s="1">
        <v>159.98400000000001</v>
      </c>
      <c r="H3954" s="1">
        <v>2</v>
      </c>
      <c r="I3954" s="1">
        <v>13.9986</v>
      </c>
    </row>
    <row r="3955" spans="1:9" x14ac:dyDescent="0.35">
      <c r="A3955" s="3" t="s">
        <v>3250</v>
      </c>
      <c r="B3955" s="1" t="s">
        <v>744</v>
      </c>
      <c r="C3955" s="1" t="s">
        <v>626</v>
      </c>
      <c r="D3955" s="1" t="s">
        <v>592</v>
      </c>
      <c r="E3955" s="1" t="s">
        <v>44</v>
      </c>
      <c r="F3955" s="2" t="s">
        <v>168</v>
      </c>
      <c r="G3955" s="1">
        <v>12.7</v>
      </c>
      <c r="H3955" s="1">
        <v>2</v>
      </c>
      <c r="I3955" s="1">
        <v>5.8419999999999996</v>
      </c>
    </row>
    <row r="3956" spans="1:9" x14ac:dyDescent="0.35">
      <c r="A3956" s="3">
        <v>41733</v>
      </c>
      <c r="B3956" s="1" t="s">
        <v>1378</v>
      </c>
      <c r="C3956" s="1" t="s">
        <v>429</v>
      </c>
      <c r="D3956" s="1" t="s">
        <v>120</v>
      </c>
      <c r="E3956" s="1" t="s">
        <v>29</v>
      </c>
      <c r="F3956" s="2" t="s">
        <v>882</v>
      </c>
      <c r="G3956" s="1">
        <v>5.47</v>
      </c>
      <c r="H3956" s="1">
        <v>1</v>
      </c>
      <c r="I3956" s="1">
        <v>2.3521000000000001</v>
      </c>
    </row>
    <row r="3957" spans="1:9" x14ac:dyDescent="0.35">
      <c r="A3957" s="3">
        <v>41733</v>
      </c>
      <c r="B3957" s="1" t="s">
        <v>1378</v>
      </c>
      <c r="C3957" s="1" t="s">
        <v>429</v>
      </c>
      <c r="D3957" s="1" t="s">
        <v>120</v>
      </c>
      <c r="E3957" s="1" t="s">
        <v>31</v>
      </c>
      <c r="F3957" s="2" t="s">
        <v>1752</v>
      </c>
      <c r="G3957" s="1">
        <v>79.36</v>
      </c>
      <c r="H3957" s="1">
        <v>4</v>
      </c>
      <c r="I3957" s="1">
        <v>23.808</v>
      </c>
    </row>
    <row r="3958" spans="1:9" x14ac:dyDescent="0.35">
      <c r="A3958" s="3" t="s">
        <v>3479</v>
      </c>
      <c r="B3958" s="1" t="s">
        <v>185</v>
      </c>
      <c r="C3958" s="1" t="s">
        <v>64</v>
      </c>
      <c r="D3958" s="1" t="s">
        <v>18</v>
      </c>
      <c r="E3958" s="1" t="s">
        <v>29</v>
      </c>
      <c r="F3958" s="2" t="s">
        <v>2074</v>
      </c>
      <c r="G3958" s="1">
        <v>22.14</v>
      </c>
      <c r="H3958" s="1">
        <v>3</v>
      </c>
      <c r="I3958" s="1">
        <v>6.4206000000000003</v>
      </c>
    </row>
    <row r="3959" spans="1:9" x14ac:dyDescent="0.35">
      <c r="A3959" s="3" t="s">
        <v>3480</v>
      </c>
      <c r="B3959" s="1" t="s">
        <v>733</v>
      </c>
      <c r="C3959" s="1" t="s">
        <v>2272</v>
      </c>
      <c r="D3959" s="1" t="s">
        <v>171</v>
      </c>
      <c r="E3959" s="1" t="s">
        <v>35</v>
      </c>
      <c r="F3959" s="2" t="s">
        <v>1838</v>
      </c>
      <c r="G3959" s="1">
        <v>11.276999999999999</v>
      </c>
      <c r="H3959" s="1">
        <v>3</v>
      </c>
      <c r="I3959" s="1">
        <v>-8.6456999999999997</v>
      </c>
    </row>
    <row r="3960" spans="1:9" x14ac:dyDescent="0.35">
      <c r="A3960" s="3" t="s">
        <v>3480</v>
      </c>
      <c r="B3960" s="1" t="s">
        <v>733</v>
      </c>
      <c r="C3960" s="1" t="s">
        <v>2272</v>
      </c>
      <c r="D3960" s="1" t="s">
        <v>171</v>
      </c>
      <c r="E3960" s="1" t="s">
        <v>31</v>
      </c>
      <c r="F3960" s="2" t="s">
        <v>608</v>
      </c>
      <c r="G3960" s="1">
        <v>4.4480000000000004</v>
      </c>
      <c r="H3960" s="1">
        <v>2</v>
      </c>
      <c r="I3960" s="1">
        <v>0.33360000000000001</v>
      </c>
    </row>
    <row r="3961" spans="1:9" x14ac:dyDescent="0.35">
      <c r="A3961" s="3" t="s">
        <v>3480</v>
      </c>
      <c r="B3961" s="1" t="s">
        <v>733</v>
      </c>
      <c r="C3961" s="1" t="s">
        <v>2272</v>
      </c>
      <c r="D3961" s="1" t="s">
        <v>171</v>
      </c>
      <c r="E3961" s="1" t="s">
        <v>29</v>
      </c>
      <c r="F3961" s="2" t="s">
        <v>2676</v>
      </c>
      <c r="G3961" s="1">
        <v>44.76</v>
      </c>
      <c r="H3961" s="1">
        <v>3</v>
      </c>
      <c r="I3961" s="1">
        <v>14.547000000000001</v>
      </c>
    </row>
    <row r="3962" spans="1:9" x14ac:dyDescent="0.35">
      <c r="A3962" s="3" t="s">
        <v>3481</v>
      </c>
      <c r="B3962" s="1" t="s">
        <v>1675</v>
      </c>
      <c r="C3962" s="1" t="s">
        <v>429</v>
      </c>
      <c r="D3962" s="1" t="s">
        <v>120</v>
      </c>
      <c r="E3962" s="1" t="s">
        <v>35</v>
      </c>
      <c r="F3962" s="2" t="s">
        <v>1995</v>
      </c>
      <c r="G3962" s="1">
        <v>38.28</v>
      </c>
      <c r="H3962" s="1">
        <v>6</v>
      </c>
      <c r="I3962" s="1">
        <v>17.608799999999999</v>
      </c>
    </row>
    <row r="3963" spans="1:9" x14ac:dyDescent="0.35">
      <c r="A3963" s="3" t="s">
        <v>3481</v>
      </c>
      <c r="B3963" s="1" t="s">
        <v>1675</v>
      </c>
      <c r="C3963" s="1" t="s">
        <v>429</v>
      </c>
      <c r="D3963" s="1" t="s">
        <v>120</v>
      </c>
      <c r="E3963" s="1" t="s">
        <v>33</v>
      </c>
      <c r="F3963" s="2" t="s">
        <v>1665</v>
      </c>
      <c r="G3963" s="1">
        <v>149.94999999999999</v>
      </c>
      <c r="H3963" s="1">
        <v>5</v>
      </c>
      <c r="I3963" s="1">
        <v>44.984999999999999</v>
      </c>
    </row>
    <row r="3964" spans="1:9" x14ac:dyDescent="0.35">
      <c r="A3964" s="3" t="s">
        <v>3296</v>
      </c>
      <c r="B3964" s="1" t="s">
        <v>1859</v>
      </c>
      <c r="C3964" s="1" t="s">
        <v>17</v>
      </c>
      <c r="D3964" s="1" t="s">
        <v>18</v>
      </c>
      <c r="E3964" s="1" t="s">
        <v>31</v>
      </c>
      <c r="F3964" s="2" t="s">
        <v>1685</v>
      </c>
      <c r="G3964" s="1">
        <v>12.84</v>
      </c>
      <c r="H3964" s="1">
        <v>3</v>
      </c>
      <c r="I3964" s="1">
        <v>3.4668000000000001</v>
      </c>
    </row>
    <row r="3965" spans="1:9" x14ac:dyDescent="0.35">
      <c r="A3965" s="3" t="s">
        <v>3296</v>
      </c>
      <c r="B3965" s="1" t="s">
        <v>1859</v>
      </c>
      <c r="C3965" s="1" t="s">
        <v>17</v>
      </c>
      <c r="D3965" s="1" t="s">
        <v>18</v>
      </c>
      <c r="E3965" s="1" t="s">
        <v>29</v>
      </c>
      <c r="F3965" s="2" t="s">
        <v>1588</v>
      </c>
      <c r="G3965" s="1">
        <v>44.67</v>
      </c>
      <c r="H3965" s="1">
        <v>3</v>
      </c>
      <c r="I3965" s="1">
        <v>12.0609</v>
      </c>
    </row>
    <row r="3966" spans="1:9" x14ac:dyDescent="0.35">
      <c r="A3966" s="3" t="s">
        <v>3423</v>
      </c>
      <c r="B3966" s="1" t="s">
        <v>2220</v>
      </c>
      <c r="C3966" s="1" t="s">
        <v>74</v>
      </c>
      <c r="D3966" s="1" t="s">
        <v>75</v>
      </c>
      <c r="E3966" s="1" t="s">
        <v>31</v>
      </c>
      <c r="F3966" s="2" t="s">
        <v>2677</v>
      </c>
      <c r="G3966" s="1">
        <v>7.8719999999999999</v>
      </c>
      <c r="H3966" s="1">
        <v>3</v>
      </c>
      <c r="I3966" s="1">
        <v>0.88560000000000005</v>
      </c>
    </row>
    <row r="3967" spans="1:9" x14ac:dyDescent="0.35">
      <c r="A3967" s="3">
        <v>41984</v>
      </c>
      <c r="B3967" s="1" t="s">
        <v>2392</v>
      </c>
      <c r="C3967" s="1" t="s">
        <v>1121</v>
      </c>
      <c r="D3967" s="1" t="s">
        <v>43</v>
      </c>
      <c r="E3967" s="1" t="s">
        <v>31</v>
      </c>
      <c r="F3967" s="2" t="s">
        <v>534</v>
      </c>
      <c r="G3967" s="1">
        <v>7.8719999999999999</v>
      </c>
      <c r="H3967" s="1">
        <v>3</v>
      </c>
      <c r="I3967" s="1">
        <v>0.88560000000000005</v>
      </c>
    </row>
    <row r="3968" spans="1:9" x14ac:dyDescent="0.35">
      <c r="A3968" s="3">
        <v>42373</v>
      </c>
      <c r="B3968" s="1" t="s">
        <v>1383</v>
      </c>
      <c r="C3968" s="1" t="s">
        <v>135</v>
      </c>
      <c r="D3968" s="1" t="s">
        <v>136</v>
      </c>
      <c r="E3968" s="1" t="s">
        <v>31</v>
      </c>
      <c r="F3968" s="2" t="s">
        <v>1164</v>
      </c>
      <c r="G3968" s="1">
        <v>88.04</v>
      </c>
      <c r="H3968" s="1">
        <v>4</v>
      </c>
      <c r="I3968" s="1">
        <v>22.8904</v>
      </c>
    </row>
    <row r="3969" spans="1:9" x14ac:dyDescent="0.35">
      <c r="A3969" s="3" t="s">
        <v>3431</v>
      </c>
      <c r="B3969" s="1" t="s">
        <v>987</v>
      </c>
      <c r="C3969" s="1" t="s">
        <v>518</v>
      </c>
      <c r="D3969" s="1" t="s">
        <v>229</v>
      </c>
      <c r="E3969" s="1" t="s">
        <v>35</v>
      </c>
      <c r="F3969" s="2" t="s">
        <v>1081</v>
      </c>
      <c r="G3969" s="1">
        <v>40.634999999999998</v>
      </c>
      <c r="H3969" s="1">
        <v>7</v>
      </c>
      <c r="I3969" s="1">
        <v>-32.508000000000003</v>
      </c>
    </row>
    <row r="3970" spans="1:9" x14ac:dyDescent="0.35">
      <c r="A3970" s="3">
        <v>42010</v>
      </c>
      <c r="B3970" s="1" t="s">
        <v>2648</v>
      </c>
      <c r="C3970" s="1" t="s">
        <v>336</v>
      </c>
      <c r="D3970" s="1" t="s">
        <v>52</v>
      </c>
      <c r="E3970" s="1" t="s">
        <v>35</v>
      </c>
      <c r="F3970" s="2" t="s">
        <v>369</v>
      </c>
      <c r="G3970" s="1">
        <v>5.7279999999999998</v>
      </c>
      <c r="H3970" s="1">
        <v>8</v>
      </c>
      <c r="I3970" s="1">
        <v>-9.1647999999999996</v>
      </c>
    </row>
    <row r="3971" spans="1:9" x14ac:dyDescent="0.35">
      <c r="A3971" s="3">
        <v>42010</v>
      </c>
      <c r="B3971" s="1" t="s">
        <v>2648</v>
      </c>
      <c r="C3971" s="1" t="s">
        <v>336</v>
      </c>
      <c r="D3971" s="1" t="s">
        <v>52</v>
      </c>
      <c r="E3971" s="1" t="s">
        <v>44</v>
      </c>
      <c r="F3971" s="2" t="s">
        <v>2678</v>
      </c>
      <c r="G3971" s="1">
        <v>42.24</v>
      </c>
      <c r="H3971" s="1">
        <v>10</v>
      </c>
      <c r="I3971" s="1">
        <v>13.2</v>
      </c>
    </row>
    <row r="3972" spans="1:9" x14ac:dyDescent="0.35">
      <c r="A3972" s="3" t="s">
        <v>3204</v>
      </c>
      <c r="B3972" s="1" t="s">
        <v>2679</v>
      </c>
      <c r="C3972" s="1" t="s">
        <v>17</v>
      </c>
      <c r="D3972" s="1" t="s">
        <v>18</v>
      </c>
      <c r="E3972" s="1" t="s">
        <v>44</v>
      </c>
      <c r="F3972" s="2" t="s">
        <v>2243</v>
      </c>
      <c r="G3972" s="1">
        <v>53.82</v>
      </c>
      <c r="H3972" s="1">
        <v>9</v>
      </c>
      <c r="I3972" s="1">
        <v>24.219000000000001</v>
      </c>
    </row>
    <row r="3973" spans="1:9" x14ac:dyDescent="0.35">
      <c r="A3973" s="3" t="s">
        <v>3482</v>
      </c>
      <c r="B3973" s="1" t="s">
        <v>1399</v>
      </c>
      <c r="C3973" s="1" t="s">
        <v>2438</v>
      </c>
      <c r="D3973" s="1" t="s">
        <v>120</v>
      </c>
      <c r="E3973" s="1" t="s">
        <v>31</v>
      </c>
      <c r="F3973" s="2" t="s">
        <v>2496</v>
      </c>
      <c r="G3973" s="1">
        <v>79.36</v>
      </c>
      <c r="H3973" s="1">
        <v>4</v>
      </c>
      <c r="I3973" s="1">
        <v>20.633600000000001</v>
      </c>
    </row>
    <row r="3974" spans="1:9" x14ac:dyDescent="0.35">
      <c r="A3974" s="3" t="s">
        <v>3415</v>
      </c>
      <c r="B3974" s="1" t="s">
        <v>233</v>
      </c>
      <c r="C3974" s="1" t="s">
        <v>135</v>
      </c>
      <c r="D3974" s="1" t="s">
        <v>136</v>
      </c>
      <c r="E3974" s="1" t="s">
        <v>44</v>
      </c>
      <c r="F3974" s="2" t="s">
        <v>1596</v>
      </c>
      <c r="G3974" s="1">
        <v>13.48</v>
      </c>
      <c r="H3974" s="1">
        <v>2</v>
      </c>
      <c r="I3974" s="1">
        <v>6.74</v>
      </c>
    </row>
    <row r="3975" spans="1:9" x14ac:dyDescent="0.35">
      <c r="A3975" s="3" t="s">
        <v>3415</v>
      </c>
      <c r="B3975" s="1" t="s">
        <v>233</v>
      </c>
      <c r="C3975" s="1" t="s">
        <v>135</v>
      </c>
      <c r="D3975" s="1" t="s">
        <v>136</v>
      </c>
      <c r="E3975" s="1" t="s">
        <v>35</v>
      </c>
      <c r="F3975" s="2" t="s">
        <v>1653</v>
      </c>
      <c r="G3975" s="1">
        <v>29.8</v>
      </c>
      <c r="H3975" s="1">
        <v>5</v>
      </c>
      <c r="I3975" s="1">
        <v>9.3125</v>
      </c>
    </row>
    <row r="3976" spans="1:9" x14ac:dyDescent="0.35">
      <c r="A3976" s="3" t="s">
        <v>3415</v>
      </c>
      <c r="B3976" s="1" t="s">
        <v>233</v>
      </c>
      <c r="C3976" s="1" t="s">
        <v>135</v>
      </c>
      <c r="D3976" s="1" t="s">
        <v>136</v>
      </c>
      <c r="E3976" s="1" t="s">
        <v>29</v>
      </c>
      <c r="F3976" s="2" t="s">
        <v>86</v>
      </c>
      <c r="G3976" s="1">
        <v>414</v>
      </c>
      <c r="H3976" s="1">
        <v>8</v>
      </c>
      <c r="I3976" s="1">
        <v>124.2</v>
      </c>
    </row>
    <row r="3977" spans="1:9" x14ac:dyDescent="0.35">
      <c r="A3977" s="3" t="s">
        <v>3415</v>
      </c>
      <c r="B3977" s="1" t="s">
        <v>233</v>
      </c>
      <c r="C3977" s="1" t="s">
        <v>135</v>
      </c>
      <c r="D3977" s="1" t="s">
        <v>136</v>
      </c>
      <c r="E3977" s="1" t="s">
        <v>35</v>
      </c>
      <c r="F3977" s="2" t="s">
        <v>1333</v>
      </c>
      <c r="G3977" s="1">
        <v>41.328000000000003</v>
      </c>
      <c r="H3977" s="1">
        <v>7</v>
      </c>
      <c r="I3977" s="1">
        <v>14.981400000000001</v>
      </c>
    </row>
    <row r="3978" spans="1:9" x14ac:dyDescent="0.35">
      <c r="A3978" s="3" t="s">
        <v>3483</v>
      </c>
      <c r="B3978" s="1" t="s">
        <v>1833</v>
      </c>
      <c r="C3978" s="1" t="s">
        <v>693</v>
      </c>
      <c r="D3978" s="1" t="s">
        <v>163</v>
      </c>
      <c r="E3978" s="1" t="s">
        <v>29</v>
      </c>
      <c r="F3978" s="2" t="s">
        <v>2680</v>
      </c>
      <c r="G3978" s="1">
        <v>39.92</v>
      </c>
      <c r="H3978" s="1">
        <v>4</v>
      </c>
      <c r="I3978" s="1">
        <v>11.1776</v>
      </c>
    </row>
    <row r="3979" spans="1:9" x14ac:dyDescent="0.35">
      <c r="A3979" s="3">
        <v>42776</v>
      </c>
      <c r="B3979" s="1" t="s">
        <v>1578</v>
      </c>
      <c r="C3979" s="1" t="s">
        <v>47</v>
      </c>
      <c r="D3979" s="1" t="s">
        <v>48</v>
      </c>
      <c r="E3979" s="1" t="s">
        <v>137</v>
      </c>
      <c r="F3979" s="2" t="s">
        <v>281</v>
      </c>
      <c r="G3979" s="1">
        <v>8.94</v>
      </c>
      <c r="H3979" s="1">
        <v>3</v>
      </c>
      <c r="I3979" s="1">
        <v>4.1124000000000001</v>
      </c>
    </row>
    <row r="3980" spans="1:9" x14ac:dyDescent="0.35">
      <c r="A3980" s="3">
        <v>42776</v>
      </c>
      <c r="B3980" s="1" t="s">
        <v>1578</v>
      </c>
      <c r="C3980" s="1" t="s">
        <v>47</v>
      </c>
      <c r="D3980" s="1" t="s">
        <v>48</v>
      </c>
      <c r="E3980" s="1" t="s">
        <v>33</v>
      </c>
      <c r="F3980" s="2" t="s">
        <v>910</v>
      </c>
      <c r="G3980" s="1">
        <v>84.784000000000006</v>
      </c>
      <c r="H3980" s="1">
        <v>2</v>
      </c>
      <c r="I3980" s="1">
        <v>-20.136199999999999</v>
      </c>
    </row>
    <row r="3981" spans="1:9" x14ac:dyDescent="0.35">
      <c r="A3981" s="3" t="s">
        <v>3352</v>
      </c>
      <c r="B3981" s="1" t="s">
        <v>990</v>
      </c>
      <c r="C3981" s="1" t="s">
        <v>135</v>
      </c>
      <c r="D3981" s="1" t="s">
        <v>136</v>
      </c>
      <c r="E3981" s="1" t="s">
        <v>24</v>
      </c>
      <c r="F3981" s="2" t="s">
        <v>1634</v>
      </c>
      <c r="G3981" s="1">
        <v>53.316000000000003</v>
      </c>
      <c r="H3981" s="1">
        <v>2</v>
      </c>
      <c r="I3981" s="1">
        <v>-19.549199999999999</v>
      </c>
    </row>
    <row r="3982" spans="1:9" x14ac:dyDescent="0.35">
      <c r="A3982" s="3" t="s">
        <v>3352</v>
      </c>
      <c r="B3982" s="1" t="s">
        <v>990</v>
      </c>
      <c r="C3982" s="1" t="s">
        <v>135</v>
      </c>
      <c r="D3982" s="1" t="s">
        <v>136</v>
      </c>
      <c r="E3982" s="1" t="s">
        <v>37</v>
      </c>
      <c r="F3982" s="2" t="s">
        <v>978</v>
      </c>
      <c r="G3982" s="1">
        <v>56.52</v>
      </c>
      <c r="H3982" s="1">
        <v>3</v>
      </c>
      <c r="I3982" s="1">
        <v>15.8256</v>
      </c>
    </row>
    <row r="3983" spans="1:9" x14ac:dyDescent="0.35">
      <c r="A3983" s="3" t="s">
        <v>3484</v>
      </c>
      <c r="B3983" s="1" t="s">
        <v>1721</v>
      </c>
      <c r="C3983" s="1" t="s">
        <v>47</v>
      </c>
      <c r="D3983" s="1" t="s">
        <v>48</v>
      </c>
      <c r="E3983" s="1" t="s">
        <v>29</v>
      </c>
      <c r="F3983" s="2" t="s">
        <v>995</v>
      </c>
      <c r="G3983" s="1">
        <v>22.77</v>
      </c>
      <c r="H3983" s="1">
        <v>3</v>
      </c>
      <c r="I3983" s="1">
        <v>9.7911000000000001</v>
      </c>
    </row>
    <row r="3984" spans="1:9" x14ac:dyDescent="0.35">
      <c r="A3984" s="3">
        <v>42558</v>
      </c>
      <c r="B3984" s="1" t="s">
        <v>2396</v>
      </c>
      <c r="C3984" s="1" t="s">
        <v>17</v>
      </c>
      <c r="D3984" s="1" t="s">
        <v>18</v>
      </c>
      <c r="E3984" s="1" t="s">
        <v>14</v>
      </c>
      <c r="F3984" s="2" t="s">
        <v>133</v>
      </c>
      <c r="G3984" s="1">
        <v>287.96800000000002</v>
      </c>
      <c r="H3984" s="1">
        <v>4</v>
      </c>
      <c r="I3984" s="1">
        <v>-3.5996000000000001</v>
      </c>
    </row>
    <row r="3985" spans="1:9" x14ac:dyDescent="0.35">
      <c r="A3985" s="3">
        <v>42558</v>
      </c>
      <c r="B3985" s="1" t="s">
        <v>2396</v>
      </c>
      <c r="C3985" s="1" t="s">
        <v>17</v>
      </c>
      <c r="D3985" s="1" t="s">
        <v>18</v>
      </c>
      <c r="E3985" s="1" t="s">
        <v>579</v>
      </c>
      <c r="F3985" s="2" t="s">
        <v>2146</v>
      </c>
      <c r="G3985" s="1">
        <v>2799.96</v>
      </c>
      <c r="H3985" s="1">
        <v>5</v>
      </c>
      <c r="I3985" s="1">
        <v>944.98649999999998</v>
      </c>
    </row>
    <row r="3986" spans="1:9" x14ac:dyDescent="0.35">
      <c r="A3986" s="3">
        <v>42558</v>
      </c>
      <c r="B3986" s="1" t="s">
        <v>2396</v>
      </c>
      <c r="C3986" s="1" t="s">
        <v>17</v>
      </c>
      <c r="D3986" s="1" t="s">
        <v>18</v>
      </c>
      <c r="E3986" s="1" t="s">
        <v>44</v>
      </c>
      <c r="F3986" s="2" t="s">
        <v>2387</v>
      </c>
      <c r="G3986" s="1">
        <v>48.94</v>
      </c>
      <c r="H3986" s="1">
        <v>1</v>
      </c>
      <c r="I3986" s="1">
        <v>24.47</v>
      </c>
    </row>
    <row r="3987" spans="1:9" x14ac:dyDescent="0.35">
      <c r="A3987" s="3" t="s">
        <v>3219</v>
      </c>
      <c r="B3987" s="1" t="s">
        <v>1253</v>
      </c>
      <c r="C3987" s="1" t="s">
        <v>536</v>
      </c>
      <c r="D3987" s="1" t="s">
        <v>18</v>
      </c>
      <c r="E3987" s="1" t="s">
        <v>12</v>
      </c>
      <c r="F3987" s="2" t="s">
        <v>1235</v>
      </c>
      <c r="G3987" s="1">
        <v>257.49900000000002</v>
      </c>
      <c r="H3987" s="1">
        <v>3</v>
      </c>
      <c r="I3987" s="1">
        <v>24.235199999999999</v>
      </c>
    </row>
    <row r="3988" spans="1:9" x14ac:dyDescent="0.35">
      <c r="A3988" s="3">
        <v>42951</v>
      </c>
      <c r="B3988" s="1" t="s">
        <v>2085</v>
      </c>
      <c r="C3988" s="1" t="s">
        <v>973</v>
      </c>
      <c r="D3988" s="1" t="s">
        <v>388</v>
      </c>
      <c r="E3988" s="1" t="s">
        <v>26</v>
      </c>
      <c r="F3988" s="2" t="s">
        <v>872</v>
      </c>
      <c r="G3988" s="1">
        <v>2591.56</v>
      </c>
      <c r="H3988" s="1">
        <v>4</v>
      </c>
      <c r="I3988" s="1">
        <v>621.97439999999995</v>
      </c>
    </row>
    <row r="3989" spans="1:9" x14ac:dyDescent="0.35">
      <c r="A3989" s="3">
        <v>42951</v>
      </c>
      <c r="B3989" s="1" t="s">
        <v>2085</v>
      </c>
      <c r="C3989" s="1" t="s">
        <v>973</v>
      </c>
      <c r="D3989" s="1" t="s">
        <v>388</v>
      </c>
      <c r="E3989" s="1" t="s">
        <v>37</v>
      </c>
      <c r="F3989" s="2" t="s">
        <v>2681</v>
      </c>
      <c r="G3989" s="1">
        <v>41.95</v>
      </c>
      <c r="H3989" s="1">
        <v>5</v>
      </c>
      <c r="I3989" s="1">
        <v>10.487500000000001</v>
      </c>
    </row>
    <row r="3990" spans="1:9" x14ac:dyDescent="0.35">
      <c r="A3990" s="3" t="s">
        <v>3219</v>
      </c>
      <c r="B3990" s="1" t="s">
        <v>2682</v>
      </c>
      <c r="C3990" s="1" t="s">
        <v>193</v>
      </c>
      <c r="D3990" s="1" t="s">
        <v>171</v>
      </c>
      <c r="E3990" s="1" t="s">
        <v>29</v>
      </c>
      <c r="F3990" s="2" t="s">
        <v>2683</v>
      </c>
      <c r="G3990" s="1">
        <v>79.12</v>
      </c>
      <c r="H3990" s="1">
        <v>5</v>
      </c>
      <c r="I3990" s="1">
        <v>13.846</v>
      </c>
    </row>
    <row r="3991" spans="1:9" x14ac:dyDescent="0.35">
      <c r="A3991" s="3" t="s">
        <v>3211</v>
      </c>
      <c r="B3991" s="1" t="s">
        <v>1715</v>
      </c>
      <c r="C3991" s="1" t="s">
        <v>2684</v>
      </c>
      <c r="D3991" s="1" t="s">
        <v>663</v>
      </c>
      <c r="E3991" s="1" t="s">
        <v>29</v>
      </c>
      <c r="F3991" s="2" t="s">
        <v>1291</v>
      </c>
      <c r="G3991" s="1">
        <v>52.96</v>
      </c>
      <c r="H3991" s="1">
        <v>2</v>
      </c>
      <c r="I3991" s="1">
        <v>20.1248</v>
      </c>
    </row>
    <row r="3992" spans="1:9" x14ac:dyDescent="0.35">
      <c r="A3992" s="3">
        <v>41709</v>
      </c>
      <c r="B3992" s="1" t="s">
        <v>1700</v>
      </c>
      <c r="C3992" s="1" t="s">
        <v>1114</v>
      </c>
      <c r="D3992" s="1" t="s">
        <v>75</v>
      </c>
      <c r="E3992" s="1" t="s">
        <v>289</v>
      </c>
      <c r="F3992" s="2" t="s">
        <v>2352</v>
      </c>
      <c r="G3992" s="1">
        <v>286.34399999999999</v>
      </c>
      <c r="H3992" s="1">
        <v>3</v>
      </c>
      <c r="I3992" s="1">
        <v>-64.427400000000006</v>
      </c>
    </row>
    <row r="3993" spans="1:9" x14ac:dyDescent="0.35">
      <c r="A3993" s="3">
        <v>42009</v>
      </c>
      <c r="B3993" s="1" t="s">
        <v>443</v>
      </c>
      <c r="C3993" s="1" t="s">
        <v>438</v>
      </c>
      <c r="D3993" s="1" t="s">
        <v>23</v>
      </c>
      <c r="E3993" s="1" t="s">
        <v>29</v>
      </c>
      <c r="F3993" s="2" t="s">
        <v>1291</v>
      </c>
      <c r="G3993" s="1">
        <v>63.552</v>
      </c>
      <c r="H3993" s="1">
        <v>3</v>
      </c>
      <c r="I3993" s="1">
        <v>14.299200000000001</v>
      </c>
    </row>
    <row r="3994" spans="1:9" x14ac:dyDescent="0.35">
      <c r="A3994" s="3">
        <v>42009</v>
      </c>
      <c r="B3994" s="1" t="s">
        <v>443</v>
      </c>
      <c r="C3994" s="1" t="s">
        <v>438</v>
      </c>
      <c r="D3994" s="1" t="s">
        <v>23</v>
      </c>
      <c r="E3994" s="1" t="s">
        <v>289</v>
      </c>
      <c r="F3994" s="2" t="s">
        <v>1075</v>
      </c>
      <c r="G3994" s="1">
        <v>41.375999999999998</v>
      </c>
      <c r="H3994" s="1">
        <v>3</v>
      </c>
      <c r="I3994" s="1">
        <v>4.6547999999999998</v>
      </c>
    </row>
    <row r="3995" spans="1:9" x14ac:dyDescent="0.35">
      <c r="A3995" s="3">
        <v>42009</v>
      </c>
      <c r="B3995" s="1" t="s">
        <v>443</v>
      </c>
      <c r="C3995" s="1" t="s">
        <v>438</v>
      </c>
      <c r="D3995" s="1" t="s">
        <v>23</v>
      </c>
      <c r="E3995" s="1" t="s">
        <v>31</v>
      </c>
      <c r="F3995" s="2" t="s">
        <v>1534</v>
      </c>
      <c r="G3995" s="1">
        <v>172.70400000000001</v>
      </c>
      <c r="H3995" s="1">
        <v>6</v>
      </c>
      <c r="I3995" s="1">
        <v>10.794</v>
      </c>
    </row>
    <row r="3996" spans="1:9" x14ac:dyDescent="0.35">
      <c r="A3996" s="3">
        <v>42219</v>
      </c>
      <c r="B3996" s="1" t="s">
        <v>2685</v>
      </c>
      <c r="C3996" s="1" t="s">
        <v>1884</v>
      </c>
      <c r="D3996" s="1" t="s">
        <v>57</v>
      </c>
      <c r="E3996" s="1" t="s">
        <v>12</v>
      </c>
      <c r="F3996" s="2" t="s">
        <v>2543</v>
      </c>
      <c r="G3996" s="1">
        <v>512.94000000000005</v>
      </c>
      <c r="H3996" s="1">
        <v>3</v>
      </c>
      <c r="I3996" s="1">
        <v>97.458600000000004</v>
      </c>
    </row>
    <row r="3997" spans="1:9" x14ac:dyDescent="0.35">
      <c r="A3997" s="3">
        <v>42219</v>
      </c>
      <c r="B3997" s="1" t="s">
        <v>2685</v>
      </c>
      <c r="C3997" s="1" t="s">
        <v>1884</v>
      </c>
      <c r="D3997" s="1" t="s">
        <v>57</v>
      </c>
      <c r="E3997" s="1" t="s">
        <v>14</v>
      </c>
      <c r="F3997" s="2" t="s">
        <v>2095</v>
      </c>
      <c r="G3997" s="1">
        <v>860.93</v>
      </c>
      <c r="H3997" s="1">
        <v>7</v>
      </c>
      <c r="I3997" s="1">
        <v>189.40459999999999</v>
      </c>
    </row>
    <row r="3998" spans="1:9" x14ac:dyDescent="0.35">
      <c r="A3998" s="3">
        <v>42219</v>
      </c>
      <c r="B3998" s="1" t="s">
        <v>2685</v>
      </c>
      <c r="C3998" s="1" t="s">
        <v>1884</v>
      </c>
      <c r="D3998" s="1" t="s">
        <v>57</v>
      </c>
      <c r="E3998" s="1" t="s">
        <v>33</v>
      </c>
      <c r="F3998" s="2" t="s">
        <v>652</v>
      </c>
      <c r="G3998" s="1">
        <v>769.95</v>
      </c>
      <c r="H3998" s="1">
        <v>5</v>
      </c>
      <c r="I3998" s="1">
        <v>223.28550000000001</v>
      </c>
    </row>
    <row r="3999" spans="1:9" x14ac:dyDescent="0.35">
      <c r="A3999" s="3">
        <v>42219</v>
      </c>
      <c r="B3999" s="1" t="s">
        <v>2685</v>
      </c>
      <c r="C3999" s="1" t="s">
        <v>1884</v>
      </c>
      <c r="D3999" s="1" t="s">
        <v>57</v>
      </c>
      <c r="E3999" s="1" t="s">
        <v>31</v>
      </c>
      <c r="F3999" s="2" t="s">
        <v>2686</v>
      </c>
      <c r="G3999" s="1">
        <v>14.98</v>
      </c>
      <c r="H3999" s="1">
        <v>1</v>
      </c>
      <c r="I3999" s="1">
        <v>4.4939999999999998</v>
      </c>
    </row>
    <row r="4000" spans="1:9" x14ac:dyDescent="0.35">
      <c r="A4000" s="3">
        <v>42219</v>
      </c>
      <c r="B4000" s="1" t="s">
        <v>2685</v>
      </c>
      <c r="C4000" s="1" t="s">
        <v>1884</v>
      </c>
      <c r="D4000" s="1" t="s">
        <v>57</v>
      </c>
      <c r="E4000" s="1" t="s">
        <v>29</v>
      </c>
      <c r="F4000" s="2" t="s">
        <v>2145</v>
      </c>
      <c r="G4000" s="1">
        <v>373.08</v>
      </c>
      <c r="H4000" s="1">
        <v>6</v>
      </c>
      <c r="I4000" s="1">
        <v>82.077600000000004</v>
      </c>
    </row>
    <row r="4001" spans="1:9" x14ac:dyDescent="0.35">
      <c r="A4001" s="3" t="s">
        <v>3254</v>
      </c>
      <c r="B4001" s="1" t="s">
        <v>699</v>
      </c>
      <c r="C4001" s="1" t="s">
        <v>2616</v>
      </c>
      <c r="D4001" s="1" t="s">
        <v>23</v>
      </c>
      <c r="E4001" s="1" t="s">
        <v>12</v>
      </c>
      <c r="F4001" s="2" t="s">
        <v>516</v>
      </c>
      <c r="G4001" s="1">
        <v>231.92</v>
      </c>
      <c r="H4001" s="1">
        <v>5</v>
      </c>
      <c r="I4001" s="1">
        <v>5.798</v>
      </c>
    </row>
    <row r="4002" spans="1:9" x14ac:dyDescent="0.35">
      <c r="A4002" s="3">
        <v>41953</v>
      </c>
      <c r="B4002" s="1" t="s">
        <v>2363</v>
      </c>
      <c r="C4002" s="1" t="s">
        <v>47</v>
      </c>
      <c r="D4002" s="1" t="s">
        <v>48</v>
      </c>
      <c r="E4002" s="1" t="s">
        <v>29</v>
      </c>
      <c r="F4002" s="2" t="s">
        <v>1899</v>
      </c>
      <c r="G4002" s="1">
        <v>63.47</v>
      </c>
      <c r="H4002" s="1">
        <v>11</v>
      </c>
      <c r="I4002" s="1">
        <v>19.041</v>
      </c>
    </row>
    <row r="4003" spans="1:9" x14ac:dyDescent="0.35">
      <c r="A4003" s="3">
        <v>41953</v>
      </c>
      <c r="B4003" s="1" t="s">
        <v>2363</v>
      </c>
      <c r="C4003" s="1" t="s">
        <v>47</v>
      </c>
      <c r="D4003" s="1" t="s">
        <v>48</v>
      </c>
      <c r="E4003" s="1" t="s">
        <v>81</v>
      </c>
      <c r="F4003" s="2" t="s">
        <v>2687</v>
      </c>
      <c r="G4003" s="1">
        <v>345</v>
      </c>
      <c r="H4003" s="1">
        <v>5</v>
      </c>
      <c r="I4003" s="1">
        <v>58.65</v>
      </c>
    </row>
    <row r="4004" spans="1:9" x14ac:dyDescent="0.35">
      <c r="A4004" s="3">
        <v>42432</v>
      </c>
      <c r="B4004" s="1" t="s">
        <v>1524</v>
      </c>
      <c r="C4004" s="1" t="s">
        <v>336</v>
      </c>
      <c r="D4004" s="1" t="s">
        <v>52</v>
      </c>
      <c r="E4004" s="1" t="s">
        <v>24</v>
      </c>
      <c r="F4004" s="2" t="s">
        <v>629</v>
      </c>
      <c r="G4004" s="1">
        <v>637.89599999999996</v>
      </c>
      <c r="H4004" s="1">
        <v>3</v>
      </c>
      <c r="I4004" s="1">
        <v>-127.5792</v>
      </c>
    </row>
    <row r="4005" spans="1:9" x14ac:dyDescent="0.35">
      <c r="A4005" s="3">
        <v>42432</v>
      </c>
      <c r="B4005" s="1" t="s">
        <v>1524</v>
      </c>
      <c r="C4005" s="1" t="s">
        <v>336</v>
      </c>
      <c r="D4005" s="1" t="s">
        <v>52</v>
      </c>
      <c r="E4005" s="1" t="s">
        <v>338</v>
      </c>
      <c r="F4005" s="2" t="s">
        <v>2688</v>
      </c>
      <c r="G4005" s="1">
        <v>287.91000000000003</v>
      </c>
      <c r="H4005" s="1">
        <v>3</v>
      </c>
      <c r="I4005" s="1">
        <v>33.589500000000001</v>
      </c>
    </row>
    <row r="4006" spans="1:9" x14ac:dyDescent="0.35">
      <c r="A4006" s="3">
        <v>42432</v>
      </c>
      <c r="B4006" s="1" t="s">
        <v>1524</v>
      </c>
      <c r="C4006" s="1" t="s">
        <v>336</v>
      </c>
      <c r="D4006" s="1" t="s">
        <v>52</v>
      </c>
      <c r="E4006" s="1" t="s">
        <v>87</v>
      </c>
      <c r="F4006" s="2" t="s">
        <v>696</v>
      </c>
      <c r="G4006" s="1">
        <v>36.6</v>
      </c>
      <c r="H4006" s="1">
        <v>3</v>
      </c>
      <c r="I4006" s="1">
        <v>11.895</v>
      </c>
    </row>
    <row r="4007" spans="1:9" x14ac:dyDescent="0.35">
      <c r="A4007" s="3">
        <v>42289</v>
      </c>
      <c r="B4007" s="1" t="s">
        <v>2689</v>
      </c>
      <c r="C4007" s="1" t="s">
        <v>1416</v>
      </c>
      <c r="D4007" s="1" t="s">
        <v>604</v>
      </c>
      <c r="E4007" s="1" t="s">
        <v>31</v>
      </c>
      <c r="F4007" s="2" t="s">
        <v>1329</v>
      </c>
      <c r="G4007" s="1">
        <v>1.78</v>
      </c>
      <c r="H4007" s="1">
        <v>1</v>
      </c>
      <c r="I4007" s="1">
        <v>0.49840000000000001</v>
      </c>
    </row>
    <row r="4008" spans="1:9" x14ac:dyDescent="0.35">
      <c r="A4008" s="3">
        <v>42289</v>
      </c>
      <c r="B4008" s="1" t="s">
        <v>2689</v>
      </c>
      <c r="C4008" s="1" t="s">
        <v>1416</v>
      </c>
      <c r="D4008" s="1" t="s">
        <v>604</v>
      </c>
      <c r="E4008" s="1" t="s">
        <v>44</v>
      </c>
      <c r="F4008" s="2" t="s">
        <v>2390</v>
      </c>
      <c r="G4008" s="1">
        <v>25.92</v>
      </c>
      <c r="H4008" s="1">
        <v>4</v>
      </c>
      <c r="I4008" s="1">
        <v>12.441599999999999</v>
      </c>
    </row>
    <row r="4009" spans="1:9" x14ac:dyDescent="0.35">
      <c r="A4009" s="3">
        <v>42289</v>
      </c>
      <c r="B4009" s="1" t="s">
        <v>2689</v>
      </c>
      <c r="C4009" s="1" t="s">
        <v>1416</v>
      </c>
      <c r="D4009" s="1" t="s">
        <v>604</v>
      </c>
      <c r="E4009" s="1" t="s">
        <v>81</v>
      </c>
      <c r="F4009" s="2" t="s">
        <v>2690</v>
      </c>
      <c r="G4009" s="1">
        <v>101.94</v>
      </c>
      <c r="H4009" s="1">
        <v>6</v>
      </c>
      <c r="I4009" s="1">
        <v>21.407399999999999</v>
      </c>
    </row>
    <row r="4010" spans="1:9" x14ac:dyDescent="0.35">
      <c r="A4010" s="3" t="s">
        <v>3485</v>
      </c>
      <c r="B4010" s="1" t="s">
        <v>611</v>
      </c>
      <c r="C4010" s="1" t="s">
        <v>697</v>
      </c>
      <c r="D4010" s="1" t="s">
        <v>229</v>
      </c>
      <c r="E4010" s="1" t="s">
        <v>31</v>
      </c>
      <c r="F4010" s="2" t="s">
        <v>1685</v>
      </c>
      <c r="G4010" s="1">
        <v>6.8479999999999999</v>
      </c>
      <c r="H4010" s="1">
        <v>2</v>
      </c>
      <c r="I4010" s="1">
        <v>0.59919999999999995</v>
      </c>
    </row>
    <row r="4011" spans="1:9" x14ac:dyDescent="0.35">
      <c r="A4011" s="3">
        <v>42736</v>
      </c>
      <c r="B4011" s="1" t="s">
        <v>260</v>
      </c>
      <c r="C4011" s="1" t="s">
        <v>17</v>
      </c>
      <c r="D4011" s="1" t="s">
        <v>18</v>
      </c>
      <c r="E4011" s="1" t="s">
        <v>29</v>
      </c>
      <c r="F4011" s="2" t="s">
        <v>2691</v>
      </c>
      <c r="G4011" s="1">
        <v>474.43</v>
      </c>
      <c r="H4011" s="1">
        <v>11</v>
      </c>
      <c r="I4011" s="1">
        <v>199.26060000000001</v>
      </c>
    </row>
    <row r="4012" spans="1:9" x14ac:dyDescent="0.35">
      <c r="A4012" s="3" t="s">
        <v>3486</v>
      </c>
      <c r="B4012" s="1" t="s">
        <v>2514</v>
      </c>
      <c r="C4012" s="1" t="s">
        <v>74</v>
      </c>
      <c r="D4012" s="1" t="s">
        <v>75</v>
      </c>
      <c r="E4012" s="1" t="s">
        <v>44</v>
      </c>
      <c r="F4012" s="2" t="s">
        <v>933</v>
      </c>
      <c r="G4012" s="1">
        <v>8.4480000000000004</v>
      </c>
      <c r="H4012" s="1">
        <v>2</v>
      </c>
      <c r="I4012" s="1">
        <v>2.64</v>
      </c>
    </row>
    <row r="4013" spans="1:9" x14ac:dyDescent="0.35">
      <c r="A4013" s="3" t="s">
        <v>3486</v>
      </c>
      <c r="B4013" s="1" t="s">
        <v>2514</v>
      </c>
      <c r="C4013" s="1" t="s">
        <v>74</v>
      </c>
      <c r="D4013" s="1" t="s">
        <v>75</v>
      </c>
      <c r="E4013" s="1" t="s">
        <v>26</v>
      </c>
      <c r="F4013" s="2" t="s">
        <v>1019</v>
      </c>
      <c r="G4013" s="1">
        <v>39.295999999999999</v>
      </c>
      <c r="H4013" s="1">
        <v>4</v>
      </c>
      <c r="I4013" s="1">
        <v>3.9296000000000002</v>
      </c>
    </row>
    <row r="4014" spans="1:9" x14ac:dyDescent="0.35">
      <c r="A4014" s="3" t="s">
        <v>3487</v>
      </c>
      <c r="B4014" s="1" t="s">
        <v>1644</v>
      </c>
      <c r="C4014" s="1" t="s">
        <v>2692</v>
      </c>
      <c r="D4014" s="1" t="s">
        <v>57</v>
      </c>
      <c r="E4014" s="1" t="s">
        <v>31</v>
      </c>
      <c r="F4014" s="2" t="s">
        <v>1346</v>
      </c>
      <c r="G4014" s="1">
        <v>17.12</v>
      </c>
      <c r="H4014" s="1">
        <v>4</v>
      </c>
      <c r="I4014" s="1">
        <v>4.9648000000000003</v>
      </c>
    </row>
    <row r="4015" spans="1:9" x14ac:dyDescent="0.35">
      <c r="A4015" s="3" t="s">
        <v>3336</v>
      </c>
      <c r="B4015" s="1" t="s">
        <v>2348</v>
      </c>
      <c r="C4015" s="1" t="s">
        <v>811</v>
      </c>
      <c r="D4015" s="1" t="s">
        <v>604</v>
      </c>
      <c r="E4015" s="1" t="s">
        <v>37</v>
      </c>
      <c r="F4015" s="2" t="s">
        <v>1852</v>
      </c>
      <c r="G4015" s="1">
        <v>542.94000000000005</v>
      </c>
      <c r="H4015" s="1">
        <v>3</v>
      </c>
      <c r="I4015" s="1">
        <v>152.0232</v>
      </c>
    </row>
    <row r="4016" spans="1:9" x14ac:dyDescent="0.35">
      <c r="A4016" s="3" t="s">
        <v>3336</v>
      </c>
      <c r="B4016" s="1" t="s">
        <v>2348</v>
      </c>
      <c r="C4016" s="1" t="s">
        <v>811</v>
      </c>
      <c r="D4016" s="1" t="s">
        <v>604</v>
      </c>
      <c r="E4016" s="1" t="s">
        <v>19</v>
      </c>
      <c r="F4016" s="2" t="s">
        <v>1968</v>
      </c>
      <c r="G4016" s="1">
        <v>8.64</v>
      </c>
      <c r="H4016" s="1">
        <v>3</v>
      </c>
      <c r="I4016" s="1">
        <v>4.2336</v>
      </c>
    </row>
    <row r="4017" spans="1:9" x14ac:dyDescent="0.35">
      <c r="A4017" s="3" t="s">
        <v>3336</v>
      </c>
      <c r="B4017" s="1" t="s">
        <v>2348</v>
      </c>
      <c r="C4017" s="1" t="s">
        <v>811</v>
      </c>
      <c r="D4017" s="1" t="s">
        <v>604</v>
      </c>
      <c r="E4017" s="1" t="s">
        <v>44</v>
      </c>
      <c r="F4017" s="2" t="s">
        <v>2339</v>
      </c>
      <c r="G4017" s="1">
        <v>193.8</v>
      </c>
      <c r="H4017" s="1">
        <v>5</v>
      </c>
      <c r="I4017" s="1">
        <v>94.962000000000003</v>
      </c>
    </row>
    <row r="4018" spans="1:9" x14ac:dyDescent="0.35">
      <c r="A4018" s="3" t="s">
        <v>3336</v>
      </c>
      <c r="B4018" s="1" t="s">
        <v>2348</v>
      </c>
      <c r="C4018" s="1" t="s">
        <v>811</v>
      </c>
      <c r="D4018" s="1" t="s">
        <v>604</v>
      </c>
      <c r="E4018" s="1" t="s">
        <v>44</v>
      </c>
      <c r="F4018" s="2" t="s">
        <v>1864</v>
      </c>
      <c r="G4018" s="1">
        <v>21.4</v>
      </c>
      <c r="H4018" s="1">
        <v>5</v>
      </c>
      <c r="I4018" s="1">
        <v>9.6300000000000008</v>
      </c>
    </row>
    <row r="4019" spans="1:9" x14ac:dyDescent="0.35">
      <c r="A4019" s="3" t="s">
        <v>3336</v>
      </c>
      <c r="B4019" s="1" t="s">
        <v>2348</v>
      </c>
      <c r="C4019" s="1" t="s">
        <v>811</v>
      </c>
      <c r="D4019" s="1" t="s">
        <v>604</v>
      </c>
      <c r="E4019" s="1" t="s">
        <v>44</v>
      </c>
      <c r="F4019" s="2" t="s">
        <v>2693</v>
      </c>
      <c r="G4019" s="1">
        <v>97.88</v>
      </c>
      <c r="H4019" s="1">
        <v>2</v>
      </c>
      <c r="I4019" s="1">
        <v>48.94</v>
      </c>
    </row>
    <row r="4020" spans="1:9" x14ac:dyDescent="0.35">
      <c r="A4020" s="3" t="s">
        <v>3336</v>
      </c>
      <c r="B4020" s="1" t="s">
        <v>2348</v>
      </c>
      <c r="C4020" s="1" t="s">
        <v>811</v>
      </c>
      <c r="D4020" s="1" t="s">
        <v>604</v>
      </c>
      <c r="E4020" s="1" t="s">
        <v>81</v>
      </c>
      <c r="F4020" s="2" t="s">
        <v>1885</v>
      </c>
      <c r="G4020" s="1">
        <v>251.91</v>
      </c>
      <c r="H4020" s="1">
        <v>9</v>
      </c>
      <c r="I4020" s="1">
        <v>47.862900000000003</v>
      </c>
    </row>
    <row r="4021" spans="1:9" x14ac:dyDescent="0.35">
      <c r="A4021" s="3" t="s">
        <v>3336</v>
      </c>
      <c r="B4021" s="1" t="s">
        <v>2348</v>
      </c>
      <c r="C4021" s="1" t="s">
        <v>811</v>
      </c>
      <c r="D4021" s="1" t="s">
        <v>604</v>
      </c>
      <c r="E4021" s="1" t="s">
        <v>37</v>
      </c>
      <c r="F4021" s="2" t="s">
        <v>72</v>
      </c>
      <c r="G4021" s="1">
        <v>25.86</v>
      </c>
      <c r="H4021" s="1">
        <v>3</v>
      </c>
      <c r="I4021" s="1">
        <v>6.7236000000000002</v>
      </c>
    </row>
    <row r="4022" spans="1:9" x14ac:dyDescent="0.35">
      <c r="A4022" s="3" t="s">
        <v>3488</v>
      </c>
      <c r="B4022" s="1" t="s">
        <v>2694</v>
      </c>
      <c r="C4022" s="1" t="s">
        <v>1024</v>
      </c>
      <c r="D4022" s="1" t="s">
        <v>75</v>
      </c>
      <c r="E4022" s="1" t="s">
        <v>14</v>
      </c>
      <c r="F4022" s="2" t="s">
        <v>354</v>
      </c>
      <c r="G4022" s="1">
        <v>170.05799999999999</v>
      </c>
      <c r="H4022" s="1">
        <v>3</v>
      </c>
      <c r="I4022" s="1">
        <v>-4.8587999999999996</v>
      </c>
    </row>
    <row r="4023" spans="1:9" x14ac:dyDescent="0.35">
      <c r="A4023" s="3" t="s">
        <v>3488</v>
      </c>
      <c r="B4023" s="1" t="s">
        <v>2694</v>
      </c>
      <c r="C4023" s="1" t="s">
        <v>1024</v>
      </c>
      <c r="D4023" s="1" t="s">
        <v>75</v>
      </c>
      <c r="E4023" s="1" t="s">
        <v>33</v>
      </c>
      <c r="F4023" s="2" t="s">
        <v>107</v>
      </c>
      <c r="G4023" s="1">
        <v>82.781999999999996</v>
      </c>
      <c r="H4023" s="1">
        <v>3</v>
      </c>
      <c r="I4023" s="1">
        <v>-15.1767</v>
      </c>
    </row>
    <row r="4024" spans="1:9" x14ac:dyDescent="0.35">
      <c r="A4024" s="3" t="s">
        <v>3488</v>
      </c>
      <c r="B4024" s="1" t="s">
        <v>2694</v>
      </c>
      <c r="C4024" s="1" t="s">
        <v>1024</v>
      </c>
      <c r="D4024" s="1" t="s">
        <v>75</v>
      </c>
      <c r="E4024" s="1" t="s">
        <v>14</v>
      </c>
      <c r="F4024" s="2" t="s">
        <v>15</v>
      </c>
      <c r="G4024" s="1">
        <v>853.93</v>
      </c>
      <c r="H4024" s="1">
        <v>5</v>
      </c>
      <c r="I4024" s="1">
        <v>0</v>
      </c>
    </row>
    <row r="4025" spans="1:9" x14ac:dyDescent="0.35">
      <c r="A4025" s="3" t="s">
        <v>3357</v>
      </c>
      <c r="B4025" s="1" t="s">
        <v>2561</v>
      </c>
      <c r="C4025" s="1" t="s">
        <v>64</v>
      </c>
      <c r="D4025" s="1" t="s">
        <v>18</v>
      </c>
      <c r="E4025" s="1" t="s">
        <v>12</v>
      </c>
      <c r="F4025" s="2" t="s">
        <v>2012</v>
      </c>
      <c r="G4025" s="1">
        <v>556.66499999999996</v>
      </c>
      <c r="H4025" s="1">
        <v>5</v>
      </c>
      <c r="I4025" s="1">
        <v>6.5490000000000004</v>
      </c>
    </row>
    <row r="4026" spans="1:9" x14ac:dyDescent="0.35">
      <c r="A4026" s="3" t="s">
        <v>3357</v>
      </c>
      <c r="B4026" s="1" t="s">
        <v>2561</v>
      </c>
      <c r="C4026" s="1" t="s">
        <v>64</v>
      </c>
      <c r="D4026" s="1" t="s">
        <v>18</v>
      </c>
      <c r="E4026" s="1" t="s">
        <v>33</v>
      </c>
      <c r="F4026" s="2" t="s">
        <v>2695</v>
      </c>
      <c r="G4026" s="1">
        <v>95.84</v>
      </c>
      <c r="H4026" s="1">
        <v>4</v>
      </c>
      <c r="I4026" s="1">
        <v>34.741999999999997</v>
      </c>
    </row>
    <row r="4027" spans="1:9" x14ac:dyDescent="0.35">
      <c r="A4027" s="3">
        <v>43047</v>
      </c>
      <c r="B4027" s="1" t="s">
        <v>944</v>
      </c>
      <c r="C4027" s="1" t="s">
        <v>2696</v>
      </c>
      <c r="D4027" s="1" t="s">
        <v>52</v>
      </c>
      <c r="E4027" s="1" t="s">
        <v>44</v>
      </c>
      <c r="F4027" s="2" t="s">
        <v>2136</v>
      </c>
      <c r="G4027" s="1">
        <v>29.664000000000001</v>
      </c>
      <c r="H4027" s="1">
        <v>4</v>
      </c>
      <c r="I4027" s="1">
        <v>10.0116</v>
      </c>
    </row>
    <row r="4028" spans="1:9" x14ac:dyDescent="0.35">
      <c r="A4028" s="3">
        <v>43047</v>
      </c>
      <c r="B4028" s="1" t="s">
        <v>944</v>
      </c>
      <c r="C4028" s="1" t="s">
        <v>2696</v>
      </c>
      <c r="D4028" s="1" t="s">
        <v>52</v>
      </c>
      <c r="E4028" s="1" t="s">
        <v>31</v>
      </c>
      <c r="F4028" s="2" t="s">
        <v>1986</v>
      </c>
      <c r="G4028" s="1">
        <v>9.1839999999999993</v>
      </c>
      <c r="H4028" s="1">
        <v>7</v>
      </c>
      <c r="I4028" s="1">
        <v>2.87</v>
      </c>
    </row>
    <row r="4029" spans="1:9" x14ac:dyDescent="0.35">
      <c r="A4029" s="3">
        <v>43047</v>
      </c>
      <c r="B4029" s="1" t="s">
        <v>944</v>
      </c>
      <c r="C4029" s="1" t="s">
        <v>2696</v>
      </c>
      <c r="D4029" s="1" t="s">
        <v>52</v>
      </c>
      <c r="E4029" s="1" t="s">
        <v>33</v>
      </c>
      <c r="F4029" s="2" t="s">
        <v>1162</v>
      </c>
      <c r="G4029" s="1">
        <v>153.584</v>
      </c>
      <c r="H4029" s="1">
        <v>2</v>
      </c>
      <c r="I4029" s="1">
        <v>13.438599999999999</v>
      </c>
    </row>
    <row r="4030" spans="1:9" x14ac:dyDescent="0.35">
      <c r="A4030" s="3">
        <v>43047</v>
      </c>
      <c r="B4030" s="1" t="s">
        <v>944</v>
      </c>
      <c r="C4030" s="1" t="s">
        <v>2696</v>
      </c>
      <c r="D4030" s="1" t="s">
        <v>52</v>
      </c>
      <c r="E4030" s="1" t="s">
        <v>35</v>
      </c>
      <c r="F4030" s="2" t="s">
        <v>2032</v>
      </c>
      <c r="G4030" s="1">
        <v>12.864000000000001</v>
      </c>
      <c r="H4030" s="1">
        <v>8</v>
      </c>
      <c r="I4030" s="1">
        <v>-22.512</v>
      </c>
    </row>
    <row r="4031" spans="1:9" x14ac:dyDescent="0.35">
      <c r="A4031" s="3" t="s">
        <v>3372</v>
      </c>
      <c r="B4031" s="1" t="s">
        <v>1415</v>
      </c>
      <c r="C4031" s="1" t="s">
        <v>1799</v>
      </c>
      <c r="D4031" s="1" t="s">
        <v>362</v>
      </c>
      <c r="E4031" s="1" t="s">
        <v>338</v>
      </c>
      <c r="F4031" s="2" t="s">
        <v>1611</v>
      </c>
      <c r="G4031" s="1">
        <v>479.97</v>
      </c>
      <c r="H4031" s="1">
        <v>3</v>
      </c>
      <c r="I4031" s="1">
        <v>239.98500000000001</v>
      </c>
    </row>
    <row r="4032" spans="1:9" x14ac:dyDescent="0.35">
      <c r="A4032" s="3" t="s">
        <v>3372</v>
      </c>
      <c r="B4032" s="1" t="s">
        <v>1415</v>
      </c>
      <c r="C4032" s="1" t="s">
        <v>1799</v>
      </c>
      <c r="D4032" s="1" t="s">
        <v>362</v>
      </c>
      <c r="E4032" s="1" t="s">
        <v>14</v>
      </c>
      <c r="F4032" s="2" t="s">
        <v>2218</v>
      </c>
      <c r="G4032" s="1">
        <v>232.88</v>
      </c>
      <c r="H4032" s="1">
        <v>4</v>
      </c>
      <c r="I4032" s="1">
        <v>60.5488</v>
      </c>
    </row>
    <row r="4033" spans="1:9" x14ac:dyDescent="0.35">
      <c r="A4033" s="3" t="s">
        <v>3220</v>
      </c>
      <c r="B4033" s="1" t="s">
        <v>99</v>
      </c>
      <c r="C4033" s="1" t="s">
        <v>2697</v>
      </c>
      <c r="D4033" s="1" t="s">
        <v>48</v>
      </c>
      <c r="E4033" s="1" t="s">
        <v>37</v>
      </c>
      <c r="F4033" s="2" t="s">
        <v>1131</v>
      </c>
      <c r="G4033" s="1">
        <v>236.88</v>
      </c>
      <c r="H4033" s="1">
        <v>6</v>
      </c>
      <c r="I4033" s="1">
        <v>66.326400000000007</v>
      </c>
    </row>
    <row r="4034" spans="1:9" x14ac:dyDescent="0.35">
      <c r="A4034" s="3" t="s">
        <v>3220</v>
      </c>
      <c r="B4034" s="1" t="s">
        <v>99</v>
      </c>
      <c r="C4034" s="1" t="s">
        <v>2697</v>
      </c>
      <c r="D4034" s="1" t="s">
        <v>48</v>
      </c>
      <c r="E4034" s="1" t="s">
        <v>44</v>
      </c>
      <c r="F4034" s="2" t="s">
        <v>226</v>
      </c>
      <c r="G4034" s="1">
        <v>29.9</v>
      </c>
      <c r="H4034" s="1">
        <v>5</v>
      </c>
      <c r="I4034" s="1">
        <v>14.651</v>
      </c>
    </row>
    <row r="4035" spans="1:9" x14ac:dyDescent="0.35">
      <c r="A4035" s="3" t="s">
        <v>3220</v>
      </c>
      <c r="B4035" s="1" t="s">
        <v>99</v>
      </c>
      <c r="C4035" s="1" t="s">
        <v>2697</v>
      </c>
      <c r="D4035" s="1" t="s">
        <v>48</v>
      </c>
      <c r="E4035" s="1" t="s">
        <v>81</v>
      </c>
      <c r="F4035" s="2" t="s">
        <v>1795</v>
      </c>
      <c r="G4035" s="1">
        <v>100</v>
      </c>
      <c r="H4035" s="1">
        <v>4</v>
      </c>
      <c r="I4035" s="1">
        <v>21</v>
      </c>
    </row>
    <row r="4036" spans="1:9" x14ac:dyDescent="0.35">
      <c r="A4036" s="3">
        <v>42716</v>
      </c>
      <c r="B4036" s="1" t="s">
        <v>1735</v>
      </c>
      <c r="C4036" s="1" t="s">
        <v>1180</v>
      </c>
      <c r="D4036" s="1" t="s">
        <v>250</v>
      </c>
      <c r="E4036" s="1" t="s">
        <v>35</v>
      </c>
      <c r="F4036" s="2" t="s">
        <v>656</v>
      </c>
      <c r="G4036" s="1">
        <v>18.693000000000001</v>
      </c>
      <c r="H4036" s="1">
        <v>3</v>
      </c>
      <c r="I4036" s="1">
        <v>-14.331300000000001</v>
      </c>
    </row>
    <row r="4037" spans="1:9" x14ac:dyDescent="0.35">
      <c r="A4037" s="3">
        <v>42716</v>
      </c>
      <c r="B4037" s="1" t="s">
        <v>1735</v>
      </c>
      <c r="C4037" s="1" t="s">
        <v>1180</v>
      </c>
      <c r="D4037" s="1" t="s">
        <v>250</v>
      </c>
      <c r="E4037" s="1" t="s">
        <v>81</v>
      </c>
      <c r="F4037" s="2" t="s">
        <v>777</v>
      </c>
      <c r="G4037" s="1">
        <v>383.952</v>
      </c>
      <c r="H4037" s="1">
        <v>6</v>
      </c>
      <c r="I4037" s="1">
        <v>76.790400000000005</v>
      </c>
    </row>
    <row r="4038" spans="1:9" x14ac:dyDescent="0.35">
      <c r="A4038" s="3" t="s">
        <v>3489</v>
      </c>
      <c r="B4038" s="1" t="s">
        <v>2348</v>
      </c>
      <c r="C4038" s="1" t="s">
        <v>154</v>
      </c>
      <c r="D4038" s="1" t="s">
        <v>106</v>
      </c>
      <c r="E4038" s="1" t="s">
        <v>26</v>
      </c>
      <c r="F4038" s="2" t="s">
        <v>2551</v>
      </c>
      <c r="G4038" s="1">
        <v>24.815999999999999</v>
      </c>
      <c r="H4038" s="1">
        <v>2</v>
      </c>
      <c r="I4038" s="1">
        <v>1.5509999999999999</v>
      </c>
    </row>
    <row r="4039" spans="1:9" x14ac:dyDescent="0.35">
      <c r="A4039" s="3" t="s">
        <v>3490</v>
      </c>
      <c r="B4039" s="1" t="s">
        <v>1098</v>
      </c>
      <c r="C4039" s="1" t="s">
        <v>64</v>
      </c>
      <c r="D4039" s="1" t="s">
        <v>18</v>
      </c>
      <c r="E4039" s="1" t="s">
        <v>29</v>
      </c>
      <c r="F4039" s="2" t="s">
        <v>2436</v>
      </c>
      <c r="G4039" s="1">
        <v>24.9</v>
      </c>
      <c r="H4039" s="1">
        <v>5</v>
      </c>
      <c r="I4039" s="1">
        <v>8.2170000000000005</v>
      </c>
    </row>
    <row r="4040" spans="1:9" x14ac:dyDescent="0.35">
      <c r="A4040" s="3" t="s">
        <v>3490</v>
      </c>
      <c r="B4040" s="1" t="s">
        <v>1098</v>
      </c>
      <c r="C4040" s="1" t="s">
        <v>64</v>
      </c>
      <c r="D4040" s="1" t="s">
        <v>18</v>
      </c>
      <c r="E4040" s="1" t="s">
        <v>44</v>
      </c>
      <c r="F4040" s="2" t="s">
        <v>1930</v>
      </c>
      <c r="G4040" s="1">
        <v>21.12</v>
      </c>
      <c r="H4040" s="1">
        <v>4</v>
      </c>
      <c r="I4040" s="1">
        <v>9.5039999999999996</v>
      </c>
    </row>
    <row r="4041" spans="1:9" x14ac:dyDescent="0.35">
      <c r="A4041" s="3" t="s">
        <v>3490</v>
      </c>
      <c r="B4041" s="1" t="s">
        <v>1098</v>
      </c>
      <c r="C4041" s="1" t="s">
        <v>64</v>
      </c>
      <c r="D4041" s="1" t="s">
        <v>18</v>
      </c>
      <c r="E4041" s="1" t="s">
        <v>338</v>
      </c>
      <c r="F4041" s="2" t="s">
        <v>1611</v>
      </c>
      <c r="G4041" s="1">
        <v>767.952</v>
      </c>
      <c r="H4041" s="1">
        <v>6</v>
      </c>
      <c r="I4041" s="1">
        <v>287.98200000000003</v>
      </c>
    </row>
    <row r="4042" spans="1:9" x14ac:dyDescent="0.35">
      <c r="A4042" s="3" t="s">
        <v>3490</v>
      </c>
      <c r="B4042" s="1" t="s">
        <v>1098</v>
      </c>
      <c r="C4042" s="1" t="s">
        <v>64</v>
      </c>
      <c r="D4042" s="1" t="s">
        <v>18</v>
      </c>
      <c r="E4042" s="1" t="s">
        <v>35</v>
      </c>
      <c r="F4042" s="2" t="s">
        <v>1008</v>
      </c>
      <c r="G4042" s="1">
        <v>14.352</v>
      </c>
      <c r="H4042" s="1">
        <v>3</v>
      </c>
      <c r="I4042" s="1">
        <v>4.6643999999999997</v>
      </c>
    </row>
    <row r="4043" spans="1:9" x14ac:dyDescent="0.35">
      <c r="A4043" s="3" t="s">
        <v>3490</v>
      </c>
      <c r="B4043" s="1" t="s">
        <v>1098</v>
      </c>
      <c r="C4043" s="1" t="s">
        <v>64</v>
      </c>
      <c r="D4043" s="1" t="s">
        <v>18</v>
      </c>
      <c r="E4043" s="1" t="s">
        <v>33</v>
      </c>
      <c r="F4043" s="2" t="s">
        <v>922</v>
      </c>
      <c r="G4043" s="1">
        <v>191.976</v>
      </c>
      <c r="H4043" s="1">
        <v>3</v>
      </c>
      <c r="I4043" s="1">
        <v>19.197600000000001</v>
      </c>
    </row>
    <row r="4044" spans="1:9" x14ac:dyDescent="0.35">
      <c r="A4044" s="3" t="s">
        <v>3490</v>
      </c>
      <c r="B4044" s="1" t="s">
        <v>1098</v>
      </c>
      <c r="C4044" s="1" t="s">
        <v>64</v>
      </c>
      <c r="D4044" s="1" t="s">
        <v>18</v>
      </c>
      <c r="E4044" s="1" t="s">
        <v>19</v>
      </c>
      <c r="F4044" s="2" t="s">
        <v>1562</v>
      </c>
      <c r="G4044" s="1">
        <v>274.77</v>
      </c>
      <c r="H4044" s="1">
        <v>9</v>
      </c>
      <c r="I4044" s="1">
        <v>126.3942</v>
      </c>
    </row>
    <row r="4045" spans="1:9" x14ac:dyDescent="0.35">
      <c r="A4045" s="3" t="s">
        <v>3490</v>
      </c>
      <c r="B4045" s="1" t="s">
        <v>1098</v>
      </c>
      <c r="C4045" s="1" t="s">
        <v>64</v>
      </c>
      <c r="D4045" s="1" t="s">
        <v>18</v>
      </c>
      <c r="E4045" s="1" t="s">
        <v>29</v>
      </c>
      <c r="F4045" s="2" t="s">
        <v>2545</v>
      </c>
      <c r="G4045" s="1">
        <v>70.56</v>
      </c>
      <c r="H4045" s="1">
        <v>6</v>
      </c>
      <c r="I4045" s="1">
        <v>23.990400000000001</v>
      </c>
    </row>
    <row r="4046" spans="1:9" x14ac:dyDescent="0.35">
      <c r="A4046" s="3" t="s">
        <v>3491</v>
      </c>
      <c r="B4046" s="1" t="s">
        <v>1893</v>
      </c>
      <c r="C4046" s="1" t="s">
        <v>64</v>
      </c>
      <c r="D4046" s="1" t="s">
        <v>18</v>
      </c>
      <c r="E4046" s="1" t="s">
        <v>29</v>
      </c>
      <c r="F4046" s="2" t="s">
        <v>918</v>
      </c>
      <c r="G4046" s="1">
        <v>204.85</v>
      </c>
      <c r="H4046" s="1">
        <v>5</v>
      </c>
      <c r="I4046" s="1">
        <v>57.357999999999997</v>
      </c>
    </row>
    <row r="4047" spans="1:9" x14ac:dyDescent="0.35">
      <c r="A4047" s="3">
        <v>42039</v>
      </c>
      <c r="B4047" s="1" t="s">
        <v>2488</v>
      </c>
      <c r="C4047" s="1" t="s">
        <v>93</v>
      </c>
      <c r="D4047" s="1" t="s">
        <v>52</v>
      </c>
      <c r="E4047" s="1" t="s">
        <v>35</v>
      </c>
      <c r="F4047" s="2" t="s">
        <v>1344</v>
      </c>
      <c r="G4047" s="1">
        <v>9.1560000000000006</v>
      </c>
      <c r="H4047" s="1">
        <v>3</v>
      </c>
      <c r="I4047" s="1">
        <v>-13.734</v>
      </c>
    </row>
    <row r="4048" spans="1:9" x14ac:dyDescent="0.35">
      <c r="A4048" s="3" t="s">
        <v>3492</v>
      </c>
      <c r="B4048" s="1" t="s">
        <v>2679</v>
      </c>
      <c r="C4048" s="1" t="s">
        <v>154</v>
      </c>
      <c r="D4048" s="1" t="s">
        <v>106</v>
      </c>
      <c r="E4048" s="1" t="s">
        <v>37</v>
      </c>
      <c r="F4048" s="2" t="s">
        <v>1384</v>
      </c>
      <c r="G4048" s="1">
        <v>23.992000000000001</v>
      </c>
      <c r="H4048" s="1">
        <v>2</v>
      </c>
      <c r="I4048" s="1">
        <v>-62.379199999999997</v>
      </c>
    </row>
    <row r="4049" spans="1:9" x14ac:dyDescent="0.35">
      <c r="A4049" s="3" t="s">
        <v>3189</v>
      </c>
      <c r="B4049" s="1" t="s">
        <v>2648</v>
      </c>
      <c r="C4049" s="1" t="s">
        <v>135</v>
      </c>
      <c r="D4049" s="1" t="s">
        <v>136</v>
      </c>
      <c r="E4049" s="1" t="s">
        <v>44</v>
      </c>
      <c r="F4049" s="2" t="s">
        <v>1649</v>
      </c>
      <c r="G4049" s="1">
        <v>80.88</v>
      </c>
      <c r="H4049" s="1">
        <v>3</v>
      </c>
      <c r="I4049" s="1">
        <v>39.6312</v>
      </c>
    </row>
    <row r="4050" spans="1:9" x14ac:dyDescent="0.35">
      <c r="A4050" s="3" t="s">
        <v>3189</v>
      </c>
      <c r="B4050" s="1" t="s">
        <v>2648</v>
      </c>
      <c r="C4050" s="1" t="s">
        <v>135</v>
      </c>
      <c r="D4050" s="1" t="s">
        <v>136</v>
      </c>
      <c r="E4050" s="1" t="s">
        <v>81</v>
      </c>
      <c r="F4050" s="2" t="s">
        <v>1478</v>
      </c>
      <c r="G4050" s="1">
        <v>599.9</v>
      </c>
      <c r="H4050" s="1">
        <v>10</v>
      </c>
      <c r="I4050" s="1">
        <v>191.96799999999999</v>
      </c>
    </row>
    <row r="4051" spans="1:9" x14ac:dyDescent="0.35">
      <c r="A4051" s="3" t="s">
        <v>3493</v>
      </c>
      <c r="B4051" s="1" t="s">
        <v>2361</v>
      </c>
      <c r="C4051" s="1" t="s">
        <v>135</v>
      </c>
      <c r="D4051" s="1" t="s">
        <v>136</v>
      </c>
      <c r="E4051" s="1" t="s">
        <v>29</v>
      </c>
      <c r="F4051" s="2" t="s">
        <v>1272</v>
      </c>
      <c r="G4051" s="1">
        <v>276.69</v>
      </c>
      <c r="H4051" s="1">
        <v>3</v>
      </c>
      <c r="I4051" s="1">
        <v>49.804200000000002</v>
      </c>
    </row>
    <row r="4052" spans="1:9" x14ac:dyDescent="0.35">
      <c r="A4052" s="3" t="s">
        <v>3493</v>
      </c>
      <c r="B4052" s="1" t="s">
        <v>2361</v>
      </c>
      <c r="C4052" s="1" t="s">
        <v>135</v>
      </c>
      <c r="D4052" s="1" t="s">
        <v>136</v>
      </c>
      <c r="E4052" s="1" t="s">
        <v>14</v>
      </c>
      <c r="F4052" s="2" t="s">
        <v>520</v>
      </c>
      <c r="G4052" s="1">
        <v>172.76400000000001</v>
      </c>
      <c r="H4052" s="1">
        <v>2</v>
      </c>
      <c r="I4052" s="1">
        <v>32.633200000000002</v>
      </c>
    </row>
    <row r="4053" spans="1:9" x14ac:dyDescent="0.35">
      <c r="A4053" s="3" t="s">
        <v>3494</v>
      </c>
      <c r="B4053" s="1" t="s">
        <v>1521</v>
      </c>
      <c r="C4053" s="1" t="s">
        <v>74</v>
      </c>
      <c r="D4053" s="1" t="s">
        <v>75</v>
      </c>
      <c r="E4053" s="1" t="s">
        <v>31</v>
      </c>
      <c r="F4053" s="2" t="s">
        <v>2111</v>
      </c>
      <c r="G4053" s="1">
        <v>4.2240000000000002</v>
      </c>
      <c r="H4053" s="1">
        <v>3</v>
      </c>
      <c r="I4053" s="1">
        <v>1.4783999999999999</v>
      </c>
    </row>
    <row r="4054" spans="1:9" x14ac:dyDescent="0.35">
      <c r="A4054" s="3" t="s">
        <v>3494</v>
      </c>
      <c r="B4054" s="1" t="s">
        <v>1521</v>
      </c>
      <c r="C4054" s="1" t="s">
        <v>74</v>
      </c>
      <c r="D4054" s="1" t="s">
        <v>75</v>
      </c>
      <c r="E4054" s="1" t="s">
        <v>24</v>
      </c>
      <c r="F4054" s="2" t="s">
        <v>1942</v>
      </c>
      <c r="G4054" s="1">
        <v>409.27199999999999</v>
      </c>
      <c r="H4054" s="1">
        <v>2</v>
      </c>
      <c r="I4054" s="1">
        <v>-81.854399999999998</v>
      </c>
    </row>
    <row r="4055" spans="1:9" x14ac:dyDescent="0.35">
      <c r="A4055" s="3" t="s">
        <v>3494</v>
      </c>
      <c r="B4055" s="1" t="s">
        <v>1521</v>
      </c>
      <c r="C4055" s="1" t="s">
        <v>74</v>
      </c>
      <c r="D4055" s="1" t="s">
        <v>75</v>
      </c>
      <c r="E4055" s="1" t="s">
        <v>19</v>
      </c>
      <c r="F4055" s="2" t="s">
        <v>2698</v>
      </c>
      <c r="G4055" s="1">
        <v>55.44</v>
      </c>
      <c r="H4055" s="1">
        <v>11</v>
      </c>
      <c r="I4055" s="1">
        <v>18.018000000000001</v>
      </c>
    </row>
    <row r="4056" spans="1:9" x14ac:dyDescent="0.35">
      <c r="A4056" s="3" t="s">
        <v>3494</v>
      </c>
      <c r="B4056" s="1" t="s">
        <v>1521</v>
      </c>
      <c r="C4056" s="1" t="s">
        <v>74</v>
      </c>
      <c r="D4056" s="1" t="s">
        <v>75</v>
      </c>
      <c r="E4056" s="1" t="s">
        <v>44</v>
      </c>
      <c r="F4056" s="2" t="s">
        <v>2017</v>
      </c>
      <c r="G4056" s="1">
        <v>20.928000000000001</v>
      </c>
      <c r="H4056" s="1">
        <v>4</v>
      </c>
      <c r="I4056" s="1">
        <v>6.8015999999999996</v>
      </c>
    </row>
    <row r="4057" spans="1:9" x14ac:dyDescent="0.35">
      <c r="A4057" s="3" t="s">
        <v>3494</v>
      </c>
      <c r="B4057" s="1" t="s">
        <v>1521</v>
      </c>
      <c r="C4057" s="1" t="s">
        <v>74</v>
      </c>
      <c r="D4057" s="1" t="s">
        <v>75</v>
      </c>
      <c r="E4057" s="1" t="s">
        <v>26</v>
      </c>
      <c r="F4057" s="2" t="s">
        <v>827</v>
      </c>
      <c r="G4057" s="1">
        <v>1801.6320000000001</v>
      </c>
      <c r="H4057" s="1">
        <v>6</v>
      </c>
      <c r="I4057" s="1">
        <v>-337.80599999999998</v>
      </c>
    </row>
    <row r="4058" spans="1:9" x14ac:dyDescent="0.35">
      <c r="A4058" s="3" t="s">
        <v>3494</v>
      </c>
      <c r="B4058" s="1" t="s">
        <v>1521</v>
      </c>
      <c r="C4058" s="1" t="s">
        <v>74</v>
      </c>
      <c r="D4058" s="1" t="s">
        <v>75</v>
      </c>
      <c r="E4058" s="1" t="s">
        <v>24</v>
      </c>
      <c r="F4058" s="2" t="s">
        <v>1402</v>
      </c>
      <c r="G4058" s="1">
        <v>67.176000000000002</v>
      </c>
      <c r="H4058" s="1">
        <v>1</v>
      </c>
      <c r="I4058" s="1">
        <v>-20.152799999999999</v>
      </c>
    </row>
    <row r="4059" spans="1:9" x14ac:dyDescent="0.35">
      <c r="A4059" s="3" t="s">
        <v>3459</v>
      </c>
      <c r="B4059" s="1" t="s">
        <v>854</v>
      </c>
      <c r="C4059" s="1" t="s">
        <v>154</v>
      </c>
      <c r="D4059" s="1" t="s">
        <v>106</v>
      </c>
      <c r="E4059" s="1" t="s">
        <v>26</v>
      </c>
      <c r="F4059" s="2" t="s">
        <v>1315</v>
      </c>
      <c r="G4059" s="1">
        <v>646.20000000000005</v>
      </c>
      <c r="H4059" s="1">
        <v>5</v>
      </c>
      <c r="I4059" s="1">
        <v>-8.0775000000000006</v>
      </c>
    </row>
    <row r="4060" spans="1:9" x14ac:dyDescent="0.35">
      <c r="A4060" s="3" t="s">
        <v>3495</v>
      </c>
      <c r="B4060" s="1" t="s">
        <v>282</v>
      </c>
      <c r="C4060" s="1" t="s">
        <v>1391</v>
      </c>
      <c r="D4060" s="1" t="s">
        <v>18</v>
      </c>
      <c r="E4060" s="1" t="s">
        <v>33</v>
      </c>
      <c r="F4060" s="2" t="s">
        <v>1236</v>
      </c>
      <c r="G4060" s="1">
        <v>72.744</v>
      </c>
      <c r="H4060" s="1">
        <v>7</v>
      </c>
      <c r="I4060" s="1">
        <v>-15.4581</v>
      </c>
    </row>
    <row r="4061" spans="1:9" x14ac:dyDescent="0.35">
      <c r="A4061" s="3" t="s">
        <v>3495</v>
      </c>
      <c r="B4061" s="1" t="s">
        <v>282</v>
      </c>
      <c r="C4061" s="1" t="s">
        <v>1391</v>
      </c>
      <c r="D4061" s="1" t="s">
        <v>18</v>
      </c>
      <c r="E4061" s="1" t="s">
        <v>14</v>
      </c>
      <c r="F4061" s="2" t="s">
        <v>842</v>
      </c>
      <c r="G4061" s="1">
        <v>572.16</v>
      </c>
      <c r="H4061" s="1">
        <v>3</v>
      </c>
      <c r="I4061" s="1">
        <v>35.76</v>
      </c>
    </row>
    <row r="4062" spans="1:9" x14ac:dyDescent="0.35">
      <c r="A4062" s="3">
        <v>42380</v>
      </c>
      <c r="B4062" s="1" t="s">
        <v>774</v>
      </c>
      <c r="C4062" s="1" t="s">
        <v>154</v>
      </c>
      <c r="D4062" s="1" t="s">
        <v>106</v>
      </c>
      <c r="E4062" s="1" t="s">
        <v>81</v>
      </c>
      <c r="F4062" s="2" t="s">
        <v>1249</v>
      </c>
      <c r="G4062" s="1">
        <v>68.111999999999995</v>
      </c>
      <c r="H4062" s="1">
        <v>3</v>
      </c>
      <c r="I4062" s="1">
        <v>17.8794</v>
      </c>
    </row>
    <row r="4063" spans="1:9" x14ac:dyDescent="0.35">
      <c r="A4063" s="3" t="s">
        <v>3150</v>
      </c>
      <c r="B4063" s="1" t="s">
        <v>2488</v>
      </c>
      <c r="C4063" s="1" t="s">
        <v>47</v>
      </c>
      <c r="D4063" s="1" t="s">
        <v>48</v>
      </c>
      <c r="E4063" s="1" t="s">
        <v>35</v>
      </c>
      <c r="F4063" s="2" t="s">
        <v>1876</v>
      </c>
      <c r="G4063" s="1">
        <v>25.032</v>
      </c>
      <c r="H4063" s="1">
        <v>3</v>
      </c>
      <c r="I4063" s="1">
        <v>7.8224999999999998</v>
      </c>
    </row>
    <row r="4064" spans="1:9" x14ac:dyDescent="0.35">
      <c r="A4064" s="3">
        <v>42646</v>
      </c>
      <c r="B4064" s="1" t="s">
        <v>1533</v>
      </c>
      <c r="C4064" s="1" t="s">
        <v>74</v>
      </c>
      <c r="D4064" s="1" t="s">
        <v>75</v>
      </c>
      <c r="E4064" s="1" t="s">
        <v>81</v>
      </c>
      <c r="F4064" s="2" t="s">
        <v>2033</v>
      </c>
      <c r="G4064" s="1">
        <v>39.991999999999997</v>
      </c>
      <c r="H4064" s="1">
        <v>1</v>
      </c>
      <c r="I4064" s="1">
        <v>7.4984999999999999</v>
      </c>
    </row>
    <row r="4065" spans="1:9" x14ac:dyDescent="0.35">
      <c r="A4065" s="3" t="s">
        <v>3496</v>
      </c>
      <c r="B4065" s="1" t="s">
        <v>2378</v>
      </c>
      <c r="C4065" s="1" t="s">
        <v>42</v>
      </c>
      <c r="D4065" s="1" t="s">
        <v>43</v>
      </c>
      <c r="E4065" s="1" t="s">
        <v>31</v>
      </c>
      <c r="F4065" s="2" t="s">
        <v>1782</v>
      </c>
      <c r="G4065" s="1">
        <v>20.015999999999998</v>
      </c>
      <c r="H4065" s="1">
        <v>9</v>
      </c>
      <c r="I4065" s="1">
        <v>1.7514000000000001</v>
      </c>
    </row>
    <row r="4066" spans="1:9" x14ac:dyDescent="0.35">
      <c r="A4066" s="3" t="s">
        <v>3496</v>
      </c>
      <c r="B4066" s="1" t="s">
        <v>2378</v>
      </c>
      <c r="C4066" s="1" t="s">
        <v>42</v>
      </c>
      <c r="D4066" s="1" t="s">
        <v>43</v>
      </c>
      <c r="E4066" s="1" t="s">
        <v>289</v>
      </c>
      <c r="F4066" s="2" t="s">
        <v>2605</v>
      </c>
      <c r="G4066" s="1">
        <v>3.1040000000000001</v>
      </c>
      <c r="H4066" s="1">
        <v>1</v>
      </c>
      <c r="I4066" s="1">
        <v>0.34920000000000001</v>
      </c>
    </row>
    <row r="4067" spans="1:9" x14ac:dyDescent="0.35">
      <c r="A4067" s="3">
        <v>41650</v>
      </c>
      <c r="B4067" s="1" t="s">
        <v>712</v>
      </c>
      <c r="C4067" s="1" t="s">
        <v>234</v>
      </c>
      <c r="D4067" s="1" t="s">
        <v>43</v>
      </c>
      <c r="E4067" s="1" t="s">
        <v>137</v>
      </c>
      <c r="F4067" s="2" t="s">
        <v>281</v>
      </c>
      <c r="G4067" s="1">
        <v>7.52</v>
      </c>
      <c r="H4067" s="1">
        <v>5</v>
      </c>
      <c r="I4067" s="1">
        <v>1.41</v>
      </c>
    </row>
    <row r="4068" spans="1:9" x14ac:dyDescent="0.35">
      <c r="A4068" s="3">
        <v>41650</v>
      </c>
      <c r="B4068" s="1" t="s">
        <v>712</v>
      </c>
      <c r="C4068" s="1" t="s">
        <v>234</v>
      </c>
      <c r="D4068" s="1" t="s">
        <v>43</v>
      </c>
      <c r="E4068" s="1" t="s">
        <v>31</v>
      </c>
      <c r="F4068" s="2" t="s">
        <v>1685</v>
      </c>
      <c r="G4068" s="1">
        <v>10.272</v>
      </c>
      <c r="H4068" s="1">
        <v>3</v>
      </c>
      <c r="I4068" s="1">
        <v>0.89880000000000004</v>
      </c>
    </row>
    <row r="4069" spans="1:9" x14ac:dyDescent="0.35">
      <c r="A4069" s="3">
        <v>41650</v>
      </c>
      <c r="B4069" s="1" t="s">
        <v>712</v>
      </c>
      <c r="C4069" s="1" t="s">
        <v>234</v>
      </c>
      <c r="D4069" s="1" t="s">
        <v>43</v>
      </c>
      <c r="E4069" s="1" t="s">
        <v>19</v>
      </c>
      <c r="F4069" s="2" t="s">
        <v>1903</v>
      </c>
      <c r="G4069" s="1">
        <v>47.808</v>
      </c>
      <c r="H4069" s="1">
        <v>12</v>
      </c>
      <c r="I4069" s="1">
        <v>15.537599999999999</v>
      </c>
    </row>
    <row r="4070" spans="1:9" x14ac:dyDescent="0.35">
      <c r="A4070" s="3">
        <v>41650</v>
      </c>
      <c r="B4070" s="1" t="s">
        <v>712</v>
      </c>
      <c r="C4070" s="1" t="s">
        <v>234</v>
      </c>
      <c r="D4070" s="1" t="s">
        <v>43</v>
      </c>
      <c r="E4070" s="1" t="s">
        <v>33</v>
      </c>
      <c r="F4070" s="2" t="s">
        <v>2699</v>
      </c>
      <c r="G4070" s="1">
        <v>978.84</v>
      </c>
      <c r="H4070" s="1">
        <v>9</v>
      </c>
      <c r="I4070" s="1">
        <v>110.1195</v>
      </c>
    </row>
    <row r="4071" spans="1:9" x14ac:dyDescent="0.35">
      <c r="A4071" s="3" t="s">
        <v>3232</v>
      </c>
      <c r="B4071" s="1" t="s">
        <v>2142</v>
      </c>
      <c r="C4071" s="1" t="s">
        <v>399</v>
      </c>
      <c r="D4071" s="1" t="s">
        <v>52</v>
      </c>
      <c r="E4071" s="1" t="s">
        <v>35</v>
      </c>
      <c r="F4071" s="2" t="s">
        <v>649</v>
      </c>
      <c r="G4071" s="1">
        <v>13.14</v>
      </c>
      <c r="H4071" s="1">
        <v>9</v>
      </c>
      <c r="I4071" s="1">
        <v>-21.681000000000001</v>
      </c>
    </row>
    <row r="4072" spans="1:9" x14ac:dyDescent="0.35">
      <c r="A4072" s="3" t="s">
        <v>3232</v>
      </c>
      <c r="B4072" s="1" t="s">
        <v>2142</v>
      </c>
      <c r="C4072" s="1" t="s">
        <v>399</v>
      </c>
      <c r="D4072" s="1" t="s">
        <v>52</v>
      </c>
      <c r="E4072" s="1" t="s">
        <v>35</v>
      </c>
      <c r="F4072" s="2" t="s">
        <v>1838</v>
      </c>
      <c r="G4072" s="1">
        <v>10.023999999999999</v>
      </c>
      <c r="H4072" s="1">
        <v>4</v>
      </c>
      <c r="I4072" s="1">
        <v>-16.5396</v>
      </c>
    </row>
    <row r="4073" spans="1:9" x14ac:dyDescent="0.35">
      <c r="A4073" s="3" t="s">
        <v>3232</v>
      </c>
      <c r="B4073" s="1" t="s">
        <v>2142</v>
      </c>
      <c r="C4073" s="1" t="s">
        <v>399</v>
      </c>
      <c r="D4073" s="1" t="s">
        <v>52</v>
      </c>
      <c r="E4073" s="1" t="s">
        <v>12</v>
      </c>
      <c r="F4073" s="2" t="s">
        <v>1869</v>
      </c>
      <c r="G4073" s="1">
        <v>156.37280000000001</v>
      </c>
      <c r="H4073" s="1">
        <v>2</v>
      </c>
      <c r="I4073" s="1">
        <v>-52.890799999999999</v>
      </c>
    </row>
    <row r="4074" spans="1:9" x14ac:dyDescent="0.35">
      <c r="A4074" s="3">
        <v>42167</v>
      </c>
      <c r="B4074" s="1" t="s">
        <v>1688</v>
      </c>
      <c r="C4074" s="1" t="s">
        <v>1840</v>
      </c>
      <c r="D4074" s="1" t="s">
        <v>129</v>
      </c>
      <c r="E4074" s="1" t="s">
        <v>579</v>
      </c>
      <c r="F4074" s="2" t="s">
        <v>1085</v>
      </c>
      <c r="G4074" s="1">
        <v>999.98</v>
      </c>
      <c r="H4074" s="1">
        <v>2</v>
      </c>
      <c r="I4074" s="1">
        <v>449.99099999999999</v>
      </c>
    </row>
    <row r="4075" spans="1:9" x14ac:dyDescent="0.35">
      <c r="A4075" s="3" t="s">
        <v>3392</v>
      </c>
      <c r="B4075" s="1" t="s">
        <v>2345</v>
      </c>
      <c r="C4075" s="1" t="s">
        <v>2700</v>
      </c>
      <c r="D4075" s="1" t="s">
        <v>322</v>
      </c>
      <c r="E4075" s="1" t="s">
        <v>33</v>
      </c>
      <c r="F4075" s="2" t="s">
        <v>2580</v>
      </c>
      <c r="G4075" s="1">
        <v>821.94</v>
      </c>
      <c r="H4075" s="1">
        <v>6</v>
      </c>
      <c r="I4075" s="1">
        <v>213.70439999999999</v>
      </c>
    </row>
    <row r="4076" spans="1:9" x14ac:dyDescent="0.35">
      <c r="A4076" s="3" t="s">
        <v>3497</v>
      </c>
      <c r="B4076" s="1" t="s">
        <v>2685</v>
      </c>
      <c r="C4076" s="1" t="s">
        <v>2701</v>
      </c>
      <c r="D4076" s="1" t="s">
        <v>23</v>
      </c>
      <c r="E4076" s="1" t="s">
        <v>29</v>
      </c>
      <c r="F4076" s="2" t="s">
        <v>1006</v>
      </c>
      <c r="G4076" s="1">
        <v>220.06399999999999</v>
      </c>
      <c r="H4076" s="1">
        <v>4</v>
      </c>
      <c r="I4076" s="1">
        <v>55.015999999999998</v>
      </c>
    </row>
    <row r="4077" spans="1:9" x14ac:dyDescent="0.35">
      <c r="A4077" s="3" t="s">
        <v>3497</v>
      </c>
      <c r="B4077" s="1" t="s">
        <v>2685</v>
      </c>
      <c r="C4077" s="1" t="s">
        <v>2701</v>
      </c>
      <c r="D4077" s="1" t="s">
        <v>23</v>
      </c>
      <c r="E4077" s="1" t="s">
        <v>29</v>
      </c>
      <c r="F4077" s="2" t="s">
        <v>1781</v>
      </c>
      <c r="G4077" s="1">
        <v>339.13600000000002</v>
      </c>
      <c r="H4077" s="1">
        <v>4</v>
      </c>
      <c r="I4077" s="1">
        <v>0</v>
      </c>
    </row>
    <row r="4078" spans="1:9" x14ac:dyDescent="0.35">
      <c r="A4078" s="3" t="s">
        <v>3498</v>
      </c>
      <c r="B4078" s="1" t="s">
        <v>1521</v>
      </c>
      <c r="C4078" s="1" t="s">
        <v>1138</v>
      </c>
      <c r="D4078" s="1" t="s">
        <v>70</v>
      </c>
      <c r="E4078" s="1" t="s">
        <v>35</v>
      </c>
      <c r="F4078" s="2" t="s">
        <v>1149</v>
      </c>
      <c r="G4078" s="1">
        <v>7.04</v>
      </c>
      <c r="H4078" s="1">
        <v>2</v>
      </c>
      <c r="I4078" s="1">
        <v>3.3088000000000002</v>
      </c>
    </row>
    <row r="4079" spans="1:9" x14ac:dyDescent="0.35">
      <c r="A4079" s="3" t="s">
        <v>3498</v>
      </c>
      <c r="B4079" s="1" t="s">
        <v>1521</v>
      </c>
      <c r="C4079" s="1" t="s">
        <v>1138</v>
      </c>
      <c r="D4079" s="1" t="s">
        <v>70</v>
      </c>
      <c r="E4079" s="1" t="s">
        <v>137</v>
      </c>
      <c r="F4079" s="2" t="s">
        <v>483</v>
      </c>
      <c r="G4079" s="1">
        <v>5.04</v>
      </c>
      <c r="H4079" s="1">
        <v>4</v>
      </c>
      <c r="I4079" s="1">
        <v>0.2016</v>
      </c>
    </row>
    <row r="4080" spans="1:9" x14ac:dyDescent="0.35">
      <c r="A4080" s="3" t="s">
        <v>3498</v>
      </c>
      <c r="B4080" s="1" t="s">
        <v>1521</v>
      </c>
      <c r="C4080" s="1" t="s">
        <v>1138</v>
      </c>
      <c r="D4080" s="1" t="s">
        <v>70</v>
      </c>
      <c r="E4080" s="1" t="s">
        <v>44</v>
      </c>
      <c r="F4080" s="2" t="s">
        <v>1628</v>
      </c>
      <c r="G4080" s="1">
        <v>116.28</v>
      </c>
      <c r="H4080" s="1">
        <v>3</v>
      </c>
      <c r="I4080" s="1">
        <v>56.977200000000003</v>
      </c>
    </row>
    <row r="4081" spans="1:9" x14ac:dyDescent="0.35">
      <c r="A4081" s="3" t="s">
        <v>3253</v>
      </c>
      <c r="B4081" s="1" t="s">
        <v>816</v>
      </c>
      <c r="C4081" s="1" t="s">
        <v>719</v>
      </c>
      <c r="D4081" s="1" t="s">
        <v>43</v>
      </c>
      <c r="E4081" s="1" t="s">
        <v>33</v>
      </c>
      <c r="F4081" s="2" t="s">
        <v>279</v>
      </c>
      <c r="G4081" s="1">
        <v>47.975999999999999</v>
      </c>
      <c r="H4081" s="1">
        <v>3</v>
      </c>
      <c r="I4081" s="1">
        <v>4.7976000000000001</v>
      </c>
    </row>
    <row r="4082" spans="1:9" x14ac:dyDescent="0.35">
      <c r="A4082" s="3" t="s">
        <v>3499</v>
      </c>
      <c r="B4082" s="1" t="s">
        <v>2648</v>
      </c>
      <c r="C4082" s="1" t="s">
        <v>1803</v>
      </c>
      <c r="D4082" s="1" t="s">
        <v>212</v>
      </c>
      <c r="E4082" s="1" t="s">
        <v>44</v>
      </c>
      <c r="F4082" s="2" t="s">
        <v>2170</v>
      </c>
      <c r="G4082" s="1">
        <v>60.048000000000002</v>
      </c>
      <c r="H4082" s="1">
        <v>9</v>
      </c>
      <c r="I4082" s="1">
        <v>22.518000000000001</v>
      </c>
    </row>
    <row r="4083" spans="1:9" x14ac:dyDescent="0.35">
      <c r="A4083" s="3" t="s">
        <v>3499</v>
      </c>
      <c r="B4083" s="1" t="s">
        <v>2648</v>
      </c>
      <c r="C4083" s="1" t="s">
        <v>1803</v>
      </c>
      <c r="D4083" s="1" t="s">
        <v>212</v>
      </c>
      <c r="E4083" s="1" t="s">
        <v>35</v>
      </c>
      <c r="F4083" s="2" t="s">
        <v>2656</v>
      </c>
      <c r="G4083" s="1">
        <v>5.0220000000000002</v>
      </c>
      <c r="H4083" s="1">
        <v>1</v>
      </c>
      <c r="I4083" s="1">
        <v>-3.5154000000000001</v>
      </c>
    </row>
    <row r="4084" spans="1:9" x14ac:dyDescent="0.35">
      <c r="A4084" s="3" t="s">
        <v>3493</v>
      </c>
      <c r="B4084" s="1" t="s">
        <v>2299</v>
      </c>
      <c r="C4084" s="1" t="s">
        <v>181</v>
      </c>
      <c r="D4084" s="1" t="s">
        <v>106</v>
      </c>
      <c r="E4084" s="1" t="s">
        <v>35</v>
      </c>
      <c r="F4084" s="2" t="s">
        <v>1007</v>
      </c>
      <c r="G4084" s="1">
        <v>182.994</v>
      </c>
      <c r="H4084" s="1">
        <v>3</v>
      </c>
      <c r="I4084" s="1">
        <v>-320.23950000000002</v>
      </c>
    </row>
    <row r="4085" spans="1:9" x14ac:dyDescent="0.35">
      <c r="A4085" s="3" t="s">
        <v>3493</v>
      </c>
      <c r="B4085" s="1" t="s">
        <v>2299</v>
      </c>
      <c r="C4085" s="1" t="s">
        <v>181</v>
      </c>
      <c r="D4085" s="1" t="s">
        <v>106</v>
      </c>
      <c r="E4085" s="1" t="s">
        <v>44</v>
      </c>
      <c r="F4085" s="2" t="s">
        <v>2409</v>
      </c>
      <c r="G4085" s="1">
        <v>10.272</v>
      </c>
      <c r="H4085" s="1">
        <v>3</v>
      </c>
      <c r="I4085" s="1">
        <v>3.21</v>
      </c>
    </row>
    <row r="4086" spans="1:9" x14ac:dyDescent="0.35">
      <c r="A4086" s="3">
        <v>42925</v>
      </c>
      <c r="B4086" s="1" t="s">
        <v>2363</v>
      </c>
      <c r="C4086" s="1" t="s">
        <v>272</v>
      </c>
      <c r="D4086" s="1" t="s">
        <v>158</v>
      </c>
      <c r="E4086" s="1" t="s">
        <v>35</v>
      </c>
      <c r="F4086" s="2" t="s">
        <v>117</v>
      </c>
      <c r="G4086" s="1">
        <v>7.8570000000000002</v>
      </c>
      <c r="H4086" s="1">
        <v>3</v>
      </c>
      <c r="I4086" s="1">
        <v>-6.0236999999999998</v>
      </c>
    </row>
    <row r="4087" spans="1:9" x14ac:dyDescent="0.35">
      <c r="A4087" s="3">
        <v>42468</v>
      </c>
      <c r="B4087" s="1" t="s">
        <v>104</v>
      </c>
      <c r="C4087" s="1" t="s">
        <v>2185</v>
      </c>
      <c r="D4087" s="1" t="s">
        <v>18</v>
      </c>
      <c r="E4087" s="1" t="s">
        <v>33</v>
      </c>
      <c r="F4087" s="2" t="s">
        <v>34</v>
      </c>
      <c r="G4087" s="1">
        <v>302.38400000000001</v>
      </c>
      <c r="H4087" s="1">
        <v>2</v>
      </c>
      <c r="I4087" s="1">
        <v>30.238399999999999</v>
      </c>
    </row>
    <row r="4088" spans="1:9" x14ac:dyDescent="0.35">
      <c r="A4088" s="3">
        <v>42468</v>
      </c>
      <c r="B4088" s="1" t="s">
        <v>104</v>
      </c>
      <c r="C4088" s="1" t="s">
        <v>2185</v>
      </c>
      <c r="D4088" s="1" t="s">
        <v>18</v>
      </c>
      <c r="E4088" s="1" t="s">
        <v>35</v>
      </c>
      <c r="F4088" s="2" t="s">
        <v>117</v>
      </c>
      <c r="G4088" s="1">
        <v>20.952000000000002</v>
      </c>
      <c r="H4088" s="1">
        <v>3</v>
      </c>
      <c r="I4088" s="1">
        <v>7.0712999999999999</v>
      </c>
    </row>
    <row r="4089" spans="1:9" x14ac:dyDescent="0.35">
      <c r="A4089" s="3">
        <v>42468</v>
      </c>
      <c r="B4089" s="1" t="s">
        <v>104</v>
      </c>
      <c r="C4089" s="1" t="s">
        <v>2185</v>
      </c>
      <c r="D4089" s="1" t="s">
        <v>18</v>
      </c>
      <c r="E4089" s="1" t="s">
        <v>35</v>
      </c>
      <c r="F4089" s="2" t="s">
        <v>390</v>
      </c>
      <c r="G4089" s="1">
        <v>11.784000000000001</v>
      </c>
      <c r="H4089" s="1">
        <v>3</v>
      </c>
      <c r="I4089" s="1">
        <v>3.9771000000000001</v>
      </c>
    </row>
    <row r="4090" spans="1:9" x14ac:dyDescent="0.35">
      <c r="A4090" s="3" t="s">
        <v>3500</v>
      </c>
      <c r="B4090" s="1" t="s">
        <v>122</v>
      </c>
      <c r="C4090" s="1" t="s">
        <v>1418</v>
      </c>
      <c r="D4090" s="1" t="s">
        <v>797</v>
      </c>
      <c r="E4090" s="1" t="s">
        <v>12</v>
      </c>
      <c r="F4090" s="2" t="s">
        <v>2702</v>
      </c>
      <c r="G4090" s="1">
        <v>638.82000000000005</v>
      </c>
      <c r="H4090" s="1">
        <v>9</v>
      </c>
      <c r="I4090" s="1">
        <v>172.48140000000001</v>
      </c>
    </row>
    <row r="4091" spans="1:9" x14ac:dyDescent="0.35">
      <c r="A4091" s="3">
        <v>42373</v>
      </c>
      <c r="B4091" s="1" t="s">
        <v>1888</v>
      </c>
      <c r="C4091" s="1" t="s">
        <v>135</v>
      </c>
      <c r="D4091" s="1" t="s">
        <v>136</v>
      </c>
      <c r="E4091" s="1" t="s">
        <v>19</v>
      </c>
      <c r="F4091" s="2" t="s">
        <v>876</v>
      </c>
      <c r="G4091" s="1">
        <v>20.7</v>
      </c>
      <c r="H4091" s="1">
        <v>2</v>
      </c>
      <c r="I4091" s="1">
        <v>9.9359999999999999</v>
      </c>
    </row>
    <row r="4092" spans="1:9" x14ac:dyDescent="0.35">
      <c r="A4092" s="3">
        <v>42373</v>
      </c>
      <c r="B4092" s="1" t="s">
        <v>1888</v>
      </c>
      <c r="C4092" s="1" t="s">
        <v>135</v>
      </c>
      <c r="D4092" s="1" t="s">
        <v>136</v>
      </c>
      <c r="E4092" s="1" t="s">
        <v>289</v>
      </c>
      <c r="F4092" s="2" t="s">
        <v>898</v>
      </c>
      <c r="G4092" s="1">
        <v>10.95</v>
      </c>
      <c r="H4092" s="1">
        <v>3</v>
      </c>
      <c r="I4092" s="1">
        <v>3.2850000000000001</v>
      </c>
    </row>
    <row r="4093" spans="1:9" x14ac:dyDescent="0.35">
      <c r="A4093" s="3">
        <v>42373</v>
      </c>
      <c r="B4093" s="1" t="s">
        <v>1888</v>
      </c>
      <c r="C4093" s="1" t="s">
        <v>135</v>
      </c>
      <c r="D4093" s="1" t="s">
        <v>136</v>
      </c>
      <c r="E4093" s="1" t="s">
        <v>35</v>
      </c>
      <c r="F4093" s="2" t="s">
        <v>1008</v>
      </c>
      <c r="G4093" s="1">
        <v>14.352</v>
      </c>
      <c r="H4093" s="1">
        <v>3</v>
      </c>
      <c r="I4093" s="1">
        <v>4.6643999999999997</v>
      </c>
    </row>
    <row r="4094" spans="1:9" x14ac:dyDescent="0.35">
      <c r="A4094" s="3" t="s">
        <v>3501</v>
      </c>
      <c r="B4094" s="1" t="s">
        <v>2244</v>
      </c>
      <c r="C4094" s="1" t="s">
        <v>392</v>
      </c>
      <c r="D4094" s="1" t="s">
        <v>250</v>
      </c>
      <c r="E4094" s="1" t="s">
        <v>26</v>
      </c>
      <c r="F4094" s="2" t="s">
        <v>1585</v>
      </c>
      <c r="G4094" s="1">
        <v>221.024</v>
      </c>
      <c r="H4094" s="1">
        <v>2</v>
      </c>
      <c r="I4094" s="1">
        <v>-55.256</v>
      </c>
    </row>
    <row r="4095" spans="1:9" x14ac:dyDescent="0.35">
      <c r="A4095" s="3" t="s">
        <v>3343</v>
      </c>
      <c r="B4095" s="1" t="s">
        <v>606</v>
      </c>
      <c r="C4095" s="1" t="s">
        <v>1160</v>
      </c>
      <c r="D4095" s="1" t="s">
        <v>11</v>
      </c>
      <c r="E4095" s="1" t="s">
        <v>338</v>
      </c>
      <c r="F4095" s="2" t="s">
        <v>417</v>
      </c>
      <c r="G4095" s="1">
        <v>3080</v>
      </c>
      <c r="H4095" s="1">
        <v>7</v>
      </c>
      <c r="I4095" s="1">
        <v>1416.8</v>
      </c>
    </row>
    <row r="4096" spans="1:9" x14ac:dyDescent="0.35">
      <c r="A4096" s="3" t="s">
        <v>3343</v>
      </c>
      <c r="B4096" s="1" t="s">
        <v>606</v>
      </c>
      <c r="C4096" s="1" t="s">
        <v>1160</v>
      </c>
      <c r="D4096" s="1" t="s">
        <v>11</v>
      </c>
      <c r="E4096" s="1" t="s">
        <v>81</v>
      </c>
      <c r="F4096" s="2" t="s">
        <v>2038</v>
      </c>
      <c r="G4096" s="1">
        <v>79.959999999999994</v>
      </c>
      <c r="H4096" s="1">
        <v>4</v>
      </c>
      <c r="I4096" s="1">
        <v>18.390799999999999</v>
      </c>
    </row>
    <row r="4097" spans="1:9" x14ac:dyDescent="0.35">
      <c r="A4097" s="3" t="s">
        <v>3343</v>
      </c>
      <c r="B4097" s="1" t="s">
        <v>606</v>
      </c>
      <c r="C4097" s="1" t="s">
        <v>1160</v>
      </c>
      <c r="D4097" s="1" t="s">
        <v>11</v>
      </c>
      <c r="E4097" s="1" t="s">
        <v>33</v>
      </c>
      <c r="F4097" s="2" t="s">
        <v>2669</v>
      </c>
      <c r="G4097" s="1">
        <v>587.97</v>
      </c>
      <c r="H4097" s="1">
        <v>3</v>
      </c>
      <c r="I4097" s="1">
        <v>170.51130000000001</v>
      </c>
    </row>
    <row r="4098" spans="1:9" x14ac:dyDescent="0.35">
      <c r="A4098" s="3" t="s">
        <v>3379</v>
      </c>
      <c r="B4098" s="1" t="s">
        <v>744</v>
      </c>
      <c r="C4098" s="1" t="s">
        <v>206</v>
      </c>
      <c r="D4098" s="1" t="s">
        <v>115</v>
      </c>
      <c r="E4098" s="1" t="s">
        <v>44</v>
      </c>
      <c r="F4098" s="2" t="s">
        <v>1636</v>
      </c>
      <c r="G4098" s="1">
        <v>32.4</v>
      </c>
      <c r="H4098" s="1">
        <v>5</v>
      </c>
      <c r="I4098" s="1">
        <v>15.552</v>
      </c>
    </row>
    <row r="4099" spans="1:9" x14ac:dyDescent="0.35">
      <c r="A4099" s="3" t="s">
        <v>3379</v>
      </c>
      <c r="B4099" s="1" t="s">
        <v>744</v>
      </c>
      <c r="C4099" s="1" t="s">
        <v>206</v>
      </c>
      <c r="D4099" s="1" t="s">
        <v>115</v>
      </c>
      <c r="E4099" s="1" t="s">
        <v>26</v>
      </c>
      <c r="F4099" s="2" t="s">
        <v>829</v>
      </c>
      <c r="G4099" s="1">
        <v>404.9</v>
      </c>
      <c r="H4099" s="1">
        <v>5</v>
      </c>
      <c r="I4099" s="1">
        <v>16.196000000000002</v>
      </c>
    </row>
    <row r="4100" spans="1:9" x14ac:dyDescent="0.35">
      <c r="A4100" s="3" t="s">
        <v>3379</v>
      </c>
      <c r="B4100" s="1" t="s">
        <v>744</v>
      </c>
      <c r="C4100" s="1" t="s">
        <v>206</v>
      </c>
      <c r="D4100" s="1" t="s">
        <v>115</v>
      </c>
      <c r="E4100" s="1" t="s">
        <v>35</v>
      </c>
      <c r="F4100" s="2" t="s">
        <v>2703</v>
      </c>
      <c r="G4100" s="1">
        <v>9449.9500000000007</v>
      </c>
      <c r="H4100" s="1">
        <v>5</v>
      </c>
      <c r="I4100" s="1">
        <v>4630.4754999999996</v>
      </c>
    </row>
    <row r="4101" spans="1:9" x14ac:dyDescent="0.35">
      <c r="A4101" s="3" t="s">
        <v>3379</v>
      </c>
      <c r="B4101" s="1" t="s">
        <v>744</v>
      </c>
      <c r="C4101" s="1" t="s">
        <v>206</v>
      </c>
      <c r="D4101" s="1" t="s">
        <v>115</v>
      </c>
      <c r="E4101" s="1" t="s">
        <v>35</v>
      </c>
      <c r="F4101" s="2" t="s">
        <v>1103</v>
      </c>
      <c r="G4101" s="1">
        <v>12.94</v>
      </c>
      <c r="H4101" s="1">
        <v>2</v>
      </c>
      <c r="I4101" s="1">
        <v>6.47</v>
      </c>
    </row>
    <row r="4102" spans="1:9" x14ac:dyDescent="0.35">
      <c r="A4102" s="3" t="s">
        <v>3502</v>
      </c>
      <c r="B4102" s="1" t="s">
        <v>908</v>
      </c>
      <c r="C4102" s="1" t="s">
        <v>93</v>
      </c>
      <c r="D4102" s="1" t="s">
        <v>52</v>
      </c>
      <c r="E4102" s="1" t="s">
        <v>37</v>
      </c>
      <c r="F4102" s="2" t="s">
        <v>2704</v>
      </c>
      <c r="G4102" s="1">
        <v>2.2639999999999998</v>
      </c>
      <c r="H4102" s="1">
        <v>1</v>
      </c>
      <c r="I4102" s="1">
        <v>-5.2072000000000003</v>
      </c>
    </row>
    <row r="4103" spans="1:9" x14ac:dyDescent="0.35">
      <c r="A4103" s="3" t="s">
        <v>3502</v>
      </c>
      <c r="B4103" s="1" t="s">
        <v>908</v>
      </c>
      <c r="C4103" s="1" t="s">
        <v>93</v>
      </c>
      <c r="D4103" s="1" t="s">
        <v>52</v>
      </c>
      <c r="E4103" s="1" t="s">
        <v>37</v>
      </c>
      <c r="F4103" s="2" t="s">
        <v>1853</v>
      </c>
      <c r="G4103" s="1">
        <v>0.44400000000000001</v>
      </c>
      <c r="H4103" s="1">
        <v>1</v>
      </c>
      <c r="I4103" s="1">
        <v>-1.1100000000000001</v>
      </c>
    </row>
    <row r="4104" spans="1:9" x14ac:dyDescent="0.35">
      <c r="A4104" s="3" t="s">
        <v>3502</v>
      </c>
      <c r="B4104" s="1" t="s">
        <v>908</v>
      </c>
      <c r="C4104" s="1" t="s">
        <v>93</v>
      </c>
      <c r="D4104" s="1" t="s">
        <v>52</v>
      </c>
      <c r="E4104" s="1" t="s">
        <v>44</v>
      </c>
      <c r="F4104" s="2" t="s">
        <v>2094</v>
      </c>
      <c r="G4104" s="1">
        <v>146.17599999999999</v>
      </c>
      <c r="H4104" s="1">
        <v>8</v>
      </c>
      <c r="I4104" s="1">
        <v>47.507199999999997</v>
      </c>
    </row>
    <row r="4105" spans="1:9" x14ac:dyDescent="0.35">
      <c r="A4105" s="3" t="s">
        <v>3202</v>
      </c>
      <c r="B4105" s="1" t="s">
        <v>221</v>
      </c>
      <c r="C4105" s="1" t="s">
        <v>69</v>
      </c>
      <c r="D4105" s="1" t="s">
        <v>70</v>
      </c>
      <c r="E4105" s="1" t="s">
        <v>29</v>
      </c>
      <c r="F4105" s="2" t="s">
        <v>449</v>
      </c>
      <c r="G4105" s="1">
        <v>15.92</v>
      </c>
      <c r="H4105" s="1">
        <v>2</v>
      </c>
      <c r="I4105" s="1">
        <v>7.0048000000000004</v>
      </c>
    </row>
    <row r="4106" spans="1:9" x14ac:dyDescent="0.35">
      <c r="A4106" s="3">
        <v>42924</v>
      </c>
      <c r="B4106" s="1" t="s">
        <v>1029</v>
      </c>
      <c r="C4106" s="1" t="s">
        <v>461</v>
      </c>
      <c r="D4106" s="1" t="s">
        <v>18</v>
      </c>
      <c r="E4106" s="1" t="s">
        <v>33</v>
      </c>
      <c r="F4106" s="2" t="s">
        <v>1489</v>
      </c>
      <c r="G4106" s="1">
        <v>159.96</v>
      </c>
      <c r="H4106" s="1">
        <v>5</v>
      </c>
      <c r="I4106" s="1">
        <v>17.9955</v>
      </c>
    </row>
    <row r="4107" spans="1:9" x14ac:dyDescent="0.35">
      <c r="A4107" s="3">
        <v>42924</v>
      </c>
      <c r="B4107" s="1" t="s">
        <v>1029</v>
      </c>
      <c r="C4107" s="1" t="s">
        <v>461</v>
      </c>
      <c r="D4107" s="1" t="s">
        <v>18</v>
      </c>
      <c r="E4107" s="1" t="s">
        <v>35</v>
      </c>
      <c r="F4107" s="2" t="s">
        <v>864</v>
      </c>
      <c r="G4107" s="1">
        <v>13.76</v>
      </c>
      <c r="H4107" s="1">
        <v>2</v>
      </c>
      <c r="I4107" s="1">
        <v>4.6440000000000001</v>
      </c>
    </row>
    <row r="4108" spans="1:9" x14ac:dyDescent="0.35">
      <c r="A4108" s="3" t="s">
        <v>3503</v>
      </c>
      <c r="B4108" s="1" t="s">
        <v>2705</v>
      </c>
      <c r="C4108" s="1" t="s">
        <v>93</v>
      </c>
      <c r="D4108" s="1" t="s">
        <v>52</v>
      </c>
      <c r="E4108" s="1" t="s">
        <v>35</v>
      </c>
      <c r="F4108" s="2" t="s">
        <v>1409</v>
      </c>
      <c r="G4108" s="1">
        <v>4.3120000000000003</v>
      </c>
      <c r="H4108" s="1">
        <v>2</v>
      </c>
      <c r="I4108" s="1">
        <v>-6.8992000000000004</v>
      </c>
    </row>
    <row r="4109" spans="1:9" x14ac:dyDescent="0.35">
      <c r="A4109" s="3">
        <v>42194</v>
      </c>
      <c r="B4109" s="1" t="s">
        <v>1798</v>
      </c>
      <c r="C4109" s="1" t="s">
        <v>135</v>
      </c>
      <c r="D4109" s="1" t="s">
        <v>136</v>
      </c>
      <c r="E4109" s="1" t="s">
        <v>26</v>
      </c>
      <c r="F4109" s="2" t="s">
        <v>1216</v>
      </c>
      <c r="G4109" s="1">
        <v>13.96</v>
      </c>
      <c r="H4109" s="1">
        <v>2</v>
      </c>
      <c r="I4109" s="1">
        <v>0.2792</v>
      </c>
    </row>
    <row r="4110" spans="1:9" x14ac:dyDescent="0.35">
      <c r="A4110" s="3">
        <v>42194</v>
      </c>
      <c r="B4110" s="1" t="s">
        <v>1798</v>
      </c>
      <c r="C4110" s="1" t="s">
        <v>135</v>
      </c>
      <c r="D4110" s="1" t="s">
        <v>136</v>
      </c>
      <c r="E4110" s="1" t="s">
        <v>24</v>
      </c>
      <c r="F4110" s="2" t="s">
        <v>2462</v>
      </c>
      <c r="G4110" s="1">
        <v>27.414000000000001</v>
      </c>
      <c r="H4110" s="1">
        <v>3</v>
      </c>
      <c r="I4110" s="1">
        <v>-14.1639</v>
      </c>
    </row>
    <row r="4111" spans="1:9" x14ac:dyDescent="0.35">
      <c r="A4111" s="3" t="s">
        <v>3200</v>
      </c>
      <c r="B4111" s="1" t="s">
        <v>1414</v>
      </c>
      <c r="C4111" s="1" t="s">
        <v>429</v>
      </c>
      <c r="D4111" s="1" t="s">
        <v>120</v>
      </c>
      <c r="E4111" s="1" t="s">
        <v>33</v>
      </c>
      <c r="F4111" s="2" t="s">
        <v>1196</v>
      </c>
      <c r="G4111" s="1">
        <v>73.98</v>
      </c>
      <c r="H4111" s="1">
        <v>2</v>
      </c>
      <c r="I4111" s="1">
        <v>19.974599999999999</v>
      </c>
    </row>
    <row r="4112" spans="1:9" x14ac:dyDescent="0.35">
      <c r="A4112" s="3" t="s">
        <v>3200</v>
      </c>
      <c r="B4112" s="1" t="s">
        <v>1414</v>
      </c>
      <c r="C4112" s="1" t="s">
        <v>429</v>
      </c>
      <c r="D4112" s="1" t="s">
        <v>120</v>
      </c>
      <c r="E4112" s="1" t="s">
        <v>12</v>
      </c>
      <c r="F4112" s="2" t="s">
        <v>2706</v>
      </c>
      <c r="G4112" s="1">
        <v>160.97999999999999</v>
      </c>
      <c r="H4112" s="1">
        <v>1</v>
      </c>
      <c r="I4112" s="1">
        <v>20.927399999999999</v>
      </c>
    </row>
    <row r="4113" spans="1:9" x14ac:dyDescent="0.35">
      <c r="A4113" s="3" t="s">
        <v>3200</v>
      </c>
      <c r="B4113" s="1" t="s">
        <v>1414</v>
      </c>
      <c r="C4113" s="1" t="s">
        <v>429</v>
      </c>
      <c r="D4113" s="1" t="s">
        <v>120</v>
      </c>
      <c r="E4113" s="1" t="s">
        <v>44</v>
      </c>
      <c r="F4113" s="2" t="s">
        <v>2004</v>
      </c>
      <c r="G4113" s="1">
        <v>17.34</v>
      </c>
      <c r="H4113" s="1">
        <v>3</v>
      </c>
      <c r="I4113" s="1">
        <v>8.4966000000000008</v>
      </c>
    </row>
    <row r="4114" spans="1:9" x14ac:dyDescent="0.35">
      <c r="A4114" s="3" t="s">
        <v>3200</v>
      </c>
      <c r="B4114" s="1" t="s">
        <v>1414</v>
      </c>
      <c r="C4114" s="1" t="s">
        <v>429</v>
      </c>
      <c r="D4114" s="1" t="s">
        <v>120</v>
      </c>
      <c r="E4114" s="1" t="s">
        <v>31</v>
      </c>
      <c r="F4114" s="2" t="s">
        <v>1420</v>
      </c>
      <c r="G4114" s="1">
        <v>3.28</v>
      </c>
      <c r="H4114" s="1">
        <v>1</v>
      </c>
      <c r="I4114" s="1">
        <v>0.95120000000000005</v>
      </c>
    </row>
    <row r="4115" spans="1:9" x14ac:dyDescent="0.35">
      <c r="A4115" s="3">
        <v>42040</v>
      </c>
      <c r="B4115" s="1" t="s">
        <v>1935</v>
      </c>
      <c r="C4115" s="1" t="s">
        <v>93</v>
      </c>
      <c r="D4115" s="1" t="s">
        <v>52</v>
      </c>
      <c r="E4115" s="1" t="s">
        <v>19</v>
      </c>
      <c r="F4115" s="2" t="s">
        <v>1902</v>
      </c>
      <c r="G4115" s="1">
        <v>8.8559999999999999</v>
      </c>
      <c r="H4115" s="1">
        <v>3</v>
      </c>
      <c r="I4115" s="1">
        <v>2.9889000000000001</v>
      </c>
    </row>
    <row r="4116" spans="1:9" x14ac:dyDescent="0.35">
      <c r="A4116" s="3">
        <v>42040</v>
      </c>
      <c r="B4116" s="1" t="s">
        <v>1935</v>
      </c>
      <c r="C4116" s="1" t="s">
        <v>93</v>
      </c>
      <c r="D4116" s="1" t="s">
        <v>52</v>
      </c>
      <c r="E4116" s="1" t="s">
        <v>33</v>
      </c>
      <c r="F4116" s="2" t="s">
        <v>1651</v>
      </c>
      <c r="G4116" s="1">
        <v>158.376</v>
      </c>
      <c r="H4116" s="1">
        <v>3</v>
      </c>
      <c r="I4116" s="1">
        <v>13.857900000000001</v>
      </c>
    </row>
    <row r="4117" spans="1:9" x14ac:dyDescent="0.35">
      <c r="A4117" s="3" t="s">
        <v>3410</v>
      </c>
      <c r="B4117" s="1" t="s">
        <v>1955</v>
      </c>
      <c r="C4117" s="1" t="s">
        <v>47</v>
      </c>
      <c r="D4117" s="1" t="s">
        <v>48</v>
      </c>
      <c r="E4117" s="1" t="s">
        <v>35</v>
      </c>
      <c r="F4117" s="2" t="s">
        <v>1007</v>
      </c>
      <c r="G4117" s="1">
        <v>1219.96</v>
      </c>
      <c r="H4117" s="1">
        <v>5</v>
      </c>
      <c r="I4117" s="1">
        <v>381.23750000000001</v>
      </c>
    </row>
    <row r="4118" spans="1:9" x14ac:dyDescent="0.35">
      <c r="A4118" s="3" t="s">
        <v>3159</v>
      </c>
      <c r="B4118" s="1" t="s">
        <v>1300</v>
      </c>
      <c r="C4118" s="1" t="s">
        <v>17</v>
      </c>
      <c r="D4118" s="1" t="s">
        <v>18</v>
      </c>
      <c r="E4118" s="1" t="s">
        <v>35</v>
      </c>
      <c r="F4118" s="2" t="s">
        <v>1542</v>
      </c>
      <c r="G4118" s="1">
        <v>3.1680000000000001</v>
      </c>
      <c r="H4118" s="1">
        <v>2</v>
      </c>
      <c r="I4118" s="1">
        <v>0.99</v>
      </c>
    </row>
    <row r="4119" spans="1:9" x14ac:dyDescent="0.35">
      <c r="A4119" s="3" t="s">
        <v>3159</v>
      </c>
      <c r="B4119" s="1" t="s">
        <v>1300</v>
      </c>
      <c r="C4119" s="1" t="s">
        <v>17</v>
      </c>
      <c r="D4119" s="1" t="s">
        <v>18</v>
      </c>
      <c r="E4119" s="1" t="s">
        <v>44</v>
      </c>
      <c r="F4119" s="2" t="s">
        <v>911</v>
      </c>
      <c r="G4119" s="1">
        <v>19.440000000000001</v>
      </c>
      <c r="H4119" s="1">
        <v>3</v>
      </c>
      <c r="I4119" s="1">
        <v>9.3312000000000008</v>
      </c>
    </row>
    <row r="4120" spans="1:9" x14ac:dyDescent="0.35">
      <c r="A4120" s="3" t="s">
        <v>3159</v>
      </c>
      <c r="B4120" s="1" t="s">
        <v>1300</v>
      </c>
      <c r="C4120" s="1" t="s">
        <v>17</v>
      </c>
      <c r="D4120" s="1" t="s">
        <v>18</v>
      </c>
      <c r="E4120" s="1" t="s">
        <v>26</v>
      </c>
      <c r="F4120" s="2" t="s">
        <v>726</v>
      </c>
      <c r="G4120" s="1">
        <v>454.86</v>
      </c>
      <c r="H4120" s="1">
        <v>7</v>
      </c>
      <c r="I4120" s="1">
        <v>54.583199999999998</v>
      </c>
    </row>
    <row r="4121" spans="1:9" x14ac:dyDescent="0.35">
      <c r="A4121" s="3" t="s">
        <v>3159</v>
      </c>
      <c r="B4121" s="1" t="s">
        <v>1300</v>
      </c>
      <c r="C4121" s="1" t="s">
        <v>17</v>
      </c>
      <c r="D4121" s="1" t="s">
        <v>18</v>
      </c>
      <c r="E4121" s="1" t="s">
        <v>35</v>
      </c>
      <c r="F4121" s="2" t="s">
        <v>529</v>
      </c>
      <c r="G4121" s="1">
        <v>91.391999999999996</v>
      </c>
      <c r="H4121" s="1">
        <v>8</v>
      </c>
      <c r="I4121" s="1">
        <v>29.702400000000001</v>
      </c>
    </row>
    <row r="4122" spans="1:9" x14ac:dyDescent="0.35">
      <c r="A4122" s="3">
        <v>42834</v>
      </c>
      <c r="B4122" s="1" t="s">
        <v>1661</v>
      </c>
      <c r="C4122" s="1" t="s">
        <v>74</v>
      </c>
      <c r="D4122" s="1" t="s">
        <v>75</v>
      </c>
      <c r="E4122" s="1" t="s">
        <v>81</v>
      </c>
      <c r="F4122" s="2" t="s">
        <v>2707</v>
      </c>
      <c r="G4122" s="1">
        <v>19.04</v>
      </c>
      <c r="H4122" s="1">
        <v>4</v>
      </c>
      <c r="I4122" s="1">
        <v>-1.4279999999999999</v>
      </c>
    </row>
    <row r="4123" spans="1:9" x14ac:dyDescent="0.35">
      <c r="A4123" s="3">
        <v>43044</v>
      </c>
      <c r="B4123" s="1" t="s">
        <v>879</v>
      </c>
      <c r="C4123" s="1" t="s">
        <v>47</v>
      </c>
      <c r="D4123" s="1" t="s">
        <v>48</v>
      </c>
      <c r="E4123" s="1" t="s">
        <v>44</v>
      </c>
      <c r="F4123" s="2" t="s">
        <v>1528</v>
      </c>
      <c r="G4123" s="1">
        <v>37.44</v>
      </c>
      <c r="H4123" s="1">
        <v>6</v>
      </c>
      <c r="I4123" s="1">
        <v>16.847999999999999</v>
      </c>
    </row>
    <row r="4124" spans="1:9" x14ac:dyDescent="0.35">
      <c r="A4124" s="3">
        <v>43044</v>
      </c>
      <c r="B4124" s="1" t="s">
        <v>879</v>
      </c>
      <c r="C4124" s="1" t="s">
        <v>47</v>
      </c>
      <c r="D4124" s="1" t="s">
        <v>48</v>
      </c>
      <c r="E4124" s="1" t="s">
        <v>19</v>
      </c>
      <c r="F4124" s="2" t="s">
        <v>2235</v>
      </c>
      <c r="G4124" s="1">
        <v>37.590000000000003</v>
      </c>
      <c r="H4124" s="1">
        <v>3</v>
      </c>
      <c r="I4124" s="1">
        <v>17.667300000000001</v>
      </c>
    </row>
    <row r="4125" spans="1:9" x14ac:dyDescent="0.35">
      <c r="A4125" s="3">
        <v>43044</v>
      </c>
      <c r="B4125" s="1" t="s">
        <v>879</v>
      </c>
      <c r="C4125" s="1" t="s">
        <v>47</v>
      </c>
      <c r="D4125" s="1" t="s">
        <v>48</v>
      </c>
      <c r="E4125" s="1" t="s">
        <v>35</v>
      </c>
      <c r="F4125" s="2" t="s">
        <v>2540</v>
      </c>
      <c r="G4125" s="1">
        <v>26.032</v>
      </c>
      <c r="H4125" s="1">
        <v>2</v>
      </c>
      <c r="I4125" s="1">
        <v>9.4366000000000003</v>
      </c>
    </row>
    <row r="4126" spans="1:9" x14ac:dyDescent="0.35">
      <c r="A4126" s="3">
        <v>41948</v>
      </c>
      <c r="B4126" s="1" t="s">
        <v>1496</v>
      </c>
      <c r="C4126" s="1" t="s">
        <v>1741</v>
      </c>
      <c r="D4126" s="1" t="s">
        <v>136</v>
      </c>
      <c r="E4126" s="1" t="s">
        <v>37</v>
      </c>
      <c r="F4126" s="2" t="s">
        <v>676</v>
      </c>
      <c r="G4126" s="1">
        <v>35.909999999999997</v>
      </c>
      <c r="H4126" s="1">
        <v>3</v>
      </c>
      <c r="I4126" s="1">
        <v>9.6957000000000004</v>
      </c>
    </row>
    <row r="4127" spans="1:9" x14ac:dyDescent="0.35">
      <c r="A4127" s="3" t="s">
        <v>3504</v>
      </c>
      <c r="B4127" s="1" t="s">
        <v>837</v>
      </c>
      <c r="C4127" s="1" t="s">
        <v>719</v>
      </c>
      <c r="D4127" s="1" t="s">
        <v>23</v>
      </c>
      <c r="E4127" s="1" t="s">
        <v>29</v>
      </c>
      <c r="F4127" s="2" t="s">
        <v>1319</v>
      </c>
      <c r="G4127" s="1">
        <v>91.031999999999996</v>
      </c>
      <c r="H4127" s="1">
        <v>3</v>
      </c>
      <c r="I4127" s="1">
        <v>-2.2757999999999998</v>
      </c>
    </row>
    <row r="4128" spans="1:9" x14ac:dyDescent="0.35">
      <c r="A4128" s="3">
        <v>42891</v>
      </c>
      <c r="B4128" s="1" t="s">
        <v>225</v>
      </c>
      <c r="C4128" s="1" t="s">
        <v>540</v>
      </c>
      <c r="D4128" s="1" t="s">
        <v>163</v>
      </c>
      <c r="E4128" s="1" t="s">
        <v>31</v>
      </c>
      <c r="F4128" s="2" t="s">
        <v>2638</v>
      </c>
      <c r="G4128" s="1">
        <v>54.66</v>
      </c>
      <c r="H4128" s="1">
        <v>6</v>
      </c>
      <c r="I4128" s="1">
        <v>18.037800000000001</v>
      </c>
    </row>
    <row r="4129" spans="1:9" x14ac:dyDescent="0.35">
      <c r="A4129" s="3" t="s">
        <v>3505</v>
      </c>
      <c r="B4129" s="1" t="s">
        <v>968</v>
      </c>
      <c r="C4129" s="1" t="s">
        <v>234</v>
      </c>
      <c r="D4129" s="1" t="s">
        <v>43</v>
      </c>
      <c r="E4129" s="1" t="s">
        <v>26</v>
      </c>
      <c r="F4129" s="2" t="s">
        <v>1321</v>
      </c>
      <c r="G4129" s="1">
        <v>67.343999999999994</v>
      </c>
      <c r="H4129" s="1">
        <v>6</v>
      </c>
      <c r="I4129" s="1">
        <v>7.5762</v>
      </c>
    </row>
    <row r="4130" spans="1:9" x14ac:dyDescent="0.35">
      <c r="A4130" s="3" t="s">
        <v>3505</v>
      </c>
      <c r="B4130" s="1" t="s">
        <v>968</v>
      </c>
      <c r="C4130" s="1" t="s">
        <v>234</v>
      </c>
      <c r="D4130" s="1" t="s">
        <v>43</v>
      </c>
      <c r="E4130" s="1" t="s">
        <v>338</v>
      </c>
      <c r="F4130" s="2" t="s">
        <v>2708</v>
      </c>
      <c r="G4130" s="1">
        <v>2624.9850000000001</v>
      </c>
      <c r="H4130" s="1">
        <v>3</v>
      </c>
      <c r="I4130" s="1">
        <v>-944.99459999999999</v>
      </c>
    </row>
    <row r="4131" spans="1:9" x14ac:dyDescent="0.35">
      <c r="A4131" s="3" t="s">
        <v>3506</v>
      </c>
      <c r="B4131" s="1" t="s">
        <v>639</v>
      </c>
      <c r="C4131" s="1" t="s">
        <v>47</v>
      </c>
      <c r="D4131" s="1" t="s">
        <v>48</v>
      </c>
      <c r="E4131" s="1" t="s">
        <v>37</v>
      </c>
      <c r="F4131" s="2" t="s">
        <v>2584</v>
      </c>
      <c r="G4131" s="1">
        <v>73.28</v>
      </c>
      <c r="H4131" s="1">
        <v>4</v>
      </c>
      <c r="I4131" s="1">
        <v>21.251200000000001</v>
      </c>
    </row>
    <row r="4132" spans="1:9" x14ac:dyDescent="0.35">
      <c r="A4132" s="3" t="s">
        <v>3368</v>
      </c>
      <c r="B4132" s="1" t="s">
        <v>1610</v>
      </c>
      <c r="C4132" s="1" t="s">
        <v>154</v>
      </c>
      <c r="D4132" s="1" t="s">
        <v>106</v>
      </c>
      <c r="E4132" s="1" t="s">
        <v>35</v>
      </c>
      <c r="F4132" s="2" t="s">
        <v>889</v>
      </c>
      <c r="G4132" s="1">
        <v>14.48</v>
      </c>
      <c r="H4132" s="1">
        <v>5</v>
      </c>
      <c r="I4132" s="1">
        <v>-23.891999999999999</v>
      </c>
    </row>
    <row r="4133" spans="1:9" x14ac:dyDescent="0.35">
      <c r="A4133" s="3">
        <v>42042</v>
      </c>
      <c r="B4133" s="1" t="s">
        <v>205</v>
      </c>
      <c r="C4133" s="1" t="s">
        <v>2709</v>
      </c>
      <c r="D4133" s="1" t="s">
        <v>23</v>
      </c>
      <c r="E4133" s="1" t="s">
        <v>44</v>
      </c>
      <c r="F4133" s="2" t="s">
        <v>94</v>
      </c>
      <c r="G4133" s="1">
        <v>11.952</v>
      </c>
      <c r="H4133" s="1">
        <v>3</v>
      </c>
      <c r="I4133" s="1">
        <v>4.0338000000000003</v>
      </c>
    </row>
    <row r="4134" spans="1:9" x14ac:dyDescent="0.35">
      <c r="A4134" s="3">
        <v>42042</v>
      </c>
      <c r="B4134" s="1" t="s">
        <v>205</v>
      </c>
      <c r="C4134" s="1" t="s">
        <v>2709</v>
      </c>
      <c r="D4134" s="1" t="s">
        <v>23</v>
      </c>
      <c r="E4134" s="1" t="s">
        <v>44</v>
      </c>
      <c r="F4134" s="2" t="s">
        <v>447</v>
      </c>
      <c r="G4134" s="1">
        <v>15.552</v>
      </c>
      <c r="H4134" s="1">
        <v>3</v>
      </c>
      <c r="I4134" s="1">
        <v>5.6375999999999999</v>
      </c>
    </row>
    <row r="4135" spans="1:9" x14ac:dyDescent="0.35">
      <c r="A4135" s="3">
        <v>41860</v>
      </c>
      <c r="B4135" s="1" t="s">
        <v>325</v>
      </c>
      <c r="C4135" s="1" t="s">
        <v>2009</v>
      </c>
      <c r="D4135" s="1" t="s">
        <v>163</v>
      </c>
      <c r="E4135" s="1" t="s">
        <v>137</v>
      </c>
      <c r="F4135" s="2" t="s">
        <v>1157</v>
      </c>
      <c r="G4135" s="1">
        <v>45</v>
      </c>
      <c r="H4135" s="1">
        <v>9</v>
      </c>
      <c r="I4135" s="1">
        <v>21.6</v>
      </c>
    </row>
    <row r="4136" spans="1:9" x14ac:dyDescent="0.35">
      <c r="A4136" s="3">
        <v>41860</v>
      </c>
      <c r="B4136" s="1" t="s">
        <v>325</v>
      </c>
      <c r="C4136" s="1" t="s">
        <v>2009</v>
      </c>
      <c r="D4136" s="1" t="s">
        <v>163</v>
      </c>
      <c r="E4136" s="1" t="s">
        <v>338</v>
      </c>
      <c r="F4136" s="2" t="s">
        <v>711</v>
      </c>
      <c r="G4136" s="1">
        <v>209.97</v>
      </c>
      <c r="H4136" s="1">
        <v>3</v>
      </c>
      <c r="I4136" s="1">
        <v>90.287099999999995</v>
      </c>
    </row>
    <row r="4137" spans="1:9" x14ac:dyDescent="0.35">
      <c r="A4137" s="3">
        <v>42776</v>
      </c>
      <c r="B4137" s="1" t="s">
        <v>1403</v>
      </c>
      <c r="C4137" s="1" t="s">
        <v>17</v>
      </c>
      <c r="D4137" s="1" t="s">
        <v>18</v>
      </c>
      <c r="E4137" s="1" t="s">
        <v>35</v>
      </c>
      <c r="F4137" s="2" t="s">
        <v>1530</v>
      </c>
      <c r="G4137" s="1">
        <v>112.12</v>
      </c>
      <c r="H4137" s="1">
        <v>5</v>
      </c>
      <c r="I4137" s="1">
        <v>42.045000000000002</v>
      </c>
    </row>
    <row r="4138" spans="1:9" x14ac:dyDescent="0.35">
      <c r="A4138" s="3">
        <v>42776</v>
      </c>
      <c r="B4138" s="1" t="s">
        <v>1403</v>
      </c>
      <c r="C4138" s="1" t="s">
        <v>17</v>
      </c>
      <c r="D4138" s="1" t="s">
        <v>18</v>
      </c>
      <c r="E4138" s="1" t="s">
        <v>26</v>
      </c>
      <c r="F4138" s="2" t="s">
        <v>1519</v>
      </c>
      <c r="G4138" s="1">
        <v>1575.14</v>
      </c>
      <c r="H4138" s="1">
        <v>7</v>
      </c>
      <c r="I4138" s="1">
        <v>204.76820000000001</v>
      </c>
    </row>
    <row r="4139" spans="1:9" x14ac:dyDescent="0.35">
      <c r="A4139" s="3" t="s">
        <v>3194</v>
      </c>
      <c r="B4139" s="1" t="s">
        <v>2705</v>
      </c>
      <c r="C4139" s="1" t="s">
        <v>1247</v>
      </c>
      <c r="D4139" s="1" t="s">
        <v>163</v>
      </c>
      <c r="E4139" s="1" t="s">
        <v>137</v>
      </c>
      <c r="F4139" s="2" t="s">
        <v>560</v>
      </c>
      <c r="G4139" s="1">
        <v>25.06</v>
      </c>
      <c r="H4139" s="1">
        <v>7</v>
      </c>
      <c r="I4139" s="1">
        <v>12.53</v>
      </c>
    </row>
    <row r="4140" spans="1:9" x14ac:dyDescent="0.35">
      <c r="A4140" s="3" t="s">
        <v>3507</v>
      </c>
      <c r="B4140" s="1" t="s">
        <v>1681</v>
      </c>
      <c r="C4140" s="1" t="s">
        <v>2710</v>
      </c>
      <c r="D4140" s="1" t="s">
        <v>52</v>
      </c>
      <c r="E4140" s="1" t="s">
        <v>35</v>
      </c>
      <c r="F4140" s="2" t="s">
        <v>166</v>
      </c>
      <c r="G4140" s="1">
        <v>6.9240000000000004</v>
      </c>
      <c r="H4140" s="1">
        <v>6</v>
      </c>
      <c r="I4140" s="1">
        <v>-10.385999999999999</v>
      </c>
    </row>
    <row r="4141" spans="1:9" x14ac:dyDescent="0.35">
      <c r="A4141" s="3">
        <v>42747</v>
      </c>
      <c r="B4141" s="1" t="s">
        <v>1014</v>
      </c>
      <c r="C4141" s="1" t="s">
        <v>74</v>
      </c>
      <c r="D4141" s="1" t="s">
        <v>75</v>
      </c>
      <c r="E4141" s="1" t="s">
        <v>26</v>
      </c>
      <c r="F4141" s="2" t="s">
        <v>814</v>
      </c>
      <c r="G4141" s="1">
        <v>37.392000000000003</v>
      </c>
      <c r="H4141" s="1">
        <v>3</v>
      </c>
      <c r="I4141" s="1">
        <v>2.3370000000000002</v>
      </c>
    </row>
    <row r="4142" spans="1:9" x14ac:dyDescent="0.35">
      <c r="A4142" s="3">
        <v>42747</v>
      </c>
      <c r="B4142" s="1" t="s">
        <v>1014</v>
      </c>
      <c r="C4142" s="1" t="s">
        <v>74</v>
      </c>
      <c r="D4142" s="1" t="s">
        <v>75</v>
      </c>
      <c r="E4142" s="1" t="s">
        <v>29</v>
      </c>
      <c r="F4142" s="2" t="s">
        <v>2683</v>
      </c>
      <c r="G4142" s="1">
        <v>79.12</v>
      </c>
      <c r="H4142" s="1">
        <v>5</v>
      </c>
      <c r="I4142" s="1">
        <v>13.846</v>
      </c>
    </row>
    <row r="4143" spans="1:9" x14ac:dyDescent="0.35">
      <c r="A4143" s="3" t="s">
        <v>3429</v>
      </c>
      <c r="B4143" s="1" t="s">
        <v>791</v>
      </c>
      <c r="C4143" s="1" t="s">
        <v>2711</v>
      </c>
      <c r="D4143" s="1" t="s">
        <v>1891</v>
      </c>
      <c r="E4143" s="1" t="s">
        <v>19</v>
      </c>
      <c r="F4143" s="2" t="s">
        <v>351</v>
      </c>
      <c r="G4143" s="1">
        <v>18.899999999999999</v>
      </c>
      <c r="H4143" s="1">
        <v>3</v>
      </c>
      <c r="I4143" s="1">
        <v>8.6940000000000008</v>
      </c>
    </row>
    <row r="4144" spans="1:9" x14ac:dyDescent="0.35">
      <c r="A4144" s="3" t="s">
        <v>3508</v>
      </c>
      <c r="B4144" s="1" t="s">
        <v>2088</v>
      </c>
      <c r="C4144" s="1" t="s">
        <v>2157</v>
      </c>
      <c r="D4144" s="1" t="s">
        <v>120</v>
      </c>
      <c r="E4144" s="1" t="s">
        <v>35</v>
      </c>
      <c r="F4144" s="2" t="s">
        <v>1995</v>
      </c>
      <c r="G4144" s="1">
        <v>57.42</v>
      </c>
      <c r="H4144" s="1">
        <v>9</v>
      </c>
      <c r="I4144" s="1">
        <v>26.4132</v>
      </c>
    </row>
    <row r="4145" spans="1:9" x14ac:dyDescent="0.35">
      <c r="A4145" s="3" t="s">
        <v>3300</v>
      </c>
      <c r="B4145" s="1" t="s">
        <v>987</v>
      </c>
      <c r="C4145" s="1" t="s">
        <v>64</v>
      </c>
      <c r="D4145" s="1" t="s">
        <v>18</v>
      </c>
      <c r="E4145" s="1" t="s">
        <v>31</v>
      </c>
      <c r="F4145" s="2" t="s">
        <v>1441</v>
      </c>
      <c r="G4145" s="1">
        <v>12.74</v>
      </c>
      <c r="H4145" s="1">
        <v>7</v>
      </c>
      <c r="I4145" s="1">
        <v>5.7329999999999997</v>
      </c>
    </row>
    <row r="4146" spans="1:9" x14ac:dyDescent="0.35">
      <c r="A4146" s="3" t="s">
        <v>3300</v>
      </c>
      <c r="B4146" s="1" t="s">
        <v>987</v>
      </c>
      <c r="C4146" s="1" t="s">
        <v>64</v>
      </c>
      <c r="D4146" s="1" t="s">
        <v>18</v>
      </c>
      <c r="E4146" s="1" t="s">
        <v>31</v>
      </c>
      <c r="F4146" s="2" t="s">
        <v>2712</v>
      </c>
      <c r="G4146" s="1">
        <v>8.82</v>
      </c>
      <c r="H4146" s="1">
        <v>3</v>
      </c>
      <c r="I4146" s="1">
        <v>2.3814000000000002</v>
      </c>
    </row>
    <row r="4147" spans="1:9" x14ac:dyDescent="0.35">
      <c r="A4147" s="3" t="s">
        <v>3300</v>
      </c>
      <c r="B4147" s="1" t="s">
        <v>987</v>
      </c>
      <c r="C4147" s="1" t="s">
        <v>64</v>
      </c>
      <c r="D4147" s="1" t="s">
        <v>18</v>
      </c>
      <c r="E4147" s="1" t="s">
        <v>14</v>
      </c>
      <c r="F4147" s="2" t="s">
        <v>195</v>
      </c>
      <c r="G4147" s="1">
        <v>120.78400000000001</v>
      </c>
      <c r="H4147" s="1">
        <v>1</v>
      </c>
      <c r="I4147" s="1">
        <v>-13.588200000000001</v>
      </c>
    </row>
    <row r="4148" spans="1:9" x14ac:dyDescent="0.35">
      <c r="A4148" s="3" t="s">
        <v>3465</v>
      </c>
      <c r="B4148" s="1" t="s">
        <v>2142</v>
      </c>
      <c r="C4148" s="1" t="s">
        <v>1593</v>
      </c>
      <c r="D4148" s="1" t="s">
        <v>136</v>
      </c>
      <c r="E4148" s="1" t="s">
        <v>29</v>
      </c>
      <c r="F4148" s="2" t="s">
        <v>441</v>
      </c>
      <c r="G4148" s="1">
        <v>322.58999999999997</v>
      </c>
      <c r="H4148" s="1">
        <v>3</v>
      </c>
      <c r="I4148" s="1">
        <v>64.518000000000001</v>
      </c>
    </row>
    <row r="4149" spans="1:9" x14ac:dyDescent="0.35">
      <c r="A4149" s="3" t="s">
        <v>3293</v>
      </c>
      <c r="B4149" s="1" t="s">
        <v>2595</v>
      </c>
      <c r="C4149" s="1" t="s">
        <v>588</v>
      </c>
      <c r="D4149" s="1" t="s">
        <v>52</v>
      </c>
      <c r="E4149" s="1" t="s">
        <v>35</v>
      </c>
      <c r="F4149" s="2" t="s">
        <v>2540</v>
      </c>
      <c r="G4149" s="1">
        <v>9.7620000000000005</v>
      </c>
      <c r="H4149" s="1">
        <v>3</v>
      </c>
      <c r="I4149" s="1">
        <v>-15.1311</v>
      </c>
    </row>
    <row r="4150" spans="1:9" x14ac:dyDescent="0.35">
      <c r="A4150" s="3" t="s">
        <v>3293</v>
      </c>
      <c r="B4150" s="1" t="s">
        <v>2595</v>
      </c>
      <c r="C4150" s="1" t="s">
        <v>588</v>
      </c>
      <c r="D4150" s="1" t="s">
        <v>52</v>
      </c>
      <c r="E4150" s="1" t="s">
        <v>26</v>
      </c>
      <c r="F4150" s="2" t="s">
        <v>825</v>
      </c>
      <c r="G4150" s="1">
        <v>13.72</v>
      </c>
      <c r="H4150" s="1">
        <v>1</v>
      </c>
      <c r="I4150" s="1">
        <v>1.2004999999999999</v>
      </c>
    </row>
    <row r="4151" spans="1:9" x14ac:dyDescent="0.35">
      <c r="A4151" s="3" t="s">
        <v>3293</v>
      </c>
      <c r="B4151" s="1" t="s">
        <v>2595</v>
      </c>
      <c r="C4151" s="1" t="s">
        <v>588</v>
      </c>
      <c r="D4151" s="1" t="s">
        <v>52</v>
      </c>
      <c r="E4151" s="1" t="s">
        <v>81</v>
      </c>
      <c r="F4151" s="2" t="s">
        <v>2687</v>
      </c>
      <c r="G4151" s="1">
        <v>55.2</v>
      </c>
      <c r="H4151" s="1">
        <v>1</v>
      </c>
      <c r="I4151" s="1">
        <v>-2.0699999999999998</v>
      </c>
    </row>
    <row r="4152" spans="1:9" x14ac:dyDescent="0.35">
      <c r="A4152" s="3" t="s">
        <v>3293</v>
      </c>
      <c r="B4152" s="1" t="s">
        <v>2595</v>
      </c>
      <c r="C4152" s="1" t="s">
        <v>588</v>
      </c>
      <c r="D4152" s="1" t="s">
        <v>52</v>
      </c>
      <c r="E4152" s="1" t="s">
        <v>26</v>
      </c>
      <c r="F4152" s="2" t="s">
        <v>1471</v>
      </c>
      <c r="G4152" s="1">
        <v>259.13600000000002</v>
      </c>
      <c r="H4152" s="1">
        <v>4</v>
      </c>
      <c r="I4152" s="1">
        <v>-58.305599999999998</v>
      </c>
    </row>
    <row r="4153" spans="1:9" x14ac:dyDescent="0.35">
      <c r="A4153" s="3">
        <v>42925</v>
      </c>
      <c r="B4153" s="1" t="s">
        <v>382</v>
      </c>
      <c r="C4153" s="1" t="s">
        <v>74</v>
      </c>
      <c r="D4153" s="1" t="s">
        <v>75</v>
      </c>
      <c r="E4153" s="1" t="s">
        <v>19</v>
      </c>
      <c r="F4153" s="2" t="s">
        <v>323</v>
      </c>
      <c r="G4153" s="1">
        <v>29.24</v>
      </c>
      <c r="H4153" s="1">
        <v>5</v>
      </c>
      <c r="I4153" s="1">
        <v>9.8684999999999992</v>
      </c>
    </row>
    <row r="4154" spans="1:9" x14ac:dyDescent="0.35">
      <c r="A4154" s="3">
        <v>42925</v>
      </c>
      <c r="B4154" s="1" t="s">
        <v>382</v>
      </c>
      <c r="C4154" s="1" t="s">
        <v>74</v>
      </c>
      <c r="D4154" s="1" t="s">
        <v>75</v>
      </c>
      <c r="E4154" s="1" t="s">
        <v>44</v>
      </c>
      <c r="F4154" s="2" t="s">
        <v>1564</v>
      </c>
      <c r="G4154" s="1">
        <v>15.552</v>
      </c>
      <c r="H4154" s="1">
        <v>3</v>
      </c>
      <c r="I4154" s="1">
        <v>5.4432</v>
      </c>
    </row>
    <row r="4155" spans="1:9" x14ac:dyDescent="0.35">
      <c r="A4155" s="3">
        <v>42925</v>
      </c>
      <c r="B4155" s="1" t="s">
        <v>382</v>
      </c>
      <c r="C4155" s="1" t="s">
        <v>74</v>
      </c>
      <c r="D4155" s="1" t="s">
        <v>75</v>
      </c>
      <c r="E4155" s="1" t="s">
        <v>87</v>
      </c>
      <c r="F4155" s="2" t="s">
        <v>88</v>
      </c>
      <c r="G4155" s="1">
        <v>4.8959999999999999</v>
      </c>
      <c r="H4155" s="1">
        <v>3</v>
      </c>
      <c r="I4155" s="1">
        <v>1.6524000000000001</v>
      </c>
    </row>
    <row r="4156" spans="1:9" x14ac:dyDescent="0.35">
      <c r="A4156" s="3" t="s">
        <v>3218</v>
      </c>
      <c r="B4156" s="1" t="s">
        <v>699</v>
      </c>
      <c r="C4156" s="1" t="s">
        <v>258</v>
      </c>
      <c r="D4156" s="1" t="s">
        <v>171</v>
      </c>
      <c r="E4156" s="1" t="s">
        <v>35</v>
      </c>
      <c r="F4156" s="2" t="s">
        <v>288</v>
      </c>
      <c r="G4156" s="1">
        <v>38.088000000000001</v>
      </c>
      <c r="H4156" s="1">
        <v>4</v>
      </c>
      <c r="I4156" s="1">
        <v>-27.9312</v>
      </c>
    </row>
    <row r="4157" spans="1:9" x14ac:dyDescent="0.35">
      <c r="A4157" s="3" t="s">
        <v>3218</v>
      </c>
      <c r="B4157" s="1" t="s">
        <v>699</v>
      </c>
      <c r="C4157" s="1" t="s">
        <v>258</v>
      </c>
      <c r="D4157" s="1" t="s">
        <v>171</v>
      </c>
      <c r="E4157" s="1" t="s">
        <v>35</v>
      </c>
      <c r="F4157" s="2" t="s">
        <v>1285</v>
      </c>
      <c r="G4157" s="1">
        <v>2.8079999999999998</v>
      </c>
      <c r="H4157" s="1">
        <v>3</v>
      </c>
      <c r="I4157" s="1">
        <v>-1.9656</v>
      </c>
    </row>
    <row r="4158" spans="1:9" x14ac:dyDescent="0.35">
      <c r="A4158" s="3">
        <v>42136</v>
      </c>
      <c r="B4158" s="1" t="s">
        <v>2060</v>
      </c>
      <c r="C4158" s="1" t="s">
        <v>74</v>
      </c>
      <c r="D4158" s="1" t="s">
        <v>75</v>
      </c>
      <c r="E4158" s="1" t="s">
        <v>81</v>
      </c>
      <c r="F4158" s="2" t="s">
        <v>1764</v>
      </c>
      <c r="G4158" s="1">
        <v>47.984000000000002</v>
      </c>
      <c r="H4158" s="1">
        <v>2</v>
      </c>
      <c r="I4158" s="1">
        <v>0.5998</v>
      </c>
    </row>
    <row r="4159" spans="1:9" x14ac:dyDescent="0.35">
      <c r="A4159" s="3">
        <v>42136</v>
      </c>
      <c r="B4159" s="1" t="s">
        <v>2060</v>
      </c>
      <c r="C4159" s="1" t="s">
        <v>74</v>
      </c>
      <c r="D4159" s="1" t="s">
        <v>75</v>
      </c>
      <c r="E4159" s="1" t="s">
        <v>35</v>
      </c>
      <c r="F4159" s="2" t="s">
        <v>889</v>
      </c>
      <c r="G4159" s="1">
        <v>26.064</v>
      </c>
      <c r="H4159" s="1">
        <v>6</v>
      </c>
      <c r="I4159" s="1">
        <v>-19.982399999999998</v>
      </c>
    </row>
    <row r="4160" spans="1:9" x14ac:dyDescent="0.35">
      <c r="A4160" s="3">
        <v>41650</v>
      </c>
      <c r="B4160" s="1" t="s">
        <v>1521</v>
      </c>
      <c r="C4160" s="1" t="s">
        <v>154</v>
      </c>
      <c r="D4160" s="1" t="s">
        <v>106</v>
      </c>
      <c r="E4160" s="1" t="s">
        <v>44</v>
      </c>
      <c r="F4160" s="2" t="s">
        <v>2017</v>
      </c>
      <c r="G4160" s="1">
        <v>15.696</v>
      </c>
      <c r="H4160" s="1">
        <v>3</v>
      </c>
      <c r="I4160" s="1">
        <v>5.1012000000000004</v>
      </c>
    </row>
    <row r="4161" spans="1:9" x14ac:dyDescent="0.35">
      <c r="A4161" s="3" t="s">
        <v>3509</v>
      </c>
      <c r="B4161" s="1" t="s">
        <v>1038</v>
      </c>
      <c r="C4161" s="1" t="s">
        <v>249</v>
      </c>
      <c r="D4161" s="1" t="s">
        <v>604</v>
      </c>
      <c r="E4161" s="1" t="s">
        <v>31</v>
      </c>
      <c r="F4161" s="2" t="s">
        <v>65</v>
      </c>
      <c r="G4161" s="1">
        <v>12.84</v>
      </c>
      <c r="H4161" s="1">
        <v>3</v>
      </c>
      <c r="I4161" s="1">
        <v>3.7235999999999998</v>
      </c>
    </row>
    <row r="4162" spans="1:9" x14ac:dyDescent="0.35">
      <c r="A4162" s="3" t="s">
        <v>3510</v>
      </c>
      <c r="B4162" s="1" t="s">
        <v>2713</v>
      </c>
      <c r="C4162" s="1" t="s">
        <v>135</v>
      </c>
      <c r="D4162" s="1" t="s">
        <v>136</v>
      </c>
      <c r="E4162" s="1" t="s">
        <v>33</v>
      </c>
      <c r="F4162" s="2" t="s">
        <v>2318</v>
      </c>
      <c r="G4162" s="1">
        <v>539.97</v>
      </c>
      <c r="H4162" s="1">
        <v>3</v>
      </c>
      <c r="I4162" s="1">
        <v>134.99250000000001</v>
      </c>
    </row>
    <row r="4163" spans="1:9" x14ac:dyDescent="0.35">
      <c r="A4163" s="3" t="s">
        <v>3510</v>
      </c>
      <c r="B4163" s="1" t="s">
        <v>2713</v>
      </c>
      <c r="C4163" s="1" t="s">
        <v>135</v>
      </c>
      <c r="D4163" s="1" t="s">
        <v>136</v>
      </c>
      <c r="E4163" s="1" t="s">
        <v>26</v>
      </c>
      <c r="F4163" s="2" t="s">
        <v>1697</v>
      </c>
      <c r="G4163" s="1">
        <v>22.58</v>
      </c>
      <c r="H4163" s="1">
        <v>2</v>
      </c>
      <c r="I4163" s="1">
        <v>5.8708</v>
      </c>
    </row>
    <row r="4164" spans="1:9" x14ac:dyDescent="0.35">
      <c r="A4164" s="3" t="s">
        <v>3511</v>
      </c>
      <c r="B4164" s="1" t="s">
        <v>851</v>
      </c>
      <c r="C4164" s="1" t="s">
        <v>123</v>
      </c>
      <c r="D4164" s="1" t="s">
        <v>1203</v>
      </c>
      <c r="E4164" s="1" t="s">
        <v>19</v>
      </c>
      <c r="F4164" s="2" t="s">
        <v>1090</v>
      </c>
      <c r="G4164" s="1">
        <v>16.52</v>
      </c>
      <c r="H4164" s="1">
        <v>4</v>
      </c>
      <c r="I4164" s="1">
        <v>7.5991999999999997</v>
      </c>
    </row>
    <row r="4165" spans="1:9" x14ac:dyDescent="0.35">
      <c r="A4165" s="3" t="s">
        <v>3511</v>
      </c>
      <c r="B4165" s="1" t="s">
        <v>851</v>
      </c>
      <c r="C4165" s="1" t="s">
        <v>123</v>
      </c>
      <c r="D4165" s="1" t="s">
        <v>1203</v>
      </c>
      <c r="E4165" s="1" t="s">
        <v>35</v>
      </c>
      <c r="F4165" s="2" t="s">
        <v>1971</v>
      </c>
      <c r="G4165" s="1">
        <v>671.94</v>
      </c>
      <c r="H4165" s="1">
        <v>3</v>
      </c>
      <c r="I4165" s="1">
        <v>315.81180000000001</v>
      </c>
    </row>
    <row r="4166" spans="1:9" x14ac:dyDescent="0.35">
      <c r="A4166" s="3" t="s">
        <v>3512</v>
      </c>
      <c r="B4166" s="1" t="s">
        <v>2714</v>
      </c>
      <c r="C4166" s="1" t="s">
        <v>228</v>
      </c>
      <c r="D4166" s="1" t="s">
        <v>229</v>
      </c>
      <c r="E4166" s="1" t="s">
        <v>81</v>
      </c>
      <c r="F4166" s="2" t="s">
        <v>82</v>
      </c>
      <c r="G4166" s="1">
        <v>169.06399999999999</v>
      </c>
      <c r="H4166" s="1">
        <v>7</v>
      </c>
      <c r="I4166" s="1">
        <v>-14.793100000000001</v>
      </c>
    </row>
    <row r="4167" spans="1:9" x14ac:dyDescent="0.35">
      <c r="A4167" s="3" t="s">
        <v>3512</v>
      </c>
      <c r="B4167" s="1" t="s">
        <v>2714</v>
      </c>
      <c r="C4167" s="1" t="s">
        <v>228</v>
      </c>
      <c r="D4167" s="1" t="s">
        <v>229</v>
      </c>
      <c r="E4167" s="1" t="s">
        <v>26</v>
      </c>
      <c r="F4167" s="2" t="s">
        <v>2058</v>
      </c>
      <c r="G4167" s="1">
        <v>168.624</v>
      </c>
      <c r="H4167" s="1">
        <v>9</v>
      </c>
      <c r="I4167" s="1">
        <v>14.7546</v>
      </c>
    </row>
    <row r="4168" spans="1:9" x14ac:dyDescent="0.35">
      <c r="A4168" s="3">
        <v>42219</v>
      </c>
      <c r="B4168" s="1" t="s">
        <v>979</v>
      </c>
      <c r="C4168" s="1" t="s">
        <v>559</v>
      </c>
      <c r="D4168" s="1" t="s">
        <v>136</v>
      </c>
      <c r="E4168" s="1" t="s">
        <v>44</v>
      </c>
      <c r="F4168" s="2" t="s">
        <v>2432</v>
      </c>
      <c r="G4168" s="1">
        <v>19.440000000000001</v>
      </c>
      <c r="H4168" s="1">
        <v>3</v>
      </c>
      <c r="I4168" s="1">
        <v>9.3312000000000008</v>
      </c>
    </row>
    <row r="4169" spans="1:9" x14ac:dyDescent="0.35">
      <c r="A4169" s="3">
        <v>41953</v>
      </c>
      <c r="B4169" s="1" t="s">
        <v>300</v>
      </c>
      <c r="C4169" s="1" t="s">
        <v>301</v>
      </c>
      <c r="D4169" s="1" t="s">
        <v>18</v>
      </c>
      <c r="E4169" s="1" t="s">
        <v>26</v>
      </c>
      <c r="F4169" s="2" t="s">
        <v>1456</v>
      </c>
      <c r="G4169" s="1">
        <v>31.92</v>
      </c>
      <c r="H4169" s="1">
        <v>4</v>
      </c>
      <c r="I4169" s="1">
        <v>8.2992000000000008</v>
      </c>
    </row>
    <row r="4170" spans="1:9" x14ac:dyDescent="0.35">
      <c r="A4170" s="3">
        <v>41953</v>
      </c>
      <c r="B4170" s="1" t="s">
        <v>300</v>
      </c>
      <c r="C4170" s="1" t="s">
        <v>301</v>
      </c>
      <c r="D4170" s="1" t="s">
        <v>18</v>
      </c>
      <c r="E4170" s="1" t="s">
        <v>14</v>
      </c>
      <c r="F4170" s="2" t="s">
        <v>2715</v>
      </c>
      <c r="G4170" s="1">
        <v>433.56799999999998</v>
      </c>
      <c r="H4170" s="1">
        <v>2</v>
      </c>
      <c r="I4170" s="1">
        <v>-65.035200000000003</v>
      </c>
    </row>
    <row r="4171" spans="1:9" x14ac:dyDescent="0.35">
      <c r="A4171" s="3" t="s">
        <v>3513</v>
      </c>
      <c r="B4171" s="1" t="s">
        <v>2566</v>
      </c>
      <c r="C4171" s="1" t="s">
        <v>849</v>
      </c>
      <c r="D4171" s="1" t="s">
        <v>158</v>
      </c>
      <c r="E4171" s="1" t="s">
        <v>44</v>
      </c>
      <c r="F4171" s="2" t="s">
        <v>1274</v>
      </c>
      <c r="G4171" s="1">
        <v>31.103999999999999</v>
      </c>
      <c r="H4171" s="1">
        <v>6</v>
      </c>
      <c r="I4171" s="1">
        <v>10.8864</v>
      </c>
    </row>
    <row r="4172" spans="1:9" x14ac:dyDescent="0.35">
      <c r="A4172" s="3" t="s">
        <v>3513</v>
      </c>
      <c r="B4172" s="1" t="s">
        <v>2566</v>
      </c>
      <c r="C4172" s="1" t="s">
        <v>849</v>
      </c>
      <c r="D4172" s="1" t="s">
        <v>158</v>
      </c>
      <c r="E4172" s="1" t="s">
        <v>44</v>
      </c>
      <c r="F4172" s="2" t="s">
        <v>1549</v>
      </c>
      <c r="G4172" s="1">
        <v>54.816000000000003</v>
      </c>
      <c r="H4172" s="1">
        <v>3</v>
      </c>
      <c r="I4172" s="1">
        <v>17.815200000000001</v>
      </c>
    </row>
    <row r="4173" spans="1:9" x14ac:dyDescent="0.35">
      <c r="A4173" s="3" t="s">
        <v>3283</v>
      </c>
      <c r="B4173" s="1" t="s">
        <v>1029</v>
      </c>
      <c r="C4173" s="1" t="s">
        <v>1510</v>
      </c>
      <c r="D4173" s="1" t="s">
        <v>18</v>
      </c>
      <c r="E4173" s="1" t="s">
        <v>26</v>
      </c>
      <c r="F4173" s="2" t="s">
        <v>1216</v>
      </c>
      <c r="G4173" s="1">
        <v>48.86</v>
      </c>
      <c r="H4173" s="1">
        <v>7</v>
      </c>
      <c r="I4173" s="1">
        <v>0.97719999999999996</v>
      </c>
    </row>
    <row r="4174" spans="1:9" x14ac:dyDescent="0.35">
      <c r="A4174" s="3">
        <v>42376</v>
      </c>
      <c r="B4174" s="1" t="s">
        <v>1057</v>
      </c>
      <c r="C4174" s="1" t="s">
        <v>193</v>
      </c>
      <c r="D4174" s="1" t="s">
        <v>194</v>
      </c>
      <c r="E4174" s="1" t="s">
        <v>35</v>
      </c>
      <c r="F4174" s="2" t="s">
        <v>67</v>
      </c>
      <c r="G4174" s="1">
        <v>14.2</v>
      </c>
      <c r="H4174" s="1">
        <v>2</v>
      </c>
      <c r="I4174" s="1">
        <v>6.532</v>
      </c>
    </row>
    <row r="4175" spans="1:9" x14ac:dyDescent="0.35">
      <c r="A4175" s="3">
        <v>42376</v>
      </c>
      <c r="B4175" s="1" t="s">
        <v>1057</v>
      </c>
      <c r="C4175" s="1" t="s">
        <v>193</v>
      </c>
      <c r="D4175" s="1" t="s">
        <v>194</v>
      </c>
      <c r="E4175" s="1" t="s">
        <v>44</v>
      </c>
      <c r="F4175" s="2" t="s">
        <v>1274</v>
      </c>
      <c r="G4175" s="1">
        <v>12.96</v>
      </c>
      <c r="H4175" s="1">
        <v>2</v>
      </c>
      <c r="I4175" s="1">
        <v>6.2207999999999997</v>
      </c>
    </row>
    <row r="4176" spans="1:9" x14ac:dyDescent="0.35">
      <c r="A4176" s="3">
        <v>42376</v>
      </c>
      <c r="B4176" s="1" t="s">
        <v>1057</v>
      </c>
      <c r="C4176" s="1" t="s">
        <v>193</v>
      </c>
      <c r="D4176" s="1" t="s">
        <v>194</v>
      </c>
      <c r="E4176" s="1" t="s">
        <v>35</v>
      </c>
      <c r="F4176" s="2" t="s">
        <v>1223</v>
      </c>
      <c r="G4176" s="1">
        <v>58.34</v>
      </c>
      <c r="H4176" s="1">
        <v>2</v>
      </c>
      <c r="I4176" s="1">
        <v>28.0032</v>
      </c>
    </row>
    <row r="4177" spans="1:9" x14ac:dyDescent="0.35">
      <c r="A4177" s="3" t="s">
        <v>3395</v>
      </c>
      <c r="B4177" s="1" t="s">
        <v>2716</v>
      </c>
      <c r="C4177" s="1" t="s">
        <v>1144</v>
      </c>
      <c r="D4177" s="1" t="s">
        <v>18</v>
      </c>
      <c r="E4177" s="1" t="s">
        <v>31</v>
      </c>
      <c r="F4177" s="2" t="s">
        <v>2451</v>
      </c>
      <c r="G4177" s="1">
        <v>56.3</v>
      </c>
      <c r="H4177" s="1">
        <v>2</v>
      </c>
      <c r="I4177" s="1">
        <v>15.763999999999999</v>
      </c>
    </row>
    <row r="4178" spans="1:9" x14ac:dyDescent="0.35">
      <c r="A4178" s="3">
        <v>41824</v>
      </c>
      <c r="B4178" s="1" t="s">
        <v>1041</v>
      </c>
      <c r="C4178" s="1" t="s">
        <v>193</v>
      </c>
      <c r="D4178" s="1" t="s">
        <v>194</v>
      </c>
      <c r="E4178" s="1" t="s">
        <v>33</v>
      </c>
      <c r="F4178" s="2" t="s">
        <v>363</v>
      </c>
      <c r="G4178" s="1">
        <v>629.95000000000005</v>
      </c>
      <c r="H4178" s="1">
        <v>5</v>
      </c>
      <c r="I4178" s="1">
        <v>163.78700000000001</v>
      </c>
    </row>
    <row r="4179" spans="1:9" x14ac:dyDescent="0.35">
      <c r="A4179" s="3">
        <v>41824</v>
      </c>
      <c r="B4179" s="1" t="s">
        <v>1041</v>
      </c>
      <c r="C4179" s="1" t="s">
        <v>193</v>
      </c>
      <c r="D4179" s="1" t="s">
        <v>194</v>
      </c>
      <c r="E4179" s="1" t="s">
        <v>44</v>
      </c>
      <c r="F4179" s="2" t="s">
        <v>1422</v>
      </c>
      <c r="G4179" s="1">
        <v>122.97</v>
      </c>
      <c r="H4179" s="1">
        <v>3</v>
      </c>
      <c r="I4179" s="1">
        <v>60.255299999999998</v>
      </c>
    </row>
    <row r="4180" spans="1:9" x14ac:dyDescent="0.35">
      <c r="A4180" s="3" t="s">
        <v>3514</v>
      </c>
      <c r="B4180" s="1" t="s">
        <v>866</v>
      </c>
      <c r="C4180" s="1" t="s">
        <v>17</v>
      </c>
      <c r="D4180" s="1" t="s">
        <v>18</v>
      </c>
      <c r="E4180" s="1" t="s">
        <v>44</v>
      </c>
      <c r="F4180" s="2" t="s">
        <v>2136</v>
      </c>
      <c r="G4180" s="1">
        <v>46.35</v>
      </c>
      <c r="H4180" s="1">
        <v>5</v>
      </c>
      <c r="I4180" s="1">
        <v>21.784500000000001</v>
      </c>
    </row>
    <row r="4181" spans="1:9" x14ac:dyDescent="0.35">
      <c r="A4181" s="3">
        <v>42889</v>
      </c>
      <c r="B4181" s="1" t="s">
        <v>1488</v>
      </c>
      <c r="C4181" s="1" t="s">
        <v>64</v>
      </c>
      <c r="D4181" s="1" t="s">
        <v>18</v>
      </c>
      <c r="E4181" s="1" t="s">
        <v>35</v>
      </c>
      <c r="F4181" s="2" t="s">
        <v>176</v>
      </c>
      <c r="G4181" s="1">
        <v>14.976000000000001</v>
      </c>
      <c r="H4181" s="1">
        <v>9</v>
      </c>
      <c r="I4181" s="1">
        <v>5.4287999999999998</v>
      </c>
    </row>
    <row r="4182" spans="1:9" x14ac:dyDescent="0.35">
      <c r="A4182" s="3">
        <v>42926</v>
      </c>
      <c r="B4182" s="1" t="s">
        <v>1120</v>
      </c>
      <c r="C4182" s="1" t="s">
        <v>93</v>
      </c>
      <c r="D4182" s="1" t="s">
        <v>52</v>
      </c>
      <c r="E4182" s="1" t="s">
        <v>35</v>
      </c>
      <c r="F4182" s="2" t="s">
        <v>54</v>
      </c>
      <c r="G4182" s="1">
        <v>4.24</v>
      </c>
      <c r="H4182" s="1">
        <v>5</v>
      </c>
      <c r="I4182" s="1">
        <v>-6.36</v>
      </c>
    </row>
    <row r="4183" spans="1:9" x14ac:dyDescent="0.35">
      <c r="A4183" s="3">
        <v>42896</v>
      </c>
      <c r="B4183" s="1" t="s">
        <v>2717</v>
      </c>
      <c r="C4183" s="1" t="s">
        <v>135</v>
      </c>
      <c r="D4183" s="1" t="s">
        <v>136</v>
      </c>
      <c r="E4183" s="1" t="s">
        <v>81</v>
      </c>
      <c r="F4183" s="2" t="s">
        <v>2654</v>
      </c>
      <c r="G4183" s="1">
        <v>319.95999999999998</v>
      </c>
      <c r="H4183" s="1">
        <v>4</v>
      </c>
      <c r="I4183" s="1">
        <v>115.18559999999999</v>
      </c>
    </row>
    <row r="4184" spans="1:9" x14ac:dyDescent="0.35">
      <c r="A4184" s="3">
        <v>42896</v>
      </c>
      <c r="B4184" s="1" t="s">
        <v>2717</v>
      </c>
      <c r="C4184" s="1" t="s">
        <v>135</v>
      </c>
      <c r="D4184" s="1" t="s">
        <v>136</v>
      </c>
      <c r="E4184" s="1" t="s">
        <v>44</v>
      </c>
      <c r="F4184" s="2" t="s">
        <v>998</v>
      </c>
      <c r="G4184" s="1">
        <v>17.04</v>
      </c>
      <c r="H4184" s="1">
        <v>3</v>
      </c>
      <c r="I4184" s="1">
        <v>7.6680000000000001</v>
      </c>
    </row>
    <row r="4185" spans="1:9" x14ac:dyDescent="0.35">
      <c r="A4185" s="3">
        <v>42896</v>
      </c>
      <c r="B4185" s="1" t="s">
        <v>2717</v>
      </c>
      <c r="C4185" s="1" t="s">
        <v>135</v>
      </c>
      <c r="D4185" s="1" t="s">
        <v>136</v>
      </c>
      <c r="E4185" s="1" t="s">
        <v>26</v>
      </c>
      <c r="F4185" s="2" t="s">
        <v>340</v>
      </c>
      <c r="G4185" s="1">
        <v>344.91</v>
      </c>
      <c r="H4185" s="1">
        <v>3</v>
      </c>
      <c r="I4185" s="1">
        <v>10.347300000000001</v>
      </c>
    </row>
    <row r="4186" spans="1:9" x14ac:dyDescent="0.35">
      <c r="A4186" s="3">
        <v>42502</v>
      </c>
      <c r="B4186" s="1" t="s">
        <v>2297</v>
      </c>
      <c r="C4186" s="1" t="s">
        <v>306</v>
      </c>
      <c r="D4186" s="1" t="s">
        <v>592</v>
      </c>
      <c r="E4186" s="1" t="s">
        <v>12</v>
      </c>
      <c r="F4186" s="2" t="s">
        <v>2718</v>
      </c>
      <c r="G4186" s="1">
        <v>81.94</v>
      </c>
      <c r="H4186" s="1">
        <v>1</v>
      </c>
      <c r="I4186" s="1">
        <v>20.484999999999999</v>
      </c>
    </row>
    <row r="4187" spans="1:9" x14ac:dyDescent="0.35">
      <c r="A4187" s="3" t="s">
        <v>3252</v>
      </c>
      <c r="B4187" s="1" t="s">
        <v>1372</v>
      </c>
      <c r="C4187" s="1" t="s">
        <v>1875</v>
      </c>
      <c r="D4187" s="1" t="s">
        <v>1217</v>
      </c>
      <c r="E4187" s="1" t="s">
        <v>81</v>
      </c>
      <c r="F4187" s="2" t="s">
        <v>1615</v>
      </c>
      <c r="G4187" s="1">
        <v>98.16</v>
      </c>
      <c r="H4187" s="1">
        <v>6</v>
      </c>
      <c r="I4187" s="1">
        <v>9.8160000000000007</v>
      </c>
    </row>
    <row r="4188" spans="1:9" x14ac:dyDescent="0.35">
      <c r="A4188" s="3" t="s">
        <v>3270</v>
      </c>
      <c r="B4188" s="1" t="s">
        <v>2719</v>
      </c>
      <c r="C4188" s="1" t="s">
        <v>2720</v>
      </c>
      <c r="D4188" s="1" t="s">
        <v>52</v>
      </c>
      <c r="E4188" s="1" t="s">
        <v>35</v>
      </c>
      <c r="F4188" s="2" t="s">
        <v>1209</v>
      </c>
      <c r="G4188" s="1">
        <v>6.8739999999999997</v>
      </c>
      <c r="H4188" s="1">
        <v>7</v>
      </c>
      <c r="I4188" s="1">
        <v>-10.6547</v>
      </c>
    </row>
    <row r="4189" spans="1:9" x14ac:dyDescent="0.35">
      <c r="A4189" s="3" t="s">
        <v>3270</v>
      </c>
      <c r="B4189" s="1" t="s">
        <v>2719</v>
      </c>
      <c r="C4189" s="1" t="s">
        <v>2720</v>
      </c>
      <c r="D4189" s="1" t="s">
        <v>52</v>
      </c>
      <c r="E4189" s="1" t="s">
        <v>35</v>
      </c>
      <c r="F4189" s="2" t="s">
        <v>2030</v>
      </c>
      <c r="G4189" s="1">
        <v>1.996</v>
      </c>
      <c r="H4189" s="1">
        <v>1</v>
      </c>
      <c r="I4189" s="1">
        <v>-3.2934000000000001</v>
      </c>
    </row>
    <row r="4190" spans="1:9" x14ac:dyDescent="0.35">
      <c r="A4190" s="3" t="s">
        <v>3270</v>
      </c>
      <c r="B4190" s="1" t="s">
        <v>2719</v>
      </c>
      <c r="C4190" s="1" t="s">
        <v>2720</v>
      </c>
      <c r="D4190" s="1" t="s">
        <v>52</v>
      </c>
      <c r="E4190" s="1" t="s">
        <v>26</v>
      </c>
      <c r="F4190" s="2" t="s">
        <v>2366</v>
      </c>
      <c r="G4190" s="1">
        <v>8.9280000000000008</v>
      </c>
      <c r="H4190" s="1">
        <v>2</v>
      </c>
      <c r="I4190" s="1">
        <v>0.66959999999999997</v>
      </c>
    </row>
    <row r="4191" spans="1:9" x14ac:dyDescent="0.35">
      <c r="A4191" s="3" t="s">
        <v>3220</v>
      </c>
      <c r="B4191" s="1" t="s">
        <v>2682</v>
      </c>
      <c r="C4191" s="1" t="s">
        <v>2721</v>
      </c>
      <c r="D4191" s="1" t="s">
        <v>245</v>
      </c>
      <c r="E4191" s="1" t="s">
        <v>44</v>
      </c>
      <c r="F4191" s="2" t="s">
        <v>2722</v>
      </c>
      <c r="G4191" s="1">
        <v>9.99</v>
      </c>
      <c r="H4191" s="1">
        <v>1</v>
      </c>
      <c r="I4191" s="1">
        <v>4.4954999999999998</v>
      </c>
    </row>
    <row r="4192" spans="1:9" x14ac:dyDescent="0.35">
      <c r="A4192" s="3" t="s">
        <v>3272</v>
      </c>
      <c r="B4192" s="1" t="s">
        <v>1224</v>
      </c>
      <c r="C4192" s="1" t="s">
        <v>303</v>
      </c>
      <c r="D4192" s="1" t="s">
        <v>124</v>
      </c>
      <c r="E4192" s="1" t="s">
        <v>579</v>
      </c>
      <c r="F4192" s="2" t="s">
        <v>2301</v>
      </c>
      <c r="G4192" s="1">
        <v>10499.97</v>
      </c>
      <c r="H4192" s="1">
        <v>3</v>
      </c>
      <c r="I4192" s="1">
        <v>5039.9856</v>
      </c>
    </row>
    <row r="4193" spans="1:9" x14ac:dyDescent="0.35">
      <c r="A4193" s="3">
        <v>42223</v>
      </c>
      <c r="B4193" s="1" t="s">
        <v>2384</v>
      </c>
      <c r="C4193" s="1" t="s">
        <v>93</v>
      </c>
      <c r="D4193" s="1" t="s">
        <v>52</v>
      </c>
      <c r="E4193" s="1" t="s">
        <v>44</v>
      </c>
      <c r="F4193" s="2" t="s">
        <v>2723</v>
      </c>
      <c r="G4193" s="1">
        <v>21.12</v>
      </c>
      <c r="H4193" s="1">
        <v>5</v>
      </c>
      <c r="I4193" s="1">
        <v>6.6</v>
      </c>
    </row>
    <row r="4194" spans="1:9" x14ac:dyDescent="0.35">
      <c r="A4194" s="3" t="s">
        <v>3262</v>
      </c>
      <c r="B4194" s="1" t="s">
        <v>401</v>
      </c>
      <c r="C4194" s="1" t="s">
        <v>2724</v>
      </c>
      <c r="D4194" s="1" t="s">
        <v>2459</v>
      </c>
      <c r="E4194" s="1" t="s">
        <v>24</v>
      </c>
      <c r="F4194" s="2" t="s">
        <v>25</v>
      </c>
      <c r="G4194" s="1">
        <v>696.42</v>
      </c>
      <c r="H4194" s="1">
        <v>2</v>
      </c>
      <c r="I4194" s="1">
        <v>160.17660000000001</v>
      </c>
    </row>
    <row r="4195" spans="1:9" x14ac:dyDescent="0.35">
      <c r="A4195" s="3" t="s">
        <v>3262</v>
      </c>
      <c r="B4195" s="1" t="s">
        <v>401</v>
      </c>
      <c r="C4195" s="1" t="s">
        <v>2724</v>
      </c>
      <c r="D4195" s="1" t="s">
        <v>2459</v>
      </c>
      <c r="E4195" s="1" t="s">
        <v>33</v>
      </c>
      <c r="F4195" s="2" t="s">
        <v>312</v>
      </c>
      <c r="G4195" s="1">
        <v>304.77600000000001</v>
      </c>
      <c r="H4195" s="1">
        <v>3</v>
      </c>
      <c r="I4195" s="1">
        <v>22.8582</v>
      </c>
    </row>
    <row r="4196" spans="1:9" x14ac:dyDescent="0.35">
      <c r="A4196" s="3" t="s">
        <v>3515</v>
      </c>
      <c r="B4196" s="1" t="s">
        <v>2521</v>
      </c>
      <c r="C4196" s="1" t="s">
        <v>461</v>
      </c>
      <c r="D4196" s="1" t="s">
        <v>18</v>
      </c>
      <c r="E4196" s="1" t="s">
        <v>31</v>
      </c>
      <c r="F4196" s="2" t="s">
        <v>1783</v>
      </c>
      <c r="G4196" s="1">
        <v>51.98</v>
      </c>
      <c r="H4196" s="1">
        <v>2</v>
      </c>
      <c r="I4196" s="1">
        <v>15.074199999999999</v>
      </c>
    </row>
    <row r="4197" spans="1:9" x14ac:dyDescent="0.35">
      <c r="A4197" s="3">
        <v>42586</v>
      </c>
      <c r="B4197" s="1" t="s">
        <v>935</v>
      </c>
      <c r="C4197" s="1" t="s">
        <v>17</v>
      </c>
      <c r="D4197" s="1" t="s">
        <v>18</v>
      </c>
      <c r="E4197" s="1" t="s">
        <v>29</v>
      </c>
      <c r="F4197" s="2" t="s">
        <v>1105</v>
      </c>
      <c r="G4197" s="1">
        <v>24.7</v>
      </c>
      <c r="H4197" s="1">
        <v>5</v>
      </c>
      <c r="I4197" s="1">
        <v>10.374000000000001</v>
      </c>
    </row>
    <row r="4198" spans="1:9" x14ac:dyDescent="0.35">
      <c r="A4198" s="3" t="s">
        <v>3157</v>
      </c>
      <c r="B4198" s="1" t="s">
        <v>1079</v>
      </c>
      <c r="C4198" s="1" t="s">
        <v>135</v>
      </c>
      <c r="D4198" s="1" t="s">
        <v>136</v>
      </c>
      <c r="E4198" s="1" t="s">
        <v>19</v>
      </c>
      <c r="F4198" s="2" t="s">
        <v>1177</v>
      </c>
      <c r="G4198" s="1">
        <v>21.93</v>
      </c>
      <c r="H4198" s="1">
        <v>3</v>
      </c>
      <c r="I4198" s="1">
        <v>10.3071</v>
      </c>
    </row>
    <row r="4199" spans="1:9" x14ac:dyDescent="0.35">
      <c r="A4199" s="3">
        <v>42441</v>
      </c>
      <c r="B4199" s="1" t="s">
        <v>688</v>
      </c>
      <c r="C4199" s="1" t="s">
        <v>74</v>
      </c>
      <c r="D4199" s="1" t="s">
        <v>75</v>
      </c>
      <c r="E4199" s="1" t="s">
        <v>37</v>
      </c>
      <c r="F4199" s="2" t="s">
        <v>947</v>
      </c>
      <c r="G4199" s="1">
        <v>394.81599999999997</v>
      </c>
      <c r="H4199" s="1">
        <v>4</v>
      </c>
      <c r="I4199" s="1">
        <v>93.768799999999999</v>
      </c>
    </row>
    <row r="4200" spans="1:9" x14ac:dyDescent="0.35">
      <c r="A4200" s="3">
        <v>42441</v>
      </c>
      <c r="B4200" s="1" t="s">
        <v>688</v>
      </c>
      <c r="C4200" s="1" t="s">
        <v>74</v>
      </c>
      <c r="D4200" s="1" t="s">
        <v>75</v>
      </c>
      <c r="E4200" s="1" t="s">
        <v>35</v>
      </c>
      <c r="F4200" s="2" t="s">
        <v>537</v>
      </c>
      <c r="G4200" s="1">
        <v>18.192</v>
      </c>
      <c r="H4200" s="1">
        <v>4</v>
      </c>
      <c r="I4200" s="1">
        <v>-14.553599999999999</v>
      </c>
    </row>
    <row r="4201" spans="1:9" x14ac:dyDescent="0.35">
      <c r="A4201" s="3">
        <v>42289</v>
      </c>
      <c r="B4201" s="1" t="s">
        <v>92</v>
      </c>
      <c r="C4201" s="1" t="s">
        <v>135</v>
      </c>
      <c r="D4201" s="1" t="s">
        <v>136</v>
      </c>
      <c r="E4201" s="1" t="s">
        <v>19</v>
      </c>
      <c r="F4201" s="2" t="s">
        <v>1177</v>
      </c>
      <c r="G4201" s="1">
        <v>7.31</v>
      </c>
      <c r="H4201" s="1">
        <v>1</v>
      </c>
      <c r="I4201" s="1">
        <v>3.4357000000000002</v>
      </c>
    </row>
    <row r="4202" spans="1:9" x14ac:dyDescent="0.35">
      <c r="A4202" s="3">
        <v>42289</v>
      </c>
      <c r="B4202" s="1" t="s">
        <v>92</v>
      </c>
      <c r="C4202" s="1" t="s">
        <v>135</v>
      </c>
      <c r="D4202" s="1" t="s">
        <v>136</v>
      </c>
      <c r="E4202" s="1" t="s">
        <v>579</v>
      </c>
      <c r="F4202" s="2" t="s">
        <v>1085</v>
      </c>
      <c r="G4202" s="1">
        <v>799.98400000000004</v>
      </c>
      <c r="H4202" s="1">
        <v>2</v>
      </c>
      <c r="I4202" s="1">
        <v>249.995</v>
      </c>
    </row>
    <row r="4203" spans="1:9" x14ac:dyDescent="0.35">
      <c r="A4203" s="3">
        <v>42289</v>
      </c>
      <c r="B4203" s="1" t="s">
        <v>92</v>
      </c>
      <c r="C4203" s="1" t="s">
        <v>135</v>
      </c>
      <c r="D4203" s="1" t="s">
        <v>136</v>
      </c>
      <c r="E4203" s="1" t="s">
        <v>44</v>
      </c>
      <c r="F4203" s="2" t="s">
        <v>602</v>
      </c>
      <c r="G4203" s="1">
        <v>41.28</v>
      </c>
      <c r="H4203" s="1">
        <v>6</v>
      </c>
      <c r="I4203" s="1">
        <v>18.988800000000001</v>
      </c>
    </row>
    <row r="4204" spans="1:9" x14ac:dyDescent="0.35">
      <c r="A4204" s="3">
        <v>42289</v>
      </c>
      <c r="B4204" s="1" t="s">
        <v>92</v>
      </c>
      <c r="C4204" s="1" t="s">
        <v>135</v>
      </c>
      <c r="D4204" s="1" t="s">
        <v>136</v>
      </c>
      <c r="E4204" s="1" t="s">
        <v>44</v>
      </c>
      <c r="F4204" s="2" t="s">
        <v>316</v>
      </c>
      <c r="G4204" s="1">
        <v>184.66</v>
      </c>
      <c r="H4204" s="1">
        <v>7</v>
      </c>
      <c r="I4204" s="1">
        <v>84.943600000000004</v>
      </c>
    </row>
    <row r="4205" spans="1:9" x14ac:dyDescent="0.35">
      <c r="A4205" s="3" t="s">
        <v>3516</v>
      </c>
      <c r="B4205" s="1" t="s">
        <v>2016</v>
      </c>
      <c r="C4205" s="1" t="s">
        <v>2725</v>
      </c>
      <c r="D4205" s="1" t="s">
        <v>663</v>
      </c>
      <c r="E4205" s="1" t="s">
        <v>31</v>
      </c>
      <c r="F4205" s="2" t="s">
        <v>91</v>
      </c>
      <c r="G4205" s="1">
        <v>49.25</v>
      </c>
      <c r="H4205" s="1">
        <v>5</v>
      </c>
      <c r="I4205" s="1">
        <v>18.715</v>
      </c>
    </row>
    <row r="4206" spans="1:9" x14ac:dyDescent="0.35">
      <c r="A4206" s="3" t="s">
        <v>3516</v>
      </c>
      <c r="B4206" s="1" t="s">
        <v>2016</v>
      </c>
      <c r="C4206" s="1" t="s">
        <v>2725</v>
      </c>
      <c r="D4206" s="1" t="s">
        <v>663</v>
      </c>
      <c r="E4206" s="1" t="s">
        <v>44</v>
      </c>
      <c r="F4206" s="2" t="s">
        <v>1258</v>
      </c>
      <c r="G4206" s="1">
        <v>10.16</v>
      </c>
      <c r="H4206" s="1">
        <v>2</v>
      </c>
      <c r="I4206" s="1">
        <v>4.7751999999999999</v>
      </c>
    </row>
    <row r="4207" spans="1:9" x14ac:dyDescent="0.35">
      <c r="A4207" s="3" t="s">
        <v>3516</v>
      </c>
      <c r="B4207" s="1" t="s">
        <v>2016</v>
      </c>
      <c r="C4207" s="1" t="s">
        <v>2725</v>
      </c>
      <c r="D4207" s="1" t="s">
        <v>663</v>
      </c>
      <c r="E4207" s="1" t="s">
        <v>29</v>
      </c>
      <c r="F4207" s="2" t="s">
        <v>2074</v>
      </c>
      <c r="G4207" s="1">
        <v>14.76</v>
      </c>
      <c r="H4207" s="1">
        <v>2</v>
      </c>
      <c r="I4207" s="1">
        <v>4.2804000000000002</v>
      </c>
    </row>
    <row r="4208" spans="1:9" x14ac:dyDescent="0.35">
      <c r="A4208" s="3" t="s">
        <v>3516</v>
      </c>
      <c r="B4208" s="1" t="s">
        <v>2016</v>
      </c>
      <c r="C4208" s="1" t="s">
        <v>2725</v>
      </c>
      <c r="D4208" s="1" t="s">
        <v>663</v>
      </c>
      <c r="E4208" s="1" t="s">
        <v>35</v>
      </c>
      <c r="F4208" s="2" t="s">
        <v>1401</v>
      </c>
      <c r="G4208" s="1">
        <v>34.08</v>
      </c>
      <c r="H4208" s="1">
        <v>2</v>
      </c>
      <c r="I4208" s="1">
        <v>15.6768</v>
      </c>
    </row>
    <row r="4209" spans="1:9" x14ac:dyDescent="0.35">
      <c r="A4209" s="3" t="s">
        <v>3516</v>
      </c>
      <c r="B4209" s="1" t="s">
        <v>2016</v>
      </c>
      <c r="C4209" s="1" t="s">
        <v>2725</v>
      </c>
      <c r="D4209" s="1" t="s">
        <v>663</v>
      </c>
      <c r="E4209" s="1" t="s">
        <v>29</v>
      </c>
      <c r="F4209" s="2" t="s">
        <v>609</v>
      </c>
      <c r="G4209" s="1">
        <v>17.670000000000002</v>
      </c>
      <c r="H4209" s="1">
        <v>3</v>
      </c>
      <c r="I4209" s="1">
        <v>7.7747999999999999</v>
      </c>
    </row>
    <row r="4210" spans="1:9" x14ac:dyDescent="0.35">
      <c r="A4210" s="3" t="s">
        <v>3516</v>
      </c>
      <c r="B4210" s="1" t="s">
        <v>2016</v>
      </c>
      <c r="C4210" s="1" t="s">
        <v>2725</v>
      </c>
      <c r="D4210" s="1" t="s">
        <v>663</v>
      </c>
      <c r="E4210" s="1" t="s">
        <v>14</v>
      </c>
      <c r="F4210" s="2" t="s">
        <v>2455</v>
      </c>
      <c r="G4210" s="1">
        <v>1604.9</v>
      </c>
      <c r="H4210" s="1">
        <v>5</v>
      </c>
      <c r="I4210" s="1">
        <v>481.47</v>
      </c>
    </row>
    <row r="4211" spans="1:9" x14ac:dyDescent="0.35">
      <c r="A4211" s="3" t="s">
        <v>3516</v>
      </c>
      <c r="B4211" s="1" t="s">
        <v>2016</v>
      </c>
      <c r="C4211" s="1" t="s">
        <v>2725</v>
      </c>
      <c r="D4211" s="1" t="s">
        <v>663</v>
      </c>
      <c r="E4211" s="1" t="s">
        <v>24</v>
      </c>
      <c r="F4211" s="2" t="s">
        <v>2076</v>
      </c>
      <c r="G4211" s="1">
        <v>385.68599999999998</v>
      </c>
      <c r="H4211" s="1">
        <v>1</v>
      </c>
      <c r="I4211" s="1">
        <v>-60.607799999999997</v>
      </c>
    </row>
    <row r="4212" spans="1:9" x14ac:dyDescent="0.35">
      <c r="A4212" s="3">
        <v>42990</v>
      </c>
      <c r="B4212" s="1" t="s">
        <v>2726</v>
      </c>
      <c r="C4212" s="1" t="s">
        <v>154</v>
      </c>
      <c r="D4212" s="1" t="s">
        <v>106</v>
      </c>
      <c r="E4212" s="1" t="s">
        <v>44</v>
      </c>
      <c r="F4212" s="2" t="s">
        <v>253</v>
      </c>
      <c r="G4212" s="1">
        <v>15.984</v>
      </c>
      <c r="H4212" s="1">
        <v>2</v>
      </c>
      <c r="I4212" s="1">
        <v>4.9950000000000001</v>
      </c>
    </row>
    <row r="4213" spans="1:9" x14ac:dyDescent="0.35">
      <c r="A4213" s="3">
        <v>41764</v>
      </c>
      <c r="B4213" s="1" t="s">
        <v>2660</v>
      </c>
      <c r="C4213" s="1" t="s">
        <v>693</v>
      </c>
      <c r="D4213" s="1" t="s">
        <v>11</v>
      </c>
      <c r="E4213" s="1" t="s">
        <v>44</v>
      </c>
      <c r="F4213" s="2" t="s">
        <v>2331</v>
      </c>
      <c r="G4213" s="1">
        <v>9.42</v>
      </c>
      <c r="H4213" s="1">
        <v>3</v>
      </c>
      <c r="I4213" s="1">
        <v>4.2389999999999999</v>
      </c>
    </row>
    <row r="4214" spans="1:9" x14ac:dyDescent="0.35">
      <c r="A4214" s="3">
        <v>41764</v>
      </c>
      <c r="B4214" s="1" t="s">
        <v>2660</v>
      </c>
      <c r="C4214" s="1" t="s">
        <v>693</v>
      </c>
      <c r="D4214" s="1" t="s">
        <v>11</v>
      </c>
      <c r="E4214" s="1" t="s">
        <v>31</v>
      </c>
      <c r="F4214" s="2" t="s">
        <v>534</v>
      </c>
      <c r="G4214" s="1">
        <v>6.56</v>
      </c>
      <c r="H4214" s="1">
        <v>2</v>
      </c>
      <c r="I4214" s="1">
        <v>1.9024000000000001</v>
      </c>
    </row>
    <row r="4215" spans="1:9" x14ac:dyDescent="0.35">
      <c r="A4215" s="3">
        <v>41764</v>
      </c>
      <c r="B4215" s="1" t="s">
        <v>2660</v>
      </c>
      <c r="C4215" s="1" t="s">
        <v>693</v>
      </c>
      <c r="D4215" s="1" t="s">
        <v>11</v>
      </c>
      <c r="E4215" s="1" t="s">
        <v>44</v>
      </c>
      <c r="F4215" s="2" t="s">
        <v>2727</v>
      </c>
      <c r="G4215" s="1">
        <v>24.56</v>
      </c>
      <c r="H4215" s="1">
        <v>2</v>
      </c>
      <c r="I4215" s="1">
        <v>11.543200000000001</v>
      </c>
    </row>
    <row r="4216" spans="1:9" x14ac:dyDescent="0.35">
      <c r="A4216" s="3">
        <v>42463</v>
      </c>
      <c r="B4216" s="1" t="s">
        <v>1775</v>
      </c>
      <c r="C4216" s="1" t="s">
        <v>2247</v>
      </c>
      <c r="D4216" s="1" t="s">
        <v>129</v>
      </c>
      <c r="E4216" s="1" t="s">
        <v>35</v>
      </c>
      <c r="F4216" s="2" t="s">
        <v>2728</v>
      </c>
      <c r="G4216" s="1">
        <v>128.4</v>
      </c>
      <c r="H4216" s="1">
        <v>3</v>
      </c>
      <c r="I4216" s="1">
        <v>64.2</v>
      </c>
    </row>
    <row r="4217" spans="1:9" x14ac:dyDescent="0.35">
      <c r="A4217" s="3" t="s">
        <v>3517</v>
      </c>
      <c r="B4217" s="1" t="s">
        <v>598</v>
      </c>
      <c r="C4217" s="1" t="s">
        <v>1042</v>
      </c>
      <c r="D4217" s="1" t="s">
        <v>136</v>
      </c>
      <c r="E4217" s="1" t="s">
        <v>87</v>
      </c>
      <c r="F4217" s="2" t="s">
        <v>2729</v>
      </c>
      <c r="G4217" s="1">
        <v>62.28</v>
      </c>
      <c r="H4217" s="1">
        <v>4</v>
      </c>
      <c r="I4217" s="1">
        <v>29.271599999999999</v>
      </c>
    </row>
    <row r="4218" spans="1:9" x14ac:dyDescent="0.35">
      <c r="A4218" s="3" t="s">
        <v>3518</v>
      </c>
      <c r="B4218" s="1" t="s">
        <v>1610</v>
      </c>
      <c r="C4218" s="1" t="s">
        <v>17</v>
      </c>
      <c r="D4218" s="1" t="s">
        <v>18</v>
      </c>
      <c r="E4218" s="1" t="s">
        <v>19</v>
      </c>
      <c r="F4218" s="2" t="s">
        <v>1127</v>
      </c>
      <c r="G4218" s="1">
        <v>9.24</v>
      </c>
      <c r="H4218" s="1">
        <v>3</v>
      </c>
      <c r="I4218" s="1">
        <v>4.4352</v>
      </c>
    </row>
    <row r="4219" spans="1:9" x14ac:dyDescent="0.35">
      <c r="A4219" s="3">
        <v>42739</v>
      </c>
      <c r="B4219" s="1" t="s">
        <v>2596</v>
      </c>
      <c r="C4219" s="1" t="s">
        <v>64</v>
      </c>
      <c r="D4219" s="1" t="s">
        <v>18</v>
      </c>
      <c r="E4219" s="1" t="s">
        <v>12</v>
      </c>
      <c r="F4219" s="2" t="s">
        <v>2730</v>
      </c>
      <c r="G4219" s="1">
        <v>482.66399999999999</v>
      </c>
      <c r="H4219" s="1">
        <v>8</v>
      </c>
      <c r="I4219" s="1">
        <v>85.176000000000002</v>
      </c>
    </row>
    <row r="4220" spans="1:9" x14ac:dyDescent="0.35">
      <c r="A4220" s="3">
        <v>42739</v>
      </c>
      <c r="B4220" s="1" t="s">
        <v>2596</v>
      </c>
      <c r="C4220" s="1" t="s">
        <v>64</v>
      </c>
      <c r="D4220" s="1" t="s">
        <v>18</v>
      </c>
      <c r="E4220" s="1" t="s">
        <v>338</v>
      </c>
      <c r="F4220" s="2" t="s">
        <v>2490</v>
      </c>
      <c r="G4220" s="1">
        <v>4799.9840000000004</v>
      </c>
      <c r="H4220" s="1">
        <v>2</v>
      </c>
      <c r="I4220" s="1">
        <v>359.99880000000002</v>
      </c>
    </row>
    <row r="4221" spans="1:9" x14ac:dyDescent="0.35">
      <c r="A4221" s="3">
        <v>43045</v>
      </c>
      <c r="B4221" s="1" t="s">
        <v>1720</v>
      </c>
      <c r="C4221" s="1" t="s">
        <v>47</v>
      </c>
      <c r="D4221" s="1" t="s">
        <v>48</v>
      </c>
      <c r="E4221" s="1" t="s">
        <v>44</v>
      </c>
      <c r="F4221" s="2" t="s">
        <v>527</v>
      </c>
      <c r="G4221" s="1">
        <v>37.94</v>
      </c>
      <c r="H4221" s="1">
        <v>2</v>
      </c>
      <c r="I4221" s="1">
        <v>18.211200000000002</v>
      </c>
    </row>
    <row r="4222" spans="1:9" x14ac:dyDescent="0.35">
      <c r="A4222" s="3">
        <v>43045</v>
      </c>
      <c r="B4222" s="1" t="s">
        <v>1720</v>
      </c>
      <c r="C4222" s="1" t="s">
        <v>47</v>
      </c>
      <c r="D4222" s="1" t="s">
        <v>48</v>
      </c>
      <c r="E4222" s="1" t="s">
        <v>35</v>
      </c>
      <c r="F4222" s="2" t="s">
        <v>1268</v>
      </c>
      <c r="G4222" s="1">
        <v>18.288</v>
      </c>
      <c r="H4222" s="1">
        <v>6</v>
      </c>
      <c r="I4222" s="1">
        <v>6.6294000000000004</v>
      </c>
    </row>
    <row r="4223" spans="1:9" x14ac:dyDescent="0.35">
      <c r="A4223" s="3">
        <v>43045</v>
      </c>
      <c r="B4223" s="1" t="s">
        <v>1720</v>
      </c>
      <c r="C4223" s="1" t="s">
        <v>47</v>
      </c>
      <c r="D4223" s="1" t="s">
        <v>48</v>
      </c>
      <c r="E4223" s="1" t="s">
        <v>338</v>
      </c>
      <c r="F4223" s="2" t="s">
        <v>2731</v>
      </c>
      <c r="G4223" s="1">
        <v>385.8</v>
      </c>
      <c r="H4223" s="1">
        <v>5</v>
      </c>
      <c r="I4223" s="1">
        <v>130.20750000000001</v>
      </c>
    </row>
    <row r="4224" spans="1:9" x14ac:dyDescent="0.35">
      <c r="A4224" s="3">
        <v>43045</v>
      </c>
      <c r="B4224" s="1" t="s">
        <v>1720</v>
      </c>
      <c r="C4224" s="1" t="s">
        <v>47</v>
      </c>
      <c r="D4224" s="1" t="s">
        <v>48</v>
      </c>
      <c r="E4224" s="1" t="s">
        <v>26</v>
      </c>
      <c r="F4224" s="2" t="s">
        <v>467</v>
      </c>
      <c r="G4224" s="1">
        <v>102.96</v>
      </c>
      <c r="H4224" s="1">
        <v>2</v>
      </c>
      <c r="I4224" s="1">
        <v>1.0296000000000001</v>
      </c>
    </row>
    <row r="4225" spans="1:9" x14ac:dyDescent="0.35">
      <c r="A4225" s="3">
        <v>43045</v>
      </c>
      <c r="B4225" s="1" t="s">
        <v>1720</v>
      </c>
      <c r="C4225" s="1" t="s">
        <v>47</v>
      </c>
      <c r="D4225" s="1" t="s">
        <v>48</v>
      </c>
      <c r="E4225" s="1" t="s">
        <v>12</v>
      </c>
      <c r="F4225" s="2" t="s">
        <v>1172</v>
      </c>
      <c r="G4225" s="1">
        <v>174.42</v>
      </c>
      <c r="H4225" s="1">
        <v>3</v>
      </c>
      <c r="I4225" s="1">
        <v>41.860799999999998</v>
      </c>
    </row>
    <row r="4226" spans="1:9" x14ac:dyDescent="0.35">
      <c r="A4226" s="3" t="s">
        <v>3519</v>
      </c>
      <c r="B4226" s="1" t="s">
        <v>2517</v>
      </c>
      <c r="C4226" s="1" t="s">
        <v>626</v>
      </c>
      <c r="D4226" s="1" t="s">
        <v>106</v>
      </c>
      <c r="E4226" s="1" t="s">
        <v>35</v>
      </c>
      <c r="F4226" s="2" t="s">
        <v>390</v>
      </c>
      <c r="G4226" s="1">
        <v>1.964</v>
      </c>
      <c r="H4226" s="1">
        <v>2</v>
      </c>
      <c r="I4226" s="1">
        <v>-3.2406000000000001</v>
      </c>
    </row>
    <row r="4227" spans="1:9" x14ac:dyDescent="0.35">
      <c r="A4227" s="3" t="s">
        <v>3419</v>
      </c>
      <c r="B4227" s="1" t="s">
        <v>887</v>
      </c>
      <c r="C4227" s="1" t="s">
        <v>154</v>
      </c>
      <c r="D4227" s="1" t="s">
        <v>106</v>
      </c>
      <c r="E4227" s="1" t="s">
        <v>29</v>
      </c>
      <c r="F4227" s="2" t="s">
        <v>2732</v>
      </c>
      <c r="G4227" s="1">
        <v>94.427999999999997</v>
      </c>
      <c r="H4227" s="1">
        <v>3</v>
      </c>
      <c r="I4227" s="1">
        <v>-42.492600000000003</v>
      </c>
    </row>
    <row r="4228" spans="1:9" x14ac:dyDescent="0.35">
      <c r="A4228" s="3">
        <v>43050</v>
      </c>
      <c r="B4228" s="1" t="s">
        <v>2071</v>
      </c>
      <c r="C4228" s="1" t="s">
        <v>244</v>
      </c>
      <c r="D4228" s="1" t="s">
        <v>245</v>
      </c>
      <c r="E4228" s="1" t="s">
        <v>137</v>
      </c>
      <c r="F4228" s="2" t="s">
        <v>523</v>
      </c>
      <c r="G4228" s="1">
        <v>45.92</v>
      </c>
      <c r="H4228" s="1">
        <v>4</v>
      </c>
      <c r="I4228" s="1">
        <v>21.5824</v>
      </c>
    </row>
    <row r="4229" spans="1:9" x14ac:dyDescent="0.35">
      <c r="A4229" s="3">
        <v>42125</v>
      </c>
      <c r="B4229" s="1" t="s">
        <v>981</v>
      </c>
      <c r="C4229" s="1" t="s">
        <v>47</v>
      </c>
      <c r="D4229" s="1" t="s">
        <v>48</v>
      </c>
      <c r="E4229" s="1" t="s">
        <v>14</v>
      </c>
      <c r="F4229" s="2" t="s">
        <v>724</v>
      </c>
      <c r="G4229" s="1">
        <v>61.584000000000003</v>
      </c>
      <c r="H4229" s="1">
        <v>1</v>
      </c>
      <c r="I4229" s="1">
        <v>-6.9282000000000004</v>
      </c>
    </row>
    <row r="4230" spans="1:9" x14ac:dyDescent="0.35">
      <c r="A4230" s="3" t="s">
        <v>3322</v>
      </c>
      <c r="B4230" s="1" t="s">
        <v>1773</v>
      </c>
      <c r="C4230" s="1" t="s">
        <v>693</v>
      </c>
      <c r="D4230" s="1" t="s">
        <v>129</v>
      </c>
      <c r="E4230" s="1" t="s">
        <v>44</v>
      </c>
      <c r="F4230" s="2" t="s">
        <v>1894</v>
      </c>
      <c r="G4230" s="1">
        <v>22.48</v>
      </c>
      <c r="H4230" s="1">
        <v>1</v>
      </c>
      <c r="I4230" s="1">
        <v>10.3408</v>
      </c>
    </row>
    <row r="4231" spans="1:9" x14ac:dyDescent="0.35">
      <c r="A4231" s="3">
        <v>42862</v>
      </c>
      <c r="B4231" s="1" t="s">
        <v>1199</v>
      </c>
      <c r="C4231" s="1" t="s">
        <v>399</v>
      </c>
      <c r="D4231" s="1" t="s">
        <v>52</v>
      </c>
      <c r="E4231" s="1" t="s">
        <v>29</v>
      </c>
      <c r="F4231" s="2" t="s">
        <v>1272</v>
      </c>
      <c r="G4231" s="1">
        <v>332.02800000000002</v>
      </c>
      <c r="H4231" s="1">
        <v>9</v>
      </c>
      <c r="I4231" s="1">
        <v>-348.62939999999998</v>
      </c>
    </row>
    <row r="4232" spans="1:9" x14ac:dyDescent="0.35">
      <c r="A4232" s="3">
        <v>42862</v>
      </c>
      <c r="B4232" s="1" t="s">
        <v>1199</v>
      </c>
      <c r="C4232" s="1" t="s">
        <v>399</v>
      </c>
      <c r="D4232" s="1" t="s">
        <v>52</v>
      </c>
      <c r="E4232" s="1" t="s">
        <v>35</v>
      </c>
      <c r="F4232" s="2" t="s">
        <v>1452</v>
      </c>
      <c r="G4232" s="1">
        <v>11.394</v>
      </c>
      <c r="H4232" s="1">
        <v>9</v>
      </c>
      <c r="I4232" s="1">
        <v>-17.660699999999999</v>
      </c>
    </row>
    <row r="4233" spans="1:9" x14ac:dyDescent="0.35">
      <c r="A4233" s="3">
        <v>42862</v>
      </c>
      <c r="B4233" s="1" t="s">
        <v>1199</v>
      </c>
      <c r="C4233" s="1" t="s">
        <v>399</v>
      </c>
      <c r="D4233" s="1" t="s">
        <v>52</v>
      </c>
      <c r="E4233" s="1" t="s">
        <v>44</v>
      </c>
      <c r="F4233" s="2" t="s">
        <v>2733</v>
      </c>
      <c r="G4233" s="1">
        <v>15.552</v>
      </c>
      <c r="H4233" s="1">
        <v>3</v>
      </c>
      <c r="I4233" s="1">
        <v>5.6375999999999999</v>
      </c>
    </row>
    <row r="4234" spans="1:9" x14ac:dyDescent="0.35">
      <c r="A4234" s="3">
        <v>42862</v>
      </c>
      <c r="B4234" s="1" t="s">
        <v>1199</v>
      </c>
      <c r="C4234" s="1" t="s">
        <v>399</v>
      </c>
      <c r="D4234" s="1" t="s">
        <v>52</v>
      </c>
      <c r="E4234" s="1" t="s">
        <v>44</v>
      </c>
      <c r="F4234" s="2" t="s">
        <v>2604</v>
      </c>
      <c r="G4234" s="1">
        <v>31.103999999999999</v>
      </c>
      <c r="H4234" s="1">
        <v>6</v>
      </c>
      <c r="I4234" s="1">
        <v>11.2752</v>
      </c>
    </row>
    <row r="4235" spans="1:9" x14ac:dyDescent="0.35">
      <c r="A4235" s="3">
        <v>42862</v>
      </c>
      <c r="B4235" s="1" t="s">
        <v>1199</v>
      </c>
      <c r="C4235" s="1" t="s">
        <v>399</v>
      </c>
      <c r="D4235" s="1" t="s">
        <v>52</v>
      </c>
      <c r="E4235" s="1" t="s">
        <v>35</v>
      </c>
      <c r="F4235" s="2" t="s">
        <v>660</v>
      </c>
      <c r="G4235" s="1">
        <v>6.3159999999999998</v>
      </c>
      <c r="H4235" s="1">
        <v>1</v>
      </c>
      <c r="I4235" s="1">
        <v>-10.4214</v>
      </c>
    </row>
    <row r="4236" spans="1:9" x14ac:dyDescent="0.35">
      <c r="A4236" s="3" t="s">
        <v>3258</v>
      </c>
      <c r="B4236" s="1" t="s">
        <v>92</v>
      </c>
      <c r="C4236" s="1" t="s">
        <v>74</v>
      </c>
      <c r="D4236" s="1" t="s">
        <v>75</v>
      </c>
      <c r="E4236" s="1" t="s">
        <v>44</v>
      </c>
      <c r="F4236" s="2" t="s">
        <v>424</v>
      </c>
      <c r="G4236" s="1">
        <v>11.352</v>
      </c>
      <c r="H4236" s="1">
        <v>3</v>
      </c>
      <c r="I4236" s="1">
        <v>4.1151</v>
      </c>
    </row>
    <row r="4237" spans="1:9" x14ac:dyDescent="0.35">
      <c r="A4237" s="3" t="s">
        <v>3258</v>
      </c>
      <c r="B4237" s="1" t="s">
        <v>92</v>
      </c>
      <c r="C4237" s="1" t="s">
        <v>74</v>
      </c>
      <c r="D4237" s="1" t="s">
        <v>75</v>
      </c>
      <c r="E4237" s="1" t="s">
        <v>19</v>
      </c>
      <c r="F4237" s="2" t="s">
        <v>1462</v>
      </c>
      <c r="G4237" s="1">
        <v>20.808</v>
      </c>
      <c r="H4237" s="1">
        <v>9</v>
      </c>
      <c r="I4237" s="1">
        <v>7.0227000000000004</v>
      </c>
    </row>
    <row r="4238" spans="1:9" x14ac:dyDescent="0.35">
      <c r="A4238" s="3" t="s">
        <v>3520</v>
      </c>
      <c r="B4238" s="1" t="s">
        <v>2734</v>
      </c>
      <c r="C4238" s="1" t="s">
        <v>1354</v>
      </c>
      <c r="D4238" s="1" t="s">
        <v>106</v>
      </c>
      <c r="E4238" s="1" t="s">
        <v>35</v>
      </c>
      <c r="F4238" s="2" t="s">
        <v>2313</v>
      </c>
      <c r="G4238" s="1">
        <v>11.416</v>
      </c>
      <c r="H4238" s="1">
        <v>4</v>
      </c>
      <c r="I4238" s="1">
        <v>-18.836400000000001</v>
      </c>
    </row>
    <row r="4239" spans="1:9" x14ac:dyDescent="0.35">
      <c r="A4239" s="3" t="s">
        <v>3521</v>
      </c>
      <c r="B4239" s="1" t="s">
        <v>1960</v>
      </c>
      <c r="C4239" s="1" t="s">
        <v>74</v>
      </c>
      <c r="D4239" s="1" t="s">
        <v>75</v>
      </c>
      <c r="E4239" s="1" t="s">
        <v>31</v>
      </c>
      <c r="F4239" s="2" t="s">
        <v>2735</v>
      </c>
      <c r="G4239" s="1">
        <v>9.4079999999999995</v>
      </c>
      <c r="H4239" s="1">
        <v>7</v>
      </c>
      <c r="I4239" s="1">
        <v>0.7056</v>
      </c>
    </row>
    <row r="4240" spans="1:9" x14ac:dyDescent="0.35">
      <c r="A4240" s="3" t="s">
        <v>3522</v>
      </c>
      <c r="B4240" s="1" t="s">
        <v>2137</v>
      </c>
      <c r="C4240" s="1" t="s">
        <v>47</v>
      </c>
      <c r="D4240" s="1" t="s">
        <v>48</v>
      </c>
      <c r="E4240" s="1" t="s">
        <v>31</v>
      </c>
      <c r="F4240" s="2" t="s">
        <v>2736</v>
      </c>
      <c r="G4240" s="1">
        <v>19.829999999999998</v>
      </c>
      <c r="H4240" s="1">
        <v>1</v>
      </c>
      <c r="I4240" s="1">
        <v>5.9489999999999998</v>
      </c>
    </row>
    <row r="4241" spans="1:9" x14ac:dyDescent="0.35">
      <c r="A4241" s="3" t="s">
        <v>3284</v>
      </c>
      <c r="B4241" s="1" t="s">
        <v>175</v>
      </c>
      <c r="C4241" s="1" t="s">
        <v>2520</v>
      </c>
      <c r="D4241" s="1" t="s">
        <v>120</v>
      </c>
      <c r="E4241" s="1" t="s">
        <v>44</v>
      </c>
      <c r="F4241" s="2" t="s">
        <v>1541</v>
      </c>
      <c r="G4241" s="1">
        <v>209.7</v>
      </c>
      <c r="H4241" s="1">
        <v>2</v>
      </c>
      <c r="I4241" s="1">
        <v>100.65600000000001</v>
      </c>
    </row>
    <row r="4242" spans="1:9" x14ac:dyDescent="0.35">
      <c r="A4242" s="3" t="s">
        <v>3177</v>
      </c>
      <c r="B4242" s="1" t="s">
        <v>2425</v>
      </c>
      <c r="C4242" s="1" t="s">
        <v>17</v>
      </c>
      <c r="D4242" s="1" t="s">
        <v>18</v>
      </c>
      <c r="E4242" s="1" t="s">
        <v>37</v>
      </c>
      <c r="F4242" s="2" t="s">
        <v>676</v>
      </c>
      <c r="G4242" s="1">
        <v>43.92</v>
      </c>
      <c r="H4242" s="1">
        <v>4</v>
      </c>
      <c r="I4242" s="1">
        <v>11.8584</v>
      </c>
    </row>
    <row r="4243" spans="1:9" x14ac:dyDescent="0.35">
      <c r="A4243" s="3" t="s">
        <v>3177</v>
      </c>
      <c r="B4243" s="1" t="s">
        <v>2425</v>
      </c>
      <c r="C4243" s="1" t="s">
        <v>17</v>
      </c>
      <c r="D4243" s="1" t="s">
        <v>18</v>
      </c>
      <c r="E4243" s="1" t="s">
        <v>35</v>
      </c>
      <c r="F4243" s="2" t="s">
        <v>1175</v>
      </c>
      <c r="G4243" s="1">
        <v>20.231999999999999</v>
      </c>
      <c r="H4243" s="1">
        <v>3</v>
      </c>
      <c r="I4243" s="1">
        <v>6.5754000000000001</v>
      </c>
    </row>
    <row r="4244" spans="1:9" x14ac:dyDescent="0.35">
      <c r="A4244" s="3">
        <v>42464</v>
      </c>
      <c r="B4244" s="1" t="s">
        <v>1671</v>
      </c>
      <c r="C4244" s="1" t="s">
        <v>162</v>
      </c>
      <c r="D4244" s="1" t="s">
        <v>163</v>
      </c>
      <c r="E4244" s="1" t="s">
        <v>33</v>
      </c>
      <c r="F4244" s="2" t="s">
        <v>308</v>
      </c>
      <c r="G4244" s="1">
        <v>149.97</v>
      </c>
      <c r="H4244" s="1">
        <v>3</v>
      </c>
      <c r="I4244" s="1">
        <v>5.9988000000000001</v>
      </c>
    </row>
    <row r="4245" spans="1:9" x14ac:dyDescent="0.35">
      <c r="A4245" s="3">
        <v>42464</v>
      </c>
      <c r="B4245" s="1" t="s">
        <v>1671</v>
      </c>
      <c r="C4245" s="1" t="s">
        <v>162</v>
      </c>
      <c r="D4245" s="1" t="s">
        <v>163</v>
      </c>
      <c r="E4245" s="1" t="s">
        <v>44</v>
      </c>
      <c r="F4245" s="2" t="s">
        <v>2136</v>
      </c>
      <c r="G4245" s="1">
        <v>27.81</v>
      </c>
      <c r="H4245" s="1">
        <v>3</v>
      </c>
      <c r="I4245" s="1">
        <v>13.0707</v>
      </c>
    </row>
    <row r="4246" spans="1:9" x14ac:dyDescent="0.35">
      <c r="A4246" s="3" t="s">
        <v>3523</v>
      </c>
      <c r="B4246" s="1" t="s">
        <v>291</v>
      </c>
      <c r="C4246" s="1" t="s">
        <v>17</v>
      </c>
      <c r="D4246" s="1" t="s">
        <v>18</v>
      </c>
      <c r="E4246" s="1" t="s">
        <v>81</v>
      </c>
      <c r="F4246" s="2" t="s">
        <v>371</v>
      </c>
      <c r="G4246" s="1">
        <v>66.3</v>
      </c>
      <c r="H4246" s="1">
        <v>3</v>
      </c>
      <c r="I4246" s="1">
        <v>8.6189999999999998</v>
      </c>
    </row>
    <row r="4247" spans="1:9" x14ac:dyDescent="0.35">
      <c r="A4247" s="3" t="s">
        <v>3224</v>
      </c>
      <c r="B4247" s="1" t="s">
        <v>275</v>
      </c>
      <c r="C4247" s="1" t="s">
        <v>1875</v>
      </c>
      <c r="D4247" s="1" t="s">
        <v>1217</v>
      </c>
      <c r="E4247" s="1" t="s">
        <v>31</v>
      </c>
      <c r="F4247" s="2" t="s">
        <v>1986</v>
      </c>
      <c r="G4247" s="1">
        <v>1.64</v>
      </c>
      <c r="H4247" s="1">
        <v>1</v>
      </c>
      <c r="I4247" s="1">
        <v>0.73799999999999999</v>
      </c>
    </row>
    <row r="4248" spans="1:9" x14ac:dyDescent="0.35">
      <c r="A4248" s="3" t="s">
        <v>3224</v>
      </c>
      <c r="B4248" s="1" t="s">
        <v>275</v>
      </c>
      <c r="C4248" s="1" t="s">
        <v>1875</v>
      </c>
      <c r="D4248" s="1" t="s">
        <v>1217</v>
      </c>
      <c r="E4248" s="1" t="s">
        <v>29</v>
      </c>
      <c r="F4248" s="2" t="s">
        <v>448</v>
      </c>
      <c r="G4248" s="1">
        <v>1049.2</v>
      </c>
      <c r="H4248" s="1">
        <v>5</v>
      </c>
      <c r="I4248" s="1">
        <v>272.79199999999997</v>
      </c>
    </row>
    <row r="4249" spans="1:9" x14ac:dyDescent="0.35">
      <c r="A4249" s="3" t="s">
        <v>3224</v>
      </c>
      <c r="B4249" s="1" t="s">
        <v>275</v>
      </c>
      <c r="C4249" s="1" t="s">
        <v>1875</v>
      </c>
      <c r="D4249" s="1" t="s">
        <v>1217</v>
      </c>
      <c r="E4249" s="1" t="s">
        <v>29</v>
      </c>
      <c r="F4249" s="2" t="s">
        <v>1687</v>
      </c>
      <c r="G4249" s="1">
        <v>20.9</v>
      </c>
      <c r="H4249" s="1">
        <v>5</v>
      </c>
      <c r="I4249" s="1">
        <v>7.524</v>
      </c>
    </row>
    <row r="4250" spans="1:9" x14ac:dyDescent="0.35">
      <c r="A4250" s="3">
        <v>42381</v>
      </c>
      <c r="B4250" s="1" t="s">
        <v>352</v>
      </c>
      <c r="C4250" s="1" t="s">
        <v>367</v>
      </c>
      <c r="D4250" s="1" t="s">
        <v>368</v>
      </c>
      <c r="E4250" s="1" t="s">
        <v>35</v>
      </c>
      <c r="F4250" s="2" t="s">
        <v>1523</v>
      </c>
      <c r="G4250" s="1">
        <v>88.08</v>
      </c>
      <c r="H4250" s="1">
        <v>6</v>
      </c>
      <c r="I4250" s="1">
        <v>40.516800000000003</v>
      </c>
    </row>
    <row r="4251" spans="1:9" x14ac:dyDescent="0.35">
      <c r="A4251" s="3">
        <v>42381</v>
      </c>
      <c r="B4251" s="1" t="s">
        <v>352</v>
      </c>
      <c r="C4251" s="1" t="s">
        <v>367</v>
      </c>
      <c r="D4251" s="1" t="s">
        <v>368</v>
      </c>
      <c r="E4251" s="1" t="s">
        <v>14</v>
      </c>
      <c r="F4251" s="2" t="s">
        <v>891</v>
      </c>
      <c r="G4251" s="1">
        <v>751.92</v>
      </c>
      <c r="H4251" s="1">
        <v>4</v>
      </c>
      <c r="I4251" s="1">
        <v>150.38399999999999</v>
      </c>
    </row>
    <row r="4252" spans="1:9" x14ac:dyDescent="0.35">
      <c r="A4252" s="3" t="s">
        <v>3505</v>
      </c>
      <c r="B4252" s="1" t="s">
        <v>2737</v>
      </c>
      <c r="C4252" s="1" t="s">
        <v>135</v>
      </c>
      <c r="D4252" s="1" t="s">
        <v>136</v>
      </c>
      <c r="E4252" s="1" t="s">
        <v>14</v>
      </c>
      <c r="F4252" s="2" t="s">
        <v>1925</v>
      </c>
      <c r="G4252" s="1">
        <v>887.10299999999995</v>
      </c>
      <c r="H4252" s="1">
        <v>7</v>
      </c>
      <c r="I4252" s="1">
        <v>177.42060000000001</v>
      </c>
    </row>
    <row r="4253" spans="1:9" x14ac:dyDescent="0.35">
      <c r="A4253" s="3" t="s">
        <v>3467</v>
      </c>
      <c r="B4253" s="1" t="s">
        <v>1014</v>
      </c>
      <c r="C4253" s="1" t="s">
        <v>835</v>
      </c>
      <c r="D4253" s="1" t="s">
        <v>23</v>
      </c>
      <c r="E4253" s="1" t="s">
        <v>33</v>
      </c>
      <c r="F4253" s="2" t="s">
        <v>1898</v>
      </c>
      <c r="G4253" s="1">
        <v>55.944000000000003</v>
      </c>
      <c r="H4253" s="1">
        <v>7</v>
      </c>
      <c r="I4253" s="1">
        <v>-13.2867</v>
      </c>
    </row>
    <row r="4254" spans="1:9" x14ac:dyDescent="0.35">
      <c r="A4254" s="3" t="s">
        <v>3467</v>
      </c>
      <c r="B4254" s="1" t="s">
        <v>1014</v>
      </c>
      <c r="C4254" s="1" t="s">
        <v>835</v>
      </c>
      <c r="D4254" s="1" t="s">
        <v>23</v>
      </c>
      <c r="E4254" s="1" t="s">
        <v>31</v>
      </c>
      <c r="F4254" s="2" t="s">
        <v>342</v>
      </c>
      <c r="G4254" s="1">
        <v>10.688000000000001</v>
      </c>
      <c r="H4254" s="1">
        <v>2</v>
      </c>
      <c r="I4254" s="1">
        <v>2.2711999999999999</v>
      </c>
    </row>
    <row r="4255" spans="1:9" x14ac:dyDescent="0.35">
      <c r="A4255" s="3" t="s">
        <v>3467</v>
      </c>
      <c r="B4255" s="1" t="s">
        <v>1014</v>
      </c>
      <c r="C4255" s="1" t="s">
        <v>835</v>
      </c>
      <c r="D4255" s="1" t="s">
        <v>23</v>
      </c>
      <c r="E4255" s="1" t="s">
        <v>33</v>
      </c>
      <c r="F4255" s="2" t="s">
        <v>1958</v>
      </c>
      <c r="G4255" s="1">
        <v>11.824</v>
      </c>
      <c r="H4255" s="1">
        <v>2</v>
      </c>
      <c r="I4255" s="1">
        <v>1.0346</v>
      </c>
    </row>
    <row r="4256" spans="1:9" x14ac:dyDescent="0.35">
      <c r="A4256" s="3" t="s">
        <v>3316</v>
      </c>
      <c r="B4256" s="1" t="s">
        <v>271</v>
      </c>
      <c r="C4256" s="1" t="s">
        <v>1593</v>
      </c>
      <c r="D4256" s="1" t="s">
        <v>106</v>
      </c>
      <c r="E4256" s="1" t="s">
        <v>44</v>
      </c>
      <c r="F4256" s="2" t="s">
        <v>94</v>
      </c>
      <c r="G4256" s="1">
        <v>63.311999999999998</v>
      </c>
      <c r="H4256" s="1">
        <v>3</v>
      </c>
      <c r="I4256" s="1">
        <v>20.5764</v>
      </c>
    </row>
    <row r="4257" spans="1:9" x14ac:dyDescent="0.35">
      <c r="A4257" s="3" t="s">
        <v>3316</v>
      </c>
      <c r="B4257" s="1" t="s">
        <v>271</v>
      </c>
      <c r="C4257" s="1" t="s">
        <v>1593</v>
      </c>
      <c r="D4257" s="1" t="s">
        <v>106</v>
      </c>
      <c r="E4257" s="1" t="s">
        <v>35</v>
      </c>
      <c r="F4257" s="2" t="s">
        <v>510</v>
      </c>
      <c r="G4257" s="1">
        <v>96.784000000000006</v>
      </c>
      <c r="H4257" s="1">
        <v>4</v>
      </c>
      <c r="I4257" s="1">
        <v>-145.17599999999999</v>
      </c>
    </row>
    <row r="4258" spans="1:9" x14ac:dyDescent="0.35">
      <c r="A4258" s="3" t="s">
        <v>3316</v>
      </c>
      <c r="B4258" s="1" t="s">
        <v>271</v>
      </c>
      <c r="C4258" s="1" t="s">
        <v>1593</v>
      </c>
      <c r="D4258" s="1" t="s">
        <v>106</v>
      </c>
      <c r="E4258" s="1" t="s">
        <v>29</v>
      </c>
      <c r="F4258" s="2" t="s">
        <v>1213</v>
      </c>
      <c r="G4258" s="1">
        <v>10.476000000000001</v>
      </c>
      <c r="H4258" s="1">
        <v>3</v>
      </c>
      <c r="I4258" s="1">
        <v>-6.8094000000000001</v>
      </c>
    </row>
    <row r="4259" spans="1:9" x14ac:dyDescent="0.35">
      <c r="A4259" s="3">
        <v>42103</v>
      </c>
      <c r="B4259" s="1" t="s">
        <v>68</v>
      </c>
      <c r="C4259" s="1" t="s">
        <v>1950</v>
      </c>
      <c r="D4259" s="1" t="s">
        <v>212</v>
      </c>
      <c r="E4259" s="1" t="s">
        <v>35</v>
      </c>
      <c r="F4259" s="2" t="s">
        <v>2540</v>
      </c>
      <c r="G4259" s="1">
        <v>9.7620000000000005</v>
      </c>
      <c r="H4259" s="1">
        <v>2</v>
      </c>
      <c r="I4259" s="1">
        <v>-6.8334000000000001</v>
      </c>
    </row>
    <row r="4260" spans="1:9" x14ac:dyDescent="0.35">
      <c r="A4260" s="3" t="s">
        <v>3474</v>
      </c>
      <c r="B4260" s="1" t="s">
        <v>625</v>
      </c>
      <c r="C4260" s="1" t="s">
        <v>47</v>
      </c>
      <c r="D4260" s="1" t="s">
        <v>48</v>
      </c>
      <c r="E4260" s="1" t="s">
        <v>14</v>
      </c>
      <c r="F4260" s="2" t="s">
        <v>1386</v>
      </c>
      <c r="G4260" s="1">
        <v>196.78399999999999</v>
      </c>
      <c r="H4260" s="1">
        <v>2</v>
      </c>
      <c r="I4260" s="1">
        <v>-22.138200000000001</v>
      </c>
    </row>
    <row r="4261" spans="1:9" x14ac:dyDescent="0.35">
      <c r="A4261" s="3" t="s">
        <v>3524</v>
      </c>
      <c r="B4261" s="1" t="s">
        <v>2260</v>
      </c>
      <c r="C4261" s="1" t="s">
        <v>135</v>
      </c>
      <c r="D4261" s="1" t="s">
        <v>136</v>
      </c>
      <c r="E4261" s="1" t="s">
        <v>87</v>
      </c>
      <c r="F4261" s="2" t="s">
        <v>487</v>
      </c>
      <c r="G4261" s="1">
        <v>47.98</v>
      </c>
      <c r="H4261" s="1">
        <v>2</v>
      </c>
      <c r="I4261" s="1">
        <v>23.99</v>
      </c>
    </row>
    <row r="4262" spans="1:9" x14ac:dyDescent="0.35">
      <c r="A4262" s="3" t="s">
        <v>3438</v>
      </c>
      <c r="B4262" s="1" t="s">
        <v>2154</v>
      </c>
      <c r="C4262" s="1" t="s">
        <v>367</v>
      </c>
      <c r="D4262" s="1" t="s">
        <v>368</v>
      </c>
      <c r="E4262" s="1" t="s">
        <v>19</v>
      </c>
      <c r="F4262" s="2" t="s">
        <v>1231</v>
      </c>
      <c r="G4262" s="1">
        <v>13.05</v>
      </c>
      <c r="H4262" s="1">
        <v>5</v>
      </c>
      <c r="I4262" s="1">
        <v>6.0030000000000001</v>
      </c>
    </row>
    <row r="4263" spans="1:9" x14ac:dyDescent="0.35">
      <c r="A4263" s="3">
        <v>42924</v>
      </c>
      <c r="B4263" s="1" t="s">
        <v>2514</v>
      </c>
      <c r="C4263" s="1" t="s">
        <v>2047</v>
      </c>
      <c r="D4263" s="1" t="s">
        <v>115</v>
      </c>
      <c r="E4263" s="1" t="s">
        <v>81</v>
      </c>
      <c r="F4263" s="2" t="s">
        <v>1842</v>
      </c>
      <c r="G4263" s="1">
        <v>63.96</v>
      </c>
      <c r="H4263" s="1">
        <v>4</v>
      </c>
      <c r="I4263" s="1">
        <v>19.8276</v>
      </c>
    </row>
    <row r="4264" spans="1:9" x14ac:dyDescent="0.35">
      <c r="A4264" s="3" t="s">
        <v>3525</v>
      </c>
      <c r="B4264" s="1" t="s">
        <v>1493</v>
      </c>
      <c r="C4264" s="1" t="s">
        <v>249</v>
      </c>
      <c r="D4264" s="1" t="s">
        <v>604</v>
      </c>
      <c r="E4264" s="1" t="s">
        <v>37</v>
      </c>
      <c r="F4264" s="2" t="s">
        <v>2369</v>
      </c>
      <c r="G4264" s="1">
        <v>80.48</v>
      </c>
      <c r="H4264" s="1">
        <v>1</v>
      </c>
      <c r="I4264" s="1">
        <v>24.143999999999998</v>
      </c>
    </row>
    <row r="4265" spans="1:9" x14ac:dyDescent="0.35">
      <c r="A4265" s="3">
        <v>42805</v>
      </c>
      <c r="B4265" s="1" t="s">
        <v>2384</v>
      </c>
      <c r="C4265" s="1" t="s">
        <v>74</v>
      </c>
      <c r="D4265" s="1" t="s">
        <v>75</v>
      </c>
      <c r="E4265" s="1" t="s">
        <v>35</v>
      </c>
      <c r="F4265" s="2" t="s">
        <v>2738</v>
      </c>
      <c r="G4265" s="1">
        <v>11.673</v>
      </c>
      <c r="H4265" s="1">
        <v>3</v>
      </c>
      <c r="I4265" s="1">
        <v>-7.782</v>
      </c>
    </row>
    <row r="4266" spans="1:9" x14ac:dyDescent="0.35">
      <c r="A4266" s="3">
        <v>42501</v>
      </c>
      <c r="B4266" s="1" t="s">
        <v>851</v>
      </c>
      <c r="C4266" s="1" t="s">
        <v>93</v>
      </c>
      <c r="D4266" s="1" t="s">
        <v>52</v>
      </c>
      <c r="E4266" s="1" t="s">
        <v>24</v>
      </c>
      <c r="F4266" s="2" t="s">
        <v>1030</v>
      </c>
      <c r="G4266" s="1">
        <v>863.12800000000004</v>
      </c>
      <c r="H4266" s="1">
        <v>8</v>
      </c>
      <c r="I4266" s="1">
        <v>-160.29519999999999</v>
      </c>
    </row>
    <row r="4267" spans="1:9" x14ac:dyDescent="0.35">
      <c r="A4267" s="3">
        <v>42501</v>
      </c>
      <c r="B4267" s="1" t="s">
        <v>851</v>
      </c>
      <c r="C4267" s="1" t="s">
        <v>93</v>
      </c>
      <c r="D4267" s="1" t="s">
        <v>52</v>
      </c>
      <c r="E4267" s="1" t="s">
        <v>35</v>
      </c>
      <c r="F4267" s="2" t="s">
        <v>578</v>
      </c>
      <c r="G4267" s="1">
        <v>3.5640000000000001</v>
      </c>
      <c r="H4267" s="1">
        <v>3</v>
      </c>
      <c r="I4267" s="1">
        <v>-6.2370000000000001</v>
      </c>
    </row>
    <row r="4268" spans="1:9" x14ac:dyDescent="0.35">
      <c r="A4268" s="3">
        <v>42501</v>
      </c>
      <c r="B4268" s="1" t="s">
        <v>851</v>
      </c>
      <c r="C4268" s="1" t="s">
        <v>93</v>
      </c>
      <c r="D4268" s="1" t="s">
        <v>52</v>
      </c>
      <c r="E4268" s="1" t="s">
        <v>12</v>
      </c>
      <c r="F4268" s="2" t="s">
        <v>2204</v>
      </c>
      <c r="G4268" s="1">
        <v>956.66480000000001</v>
      </c>
      <c r="H4268" s="1">
        <v>7</v>
      </c>
      <c r="I4268" s="1">
        <v>-225.0976</v>
      </c>
    </row>
    <row r="4269" spans="1:9" x14ac:dyDescent="0.35">
      <c r="A4269" s="3">
        <v>42501</v>
      </c>
      <c r="B4269" s="1" t="s">
        <v>851</v>
      </c>
      <c r="C4269" s="1" t="s">
        <v>93</v>
      </c>
      <c r="D4269" s="1" t="s">
        <v>52</v>
      </c>
      <c r="E4269" s="1" t="s">
        <v>35</v>
      </c>
      <c r="F4269" s="2" t="s">
        <v>962</v>
      </c>
      <c r="G4269" s="1">
        <v>12.587999999999999</v>
      </c>
      <c r="H4269" s="1">
        <v>3</v>
      </c>
      <c r="I4269" s="1">
        <v>-20.140799999999999</v>
      </c>
    </row>
    <row r="4270" spans="1:9" x14ac:dyDescent="0.35">
      <c r="A4270" s="3">
        <v>42501</v>
      </c>
      <c r="B4270" s="1" t="s">
        <v>851</v>
      </c>
      <c r="C4270" s="1" t="s">
        <v>93</v>
      </c>
      <c r="D4270" s="1" t="s">
        <v>52</v>
      </c>
      <c r="E4270" s="1" t="s">
        <v>81</v>
      </c>
      <c r="F4270" s="2" t="s">
        <v>2467</v>
      </c>
      <c r="G4270" s="1">
        <v>171.96</v>
      </c>
      <c r="H4270" s="1">
        <v>5</v>
      </c>
      <c r="I4270" s="1">
        <v>45.139499999999998</v>
      </c>
    </row>
    <row r="4271" spans="1:9" x14ac:dyDescent="0.35">
      <c r="A4271" s="3" t="s">
        <v>3526</v>
      </c>
      <c r="B4271" s="1" t="s">
        <v>2016</v>
      </c>
      <c r="C4271" s="1" t="s">
        <v>47</v>
      </c>
      <c r="D4271" s="1" t="s">
        <v>48</v>
      </c>
      <c r="E4271" s="1" t="s">
        <v>24</v>
      </c>
      <c r="F4271" s="2" t="s">
        <v>997</v>
      </c>
      <c r="G4271" s="1">
        <v>871.4</v>
      </c>
      <c r="H4271" s="1">
        <v>4</v>
      </c>
      <c r="I4271" s="1">
        <v>148.13800000000001</v>
      </c>
    </row>
    <row r="4272" spans="1:9" x14ac:dyDescent="0.35">
      <c r="A4272" s="3" t="s">
        <v>3527</v>
      </c>
      <c r="B4272" s="1" t="s">
        <v>2739</v>
      </c>
      <c r="C4272" s="1" t="s">
        <v>167</v>
      </c>
      <c r="D4272" s="1" t="s">
        <v>171</v>
      </c>
      <c r="E4272" s="1" t="s">
        <v>29</v>
      </c>
      <c r="F4272" s="2" t="s">
        <v>2732</v>
      </c>
      <c r="G4272" s="1">
        <v>692.47199999999998</v>
      </c>
      <c r="H4272" s="1">
        <v>11</v>
      </c>
      <c r="I4272" s="1">
        <v>190.4298</v>
      </c>
    </row>
    <row r="4273" spans="1:9" x14ac:dyDescent="0.35">
      <c r="A4273" s="3" t="s">
        <v>3410</v>
      </c>
      <c r="B4273" s="1" t="s">
        <v>637</v>
      </c>
      <c r="C4273" s="1" t="s">
        <v>1875</v>
      </c>
      <c r="D4273" s="1" t="s">
        <v>1217</v>
      </c>
      <c r="E4273" s="1" t="s">
        <v>29</v>
      </c>
      <c r="F4273" s="2" t="s">
        <v>1198</v>
      </c>
      <c r="G4273" s="1">
        <v>207.76</v>
      </c>
      <c r="H4273" s="1">
        <v>4</v>
      </c>
      <c r="I4273" s="1">
        <v>85.181600000000003</v>
      </c>
    </row>
    <row r="4274" spans="1:9" x14ac:dyDescent="0.35">
      <c r="A4274" s="3" t="s">
        <v>3528</v>
      </c>
      <c r="B4274" s="1" t="s">
        <v>894</v>
      </c>
      <c r="C4274" s="1" t="s">
        <v>1571</v>
      </c>
      <c r="D4274" s="1" t="s">
        <v>61</v>
      </c>
      <c r="E4274" s="1" t="s">
        <v>33</v>
      </c>
      <c r="F4274" s="2" t="s">
        <v>2597</v>
      </c>
      <c r="G4274" s="1">
        <v>71.927999999999997</v>
      </c>
      <c r="H4274" s="1">
        <v>9</v>
      </c>
      <c r="I4274" s="1">
        <v>6.2937000000000003</v>
      </c>
    </row>
    <row r="4275" spans="1:9" x14ac:dyDescent="0.35">
      <c r="A4275" s="3" t="s">
        <v>3528</v>
      </c>
      <c r="B4275" s="1" t="s">
        <v>894</v>
      </c>
      <c r="C4275" s="1" t="s">
        <v>1571</v>
      </c>
      <c r="D4275" s="1" t="s">
        <v>61</v>
      </c>
      <c r="E4275" s="1" t="s">
        <v>31</v>
      </c>
      <c r="F4275" s="2" t="s">
        <v>1783</v>
      </c>
      <c r="G4275" s="1">
        <v>25.99</v>
      </c>
      <c r="H4275" s="1">
        <v>1</v>
      </c>
      <c r="I4275" s="1">
        <v>7.5370999999999997</v>
      </c>
    </row>
    <row r="4276" spans="1:9" x14ac:dyDescent="0.35">
      <c r="A4276" s="3" t="s">
        <v>3467</v>
      </c>
      <c r="B4276" s="1" t="s">
        <v>497</v>
      </c>
      <c r="C4276" s="1" t="s">
        <v>47</v>
      </c>
      <c r="D4276" s="1" t="s">
        <v>48</v>
      </c>
      <c r="E4276" s="1" t="s">
        <v>35</v>
      </c>
      <c r="F4276" s="2" t="s">
        <v>581</v>
      </c>
      <c r="G4276" s="1">
        <v>3.5920000000000001</v>
      </c>
      <c r="H4276" s="1">
        <v>1</v>
      </c>
      <c r="I4276" s="1">
        <v>1.1225000000000001</v>
      </c>
    </row>
    <row r="4277" spans="1:9" x14ac:dyDescent="0.35">
      <c r="A4277" s="3">
        <v>42254</v>
      </c>
      <c r="B4277" s="1" t="s">
        <v>2293</v>
      </c>
      <c r="C4277" s="1" t="s">
        <v>399</v>
      </c>
      <c r="D4277" s="1" t="s">
        <v>52</v>
      </c>
      <c r="E4277" s="1" t="s">
        <v>37</v>
      </c>
      <c r="F4277" s="2" t="s">
        <v>353</v>
      </c>
      <c r="G4277" s="1">
        <v>48.631999999999998</v>
      </c>
      <c r="H4277" s="1">
        <v>2</v>
      </c>
      <c r="I4277" s="1">
        <v>-121.58</v>
      </c>
    </row>
    <row r="4278" spans="1:9" x14ac:dyDescent="0.35">
      <c r="A4278" s="3" t="s">
        <v>3529</v>
      </c>
      <c r="B4278" s="1" t="s">
        <v>1359</v>
      </c>
      <c r="C4278" s="1" t="s">
        <v>47</v>
      </c>
      <c r="D4278" s="1" t="s">
        <v>48</v>
      </c>
      <c r="E4278" s="1" t="s">
        <v>26</v>
      </c>
      <c r="F4278" s="2" t="s">
        <v>1315</v>
      </c>
      <c r="G4278" s="1">
        <v>323.10000000000002</v>
      </c>
      <c r="H4278" s="1">
        <v>2</v>
      </c>
      <c r="I4278" s="1">
        <v>61.389000000000003</v>
      </c>
    </row>
    <row r="4279" spans="1:9" x14ac:dyDescent="0.35">
      <c r="A4279" s="3" t="s">
        <v>3509</v>
      </c>
      <c r="B4279" s="1" t="s">
        <v>2737</v>
      </c>
      <c r="C4279" s="1" t="s">
        <v>536</v>
      </c>
      <c r="D4279" s="1" t="s">
        <v>388</v>
      </c>
      <c r="E4279" s="1" t="s">
        <v>338</v>
      </c>
      <c r="F4279" s="2" t="s">
        <v>2740</v>
      </c>
      <c r="G4279" s="1">
        <v>9099.93</v>
      </c>
      <c r="H4279" s="1">
        <v>7</v>
      </c>
      <c r="I4279" s="1">
        <v>2365.9818</v>
      </c>
    </row>
    <row r="4280" spans="1:9" x14ac:dyDescent="0.35">
      <c r="A4280" s="3" t="s">
        <v>3509</v>
      </c>
      <c r="B4280" s="1" t="s">
        <v>2737</v>
      </c>
      <c r="C4280" s="1" t="s">
        <v>536</v>
      </c>
      <c r="D4280" s="1" t="s">
        <v>388</v>
      </c>
      <c r="E4280" s="1" t="s">
        <v>29</v>
      </c>
      <c r="F4280" s="2" t="s">
        <v>2436</v>
      </c>
      <c r="G4280" s="1">
        <v>9.9600000000000009</v>
      </c>
      <c r="H4280" s="1">
        <v>2</v>
      </c>
      <c r="I4280" s="1">
        <v>3.2867999999999999</v>
      </c>
    </row>
    <row r="4281" spans="1:9" x14ac:dyDescent="0.35">
      <c r="A4281" s="3" t="s">
        <v>3509</v>
      </c>
      <c r="B4281" s="1" t="s">
        <v>2737</v>
      </c>
      <c r="C4281" s="1" t="s">
        <v>536</v>
      </c>
      <c r="D4281" s="1" t="s">
        <v>388</v>
      </c>
      <c r="E4281" s="1" t="s">
        <v>35</v>
      </c>
      <c r="F4281" s="2" t="s">
        <v>1486</v>
      </c>
      <c r="G4281" s="1">
        <v>25.3</v>
      </c>
      <c r="H4281" s="1">
        <v>5</v>
      </c>
      <c r="I4281" s="1">
        <v>11.891</v>
      </c>
    </row>
    <row r="4282" spans="1:9" x14ac:dyDescent="0.35">
      <c r="A4282" s="3" t="s">
        <v>3359</v>
      </c>
      <c r="B4282" s="1" t="s">
        <v>360</v>
      </c>
      <c r="C4282" s="1" t="s">
        <v>135</v>
      </c>
      <c r="D4282" s="1" t="s">
        <v>136</v>
      </c>
      <c r="E4282" s="1" t="s">
        <v>44</v>
      </c>
      <c r="F4282" s="2" t="s">
        <v>499</v>
      </c>
      <c r="G4282" s="1">
        <v>11.36</v>
      </c>
      <c r="H4282" s="1">
        <v>2</v>
      </c>
      <c r="I4282" s="1">
        <v>5.2256</v>
      </c>
    </row>
    <row r="4283" spans="1:9" x14ac:dyDescent="0.35">
      <c r="A4283" s="3" t="s">
        <v>3359</v>
      </c>
      <c r="B4283" s="1" t="s">
        <v>360</v>
      </c>
      <c r="C4283" s="1" t="s">
        <v>135</v>
      </c>
      <c r="D4283" s="1" t="s">
        <v>136</v>
      </c>
      <c r="E4283" s="1" t="s">
        <v>14</v>
      </c>
      <c r="F4283" s="2" t="s">
        <v>2429</v>
      </c>
      <c r="G4283" s="1">
        <v>69.263999999999996</v>
      </c>
      <c r="H4283" s="1">
        <v>2</v>
      </c>
      <c r="I4283" s="1">
        <v>14.622400000000001</v>
      </c>
    </row>
    <row r="4284" spans="1:9" x14ac:dyDescent="0.35">
      <c r="A4284" s="3" t="s">
        <v>3340</v>
      </c>
      <c r="B4284" s="1" t="s">
        <v>1641</v>
      </c>
      <c r="C4284" s="1" t="s">
        <v>1840</v>
      </c>
      <c r="D4284" s="1" t="s">
        <v>129</v>
      </c>
      <c r="E4284" s="1" t="s">
        <v>19</v>
      </c>
      <c r="F4284" s="2" t="s">
        <v>2741</v>
      </c>
      <c r="G4284" s="1">
        <v>3.69</v>
      </c>
      <c r="H4284" s="1">
        <v>1</v>
      </c>
      <c r="I4284" s="1">
        <v>1.7343</v>
      </c>
    </row>
    <row r="4285" spans="1:9" x14ac:dyDescent="0.35">
      <c r="A4285" s="3" t="s">
        <v>3340</v>
      </c>
      <c r="B4285" s="1" t="s">
        <v>1641</v>
      </c>
      <c r="C4285" s="1" t="s">
        <v>1840</v>
      </c>
      <c r="D4285" s="1" t="s">
        <v>129</v>
      </c>
      <c r="E4285" s="1" t="s">
        <v>35</v>
      </c>
      <c r="F4285" s="2" t="s">
        <v>2492</v>
      </c>
      <c r="G4285" s="1">
        <v>1103.97</v>
      </c>
      <c r="H4285" s="1">
        <v>3</v>
      </c>
      <c r="I4285" s="1">
        <v>496.78649999999999</v>
      </c>
    </row>
    <row r="4286" spans="1:9" x14ac:dyDescent="0.35">
      <c r="A4286" s="3" t="s">
        <v>3383</v>
      </c>
      <c r="B4286" s="1" t="s">
        <v>2389</v>
      </c>
      <c r="C4286" s="1" t="s">
        <v>2742</v>
      </c>
      <c r="D4286" s="1" t="s">
        <v>52</v>
      </c>
      <c r="E4286" s="1" t="s">
        <v>12</v>
      </c>
      <c r="F4286" s="2" t="s">
        <v>1848</v>
      </c>
      <c r="G4286" s="1">
        <v>246.1328</v>
      </c>
      <c r="H4286" s="1">
        <v>2</v>
      </c>
      <c r="I4286" s="1">
        <v>-76.011600000000001</v>
      </c>
    </row>
    <row r="4287" spans="1:9" x14ac:dyDescent="0.35">
      <c r="A4287" s="3" t="s">
        <v>3383</v>
      </c>
      <c r="B4287" s="1" t="s">
        <v>2389</v>
      </c>
      <c r="C4287" s="1" t="s">
        <v>2742</v>
      </c>
      <c r="D4287" s="1" t="s">
        <v>52</v>
      </c>
      <c r="E4287" s="1" t="s">
        <v>19</v>
      </c>
      <c r="F4287" s="2" t="s">
        <v>20</v>
      </c>
      <c r="G4287" s="1">
        <v>11.696</v>
      </c>
      <c r="H4287" s="1">
        <v>2</v>
      </c>
      <c r="I4287" s="1">
        <v>3.9474</v>
      </c>
    </row>
    <row r="4288" spans="1:9" x14ac:dyDescent="0.35">
      <c r="A4288" s="3" t="s">
        <v>3383</v>
      </c>
      <c r="B4288" s="1" t="s">
        <v>2389</v>
      </c>
      <c r="C4288" s="1" t="s">
        <v>2742</v>
      </c>
      <c r="D4288" s="1" t="s">
        <v>52</v>
      </c>
      <c r="E4288" s="1" t="s">
        <v>579</v>
      </c>
      <c r="F4288" s="2" t="s">
        <v>2617</v>
      </c>
      <c r="G4288" s="1">
        <v>439.99200000000002</v>
      </c>
      <c r="H4288" s="1">
        <v>1</v>
      </c>
      <c r="I4288" s="1">
        <v>164.99700000000001</v>
      </c>
    </row>
    <row r="4289" spans="1:9" x14ac:dyDescent="0.35">
      <c r="A4289" s="3" t="s">
        <v>3530</v>
      </c>
      <c r="B4289" s="1" t="s">
        <v>1375</v>
      </c>
      <c r="C4289" s="1" t="s">
        <v>2272</v>
      </c>
      <c r="D4289" s="1" t="s">
        <v>171</v>
      </c>
      <c r="E4289" s="1" t="s">
        <v>26</v>
      </c>
      <c r="F4289" s="2" t="s">
        <v>829</v>
      </c>
      <c r="G4289" s="1">
        <v>64.784000000000006</v>
      </c>
      <c r="H4289" s="1">
        <v>1</v>
      </c>
      <c r="I4289" s="1">
        <v>-12.956799999999999</v>
      </c>
    </row>
    <row r="4290" spans="1:9" x14ac:dyDescent="0.35">
      <c r="A4290" s="3" t="s">
        <v>3531</v>
      </c>
      <c r="B4290" s="1" t="s">
        <v>113</v>
      </c>
      <c r="C4290" s="1" t="s">
        <v>93</v>
      </c>
      <c r="D4290" s="1" t="s">
        <v>52</v>
      </c>
      <c r="E4290" s="1" t="s">
        <v>35</v>
      </c>
      <c r="F4290" s="2" t="s">
        <v>1983</v>
      </c>
      <c r="G4290" s="1">
        <v>33.28</v>
      </c>
      <c r="H4290" s="1">
        <v>5</v>
      </c>
      <c r="I4290" s="1">
        <v>-49.92</v>
      </c>
    </row>
    <row r="4291" spans="1:9" x14ac:dyDescent="0.35">
      <c r="A4291" s="3" t="s">
        <v>3531</v>
      </c>
      <c r="B4291" s="1" t="s">
        <v>113</v>
      </c>
      <c r="C4291" s="1" t="s">
        <v>93</v>
      </c>
      <c r="D4291" s="1" t="s">
        <v>52</v>
      </c>
      <c r="E4291" s="1" t="s">
        <v>44</v>
      </c>
      <c r="F4291" s="2" t="s">
        <v>1227</v>
      </c>
      <c r="G4291" s="1">
        <v>14.087999999999999</v>
      </c>
      <c r="H4291" s="1">
        <v>3</v>
      </c>
      <c r="I4291" s="1">
        <v>4.9307999999999996</v>
      </c>
    </row>
    <row r="4292" spans="1:9" x14ac:dyDescent="0.35">
      <c r="A4292" s="3">
        <v>42990</v>
      </c>
      <c r="B4292" s="1" t="s">
        <v>1461</v>
      </c>
      <c r="C4292" s="1" t="s">
        <v>17</v>
      </c>
      <c r="D4292" s="1" t="s">
        <v>18</v>
      </c>
      <c r="E4292" s="1" t="s">
        <v>31</v>
      </c>
      <c r="F4292" s="2" t="s">
        <v>586</v>
      </c>
      <c r="G4292" s="1">
        <v>11.16</v>
      </c>
      <c r="H4292" s="1">
        <v>2</v>
      </c>
      <c r="I4292" s="1">
        <v>2.79</v>
      </c>
    </row>
    <row r="4293" spans="1:9" x14ac:dyDescent="0.35">
      <c r="A4293" s="3">
        <v>42990</v>
      </c>
      <c r="B4293" s="1" t="s">
        <v>1461</v>
      </c>
      <c r="C4293" s="1" t="s">
        <v>17</v>
      </c>
      <c r="D4293" s="1" t="s">
        <v>18</v>
      </c>
      <c r="E4293" s="1" t="s">
        <v>24</v>
      </c>
      <c r="F4293" s="2" t="s">
        <v>431</v>
      </c>
      <c r="G4293" s="1">
        <v>896.32799999999997</v>
      </c>
      <c r="H4293" s="1">
        <v>9</v>
      </c>
      <c r="I4293" s="1">
        <v>22.408200000000001</v>
      </c>
    </row>
    <row r="4294" spans="1:9" x14ac:dyDescent="0.35">
      <c r="A4294" s="3">
        <v>42990</v>
      </c>
      <c r="B4294" s="1" t="s">
        <v>1461</v>
      </c>
      <c r="C4294" s="1" t="s">
        <v>17</v>
      </c>
      <c r="D4294" s="1" t="s">
        <v>18</v>
      </c>
      <c r="E4294" s="1" t="s">
        <v>37</v>
      </c>
      <c r="F4294" s="2" t="s">
        <v>1905</v>
      </c>
      <c r="G4294" s="1">
        <v>189</v>
      </c>
      <c r="H4294" s="1">
        <v>1</v>
      </c>
      <c r="I4294" s="1">
        <v>68.040000000000006</v>
      </c>
    </row>
    <row r="4295" spans="1:9" x14ac:dyDescent="0.35">
      <c r="A4295" s="3">
        <v>43011</v>
      </c>
      <c r="B4295" s="1" t="s">
        <v>77</v>
      </c>
      <c r="C4295" s="1" t="s">
        <v>74</v>
      </c>
      <c r="D4295" s="1" t="s">
        <v>75</v>
      </c>
      <c r="E4295" s="1" t="s">
        <v>33</v>
      </c>
      <c r="F4295" s="2" t="s">
        <v>364</v>
      </c>
      <c r="G4295" s="1">
        <v>53.981999999999999</v>
      </c>
      <c r="H4295" s="1">
        <v>3</v>
      </c>
      <c r="I4295" s="1">
        <v>-10.7964</v>
      </c>
    </row>
    <row r="4296" spans="1:9" x14ac:dyDescent="0.35">
      <c r="A4296" s="3" t="s">
        <v>3214</v>
      </c>
      <c r="B4296" s="1" t="s">
        <v>2515</v>
      </c>
      <c r="C4296" s="1" t="s">
        <v>1910</v>
      </c>
      <c r="D4296" s="1" t="s">
        <v>212</v>
      </c>
      <c r="E4296" s="1" t="s">
        <v>24</v>
      </c>
      <c r="F4296" s="2" t="s">
        <v>451</v>
      </c>
      <c r="G4296" s="1">
        <v>177.22499999999999</v>
      </c>
      <c r="H4296" s="1">
        <v>5</v>
      </c>
      <c r="I4296" s="1">
        <v>-120.51300000000001</v>
      </c>
    </row>
    <row r="4297" spans="1:9" x14ac:dyDescent="0.35">
      <c r="A4297" s="3">
        <v>42801</v>
      </c>
      <c r="B4297" s="1" t="s">
        <v>391</v>
      </c>
      <c r="C4297" s="1" t="s">
        <v>2743</v>
      </c>
      <c r="D4297" s="1" t="s">
        <v>18</v>
      </c>
      <c r="E4297" s="1" t="s">
        <v>29</v>
      </c>
      <c r="F4297" s="2" t="s">
        <v>2691</v>
      </c>
      <c r="G4297" s="1">
        <v>129.38999999999999</v>
      </c>
      <c r="H4297" s="1">
        <v>3</v>
      </c>
      <c r="I4297" s="1">
        <v>54.343800000000002</v>
      </c>
    </row>
    <row r="4298" spans="1:9" x14ac:dyDescent="0.35">
      <c r="A4298" s="3">
        <v>42834</v>
      </c>
      <c r="B4298" s="1" t="s">
        <v>990</v>
      </c>
      <c r="C4298" s="1" t="s">
        <v>17</v>
      </c>
      <c r="D4298" s="1" t="s">
        <v>18</v>
      </c>
      <c r="E4298" s="1" t="s">
        <v>26</v>
      </c>
      <c r="F4298" s="2" t="s">
        <v>1736</v>
      </c>
      <c r="G4298" s="1">
        <v>54.32</v>
      </c>
      <c r="H4298" s="1">
        <v>4</v>
      </c>
      <c r="I4298" s="1">
        <v>0.54320000000000002</v>
      </c>
    </row>
    <row r="4299" spans="1:9" x14ac:dyDescent="0.35">
      <c r="A4299" s="3" t="s">
        <v>3532</v>
      </c>
      <c r="B4299" s="1" t="s">
        <v>567</v>
      </c>
      <c r="C4299" s="1" t="s">
        <v>2267</v>
      </c>
      <c r="D4299" s="1" t="s">
        <v>23</v>
      </c>
      <c r="E4299" s="1" t="s">
        <v>33</v>
      </c>
      <c r="F4299" s="2" t="s">
        <v>2424</v>
      </c>
      <c r="G4299" s="1">
        <v>4367.8959999999997</v>
      </c>
      <c r="H4299" s="1">
        <v>13</v>
      </c>
      <c r="I4299" s="1">
        <v>327.59219999999999</v>
      </c>
    </row>
    <row r="4300" spans="1:9" x14ac:dyDescent="0.35">
      <c r="A4300" s="3" t="s">
        <v>3532</v>
      </c>
      <c r="B4300" s="1" t="s">
        <v>567</v>
      </c>
      <c r="C4300" s="1" t="s">
        <v>2267</v>
      </c>
      <c r="D4300" s="1" t="s">
        <v>23</v>
      </c>
      <c r="E4300" s="1" t="s">
        <v>44</v>
      </c>
      <c r="F4300" s="2" t="s">
        <v>1951</v>
      </c>
      <c r="G4300" s="1">
        <v>49.567999999999998</v>
      </c>
      <c r="H4300" s="1">
        <v>2</v>
      </c>
      <c r="I4300" s="1">
        <v>15.49</v>
      </c>
    </row>
    <row r="4301" spans="1:9" x14ac:dyDescent="0.35">
      <c r="A4301" s="3" t="s">
        <v>3532</v>
      </c>
      <c r="B4301" s="1" t="s">
        <v>567</v>
      </c>
      <c r="C4301" s="1" t="s">
        <v>2267</v>
      </c>
      <c r="D4301" s="1" t="s">
        <v>23</v>
      </c>
      <c r="E4301" s="1" t="s">
        <v>37</v>
      </c>
      <c r="F4301" s="2" t="s">
        <v>1265</v>
      </c>
      <c r="G4301" s="1">
        <v>161.376</v>
      </c>
      <c r="H4301" s="1">
        <v>6</v>
      </c>
      <c r="I4301" s="1">
        <v>12.103199999999999</v>
      </c>
    </row>
    <row r="4302" spans="1:9" x14ac:dyDescent="0.35">
      <c r="A4302" s="3" t="s">
        <v>3532</v>
      </c>
      <c r="B4302" s="1" t="s">
        <v>567</v>
      </c>
      <c r="C4302" s="1" t="s">
        <v>2267</v>
      </c>
      <c r="D4302" s="1" t="s">
        <v>23</v>
      </c>
      <c r="E4302" s="1" t="s">
        <v>29</v>
      </c>
      <c r="F4302" s="2" t="s">
        <v>1439</v>
      </c>
      <c r="G4302" s="1">
        <v>2.7839999999999998</v>
      </c>
      <c r="H4302" s="1">
        <v>2</v>
      </c>
      <c r="I4302" s="1">
        <v>0.41760000000000003</v>
      </c>
    </row>
    <row r="4303" spans="1:9" x14ac:dyDescent="0.35">
      <c r="A4303" s="3" t="s">
        <v>3532</v>
      </c>
      <c r="B4303" s="1" t="s">
        <v>567</v>
      </c>
      <c r="C4303" s="1" t="s">
        <v>2267</v>
      </c>
      <c r="D4303" s="1" t="s">
        <v>23</v>
      </c>
      <c r="E4303" s="1" t="s">
        <v>44</v>
      </c>
      <c r="F4303" s="2" t="s">
        <v>1417</v>
      </c>
      <c r="G4303" s="1">
        <v>8.7200000000000006</v>
      </c>
      <c r="H4303" s="1">
        <v>5</v>
      </c>
      <c r="I4303" s="1">
        <v>2.9430000000000001</v>
      </c>
    </row>
    <row r="4304" spans="1:9" x14ac:dyDescent="0.35">
      <c r="A4304" s="3" t="s">
        <v>3533</v>
      </c>
      <c r="B4304" s="1" t="s">
        <v>1334</v>
      </c>
      <c r="C4304" s="1" t="s">
        <v>536</v>
      </c>
      <c r="D4304" s="1" t="s">
        <v>250</v>
      </c>
      <c r="E4304" s="1" t="s">
        <v>31</v>
      </c>
      <c r="F4304" s="2" t="s">
        <v>541</v>
      </c>
      <c r="G4304" s="1">
        <v>3.9119999999999999</v>
      </c>
      <c r="H4304" s="1">
        <v>1</v>
      </c>
      <c r="I4304" s="1">
        <v>1.0268999999999999</v>
      </c>
    </row>
    <row r="4305" spans="1:9" x14ac:dyDescent="0.35">
      <c r="A4305" s="3">
        <v>42470</v>
      </c>
      <c r="B4305" s="1" t="s">
        <v>1348</v>
      </c>
      <c r="C4305" s="1" t="s">
        <v>2744</v>
      </c>
      <c r="D4305" s="1" t="s">
        <v>52</v>
      </c>
      <c r="E4305" s="1" t="s">
        <v>87</v>
      </c>
      <c r="F4305" s="2" t="s">
        <v>1310</v>
      </c>
      <c r="G4305" s="1">
        <v>59.752000000000002</v>
      </c>
      <c r="H4305" s="1">
        <v>7</v>
      </c>
      <c r="I4305" s="1">
        <v>19.4194</v>
      </c>
    </row>
    <row r="4306" spans="1:9" x14ac:dyDescent="0.35">
      <c r="A4306" s="3" t="s">
        <v>3534</v>
      </c>
      <c r="B4306" s="1" t="s">
        <v>2726</v>
      </c>
      <c r="C4306" s="1" t="s">
        <v>47</v>
      </c>
      <c r="D4306" s="1" t="s">
        <v>48</v>
      </c>
      <c r="E4306" s="1" t="s">
        <v>29</v>
      </c>
      <c r="F4306" s="2" t="s">
        <v>844</v>
      </c>
      <c r="G4306" s="1">
        <v>63.92</v>
      </c>
      <c r="H4306" s="1">
        <v>4</v>
      </c>
      <c r="I4306" s="1">
        <v>3.1960000000000002</v>
      </c>
    </row>
    <row r="4307" spans="1:9" x14ac:dyDescent="0.35">
      <c r="A4307" s="3" t="s">
        <v>3534</v>
      </c>
      <c r="B4307" s="1" t="s">
        <v>2726</v>
      </c>
      <c r="C4307" s="1" t="s">
        <v>47</v>
      </c>
      <c r="D4307" s="1" t="s">
        <v>48</v>
      </c>
      <c r="E4307" s="1" t="s">
        <v>33</v>
      </c>
      <c r="F4307" s="2" t="s">
        <v>2471</v>
      </c>
      <c r="G4307" s="1">
        <v>383.96</v>
      </c>
      <c r="H4307" s="1">
        <v>5</v>
      </c>
      <c r="I4307" s="1">
        <v>38.396000000000001</v>
      </c>
    </row>
    <row r="4308" spans="1:9" x14ac:dyDescent="0.35">
      <c r="A4308" s="3" t="s">
        <v>3472</v>
      </c>
      <c r="B4308" s="1" t="s">
        <v>1092</v>
      </c>
      <c r="C4308" s="1" t="s">
        <v>17</v>
      </c>
      <c r="D4308" s="1" t="s">
        <v>18</v>
      </c>
      <c r="E4308" s="1" t="s">
        <v>35</v>
      </c>
      <c r="F4308" s="2" t="s">
        <v>905</v>
      </c>
      <c r="G4308" s="1">
        <v>7.7519999999999998</v>
      </c>
      <c r="H4308" s="1">
        <v>3</v>
      </c>
      <c r="I4308" s="1">
        <v>2.8100999999999998</v>
      </c>
    </row>
    <row r="4309" spans="1:9" x14ac:dyDescent="0.35">
      <c r="A4309" s="3" t="s">
        <v>3472</v>
      </c>
      <c r="B4309" s="1" t="s">
        <v>1092</v>
      </c>
      <c r="C4309" s="1" t="s">
        <v>17</v>
      </c>
      <c r="D4309" s="1" t="s">
        <v>18</v>
      </c>
      <c r="E4309" s="1" t="s">
        <v>35</v>
      </c>
      <c r="F4309" s="2" t="s">
        <v>572</v>
      </c>
      <c r="G4309" s="1">
        <v>33.567999999999998</v>
      </c>
      <c r="H4309" s="1">
        <v>2</v>
      </c>
      <c r="I4309" s="1">
        <v>11.748799999999999</v>
      </c>
    </row>
    <row r="4310" spans="1:9" x14ac:dyDescent="0.35">
      <c r="A4310" s="3">
        <v>41740</v>
      </c>
      <c r="B4310" s="1" t="s">
        <v>2071</v>
      </c>
      <c r="C4310" s="1" t="s">
        <v>17</v>
      </c>
      <c r="D4310" s="1" t="s">
        <v>18</v>
      </c>
      <c r="E4310" s="1" t="s">
        <v>33</v>
      </c>
      <c r="F4310" s="2" t="s">
        <v>2106</v>
      </c>
      <c r="G4310" s="1">
        <v>666.34400000000005</v>
      </c>
      <c r="H4310" s="1">
        <v>7</v>
      </c>
      <c r="I4310" s="1">
        <v>66.634399999999999</v>
      </c>
    </row>
    <row r="4311" spans="1:9" x14ac:dyDescent="0.35">
      <c r="A4311" s="3">
        <v>41740</v>
      </c>
      <c r="B4311" s="1" t="s">
        <v>2071</v>
      </c>
      <c r="C4311" s="1" t="s">
        <v>17</v>
      </c>
      <c r="D4311" s="1" t="s">
        <v>18</v>
      </c>
      <c r="E4311" s="1" t="s">
        <v>24</v>
      </c>
      <c r="F4311" s="2" t="s">
        <v>680</v>
      </c>
      <c r="G4311" s="1">
        <v>573.72799999999995</v>
      </c>
      <c r="H4311" s="1">
        <v>4</v>
      </c>
      <c r="I4311" s="1">
        <v>-64.544399999999996</v>
      </c>
    </row>
    <row r="4312" spans="1:9" x14ac:dyDescent="0.35">
      <c r="A4312" s="3">
        <v>41740</v>
      </c>
      <c r="B4312" s="1" t="s">
        <v>2071</v>
      </c>
      <c r="C4312" s="1" t="s">
        <v>17</v>
      </c>
      <c r="D4312" s="1" t="s">
        <v>18</v>
      </c>
      <c r="E4312" s="1" t="s">
        <v>35</v>
      </c>
      <c r="F4312" s="2" t="s">
        <v>1102</v>
      </c>
      <c r="G4312" s="1">
        <v>21.936</v>
      </c>
      <c r="H4312" s="1">
        <v>3</v>
      </c>
      <c r="I4312" s="1">
        <v>8.2260000000000009</v>
      </c>
    </row>
    <row r="4313" spans="1:9" x14ac:dyDescent="0.35">
      <c r="A4313" s="3">
        <v>41740</v>
      </c>
      <c r="B4313" s="1" t="s">
        <v>2071</v>
      </c>
      <c r="C4313" s="1" t="s">
        <v>17</v>
      </c>
      <c r="D4313" s="1" t="s">
        <v>18</v>
      </c>
      <c r="E4313" s="1" t="s">
        <v>44</v>
      </c>
      <c r="F4313" s="2" t="s">
        <v>2314</v>
      </c>
      <c r="G4313" s="1">
        <v>19.440000000000001</v>
      </c>
      <c r="H4313" s="1">
        <v>3</v>
      </c>
      <c r="I4313" s="1">
        <v>9.3312000000000008</v>
      </c>
    </row>
    <row r="4314" spans="1:9" x14ac:dyDescent="0.35">
      <c r="A4314" s="3">
        <v>41740</v>
      </c>
      <c r="B4314" s="1" t="s">
        <v>2071</v>
      </c>
      <c r="C4314" s="1" t="s">
        <v>17</v>
      </c>
      <c r="D4314" s="1" t="s">
        <v>18</v>
      </c>
      <c r="E4314" s="1" t="s">
        <v>338</v>
      </c>
      <c r="F4314" s="2" t="s">
        <v>2745</v>
      </c>
      <c r="G4314" s="1">
        <v>447.96800000000002</v>
      </c>
      <c r="H4314" s="1">
        <v>4</v>
      </c>
      <c r="I4314" s="1">
        <v>139.99</v>
      </c>
    </row>
    <row r="4315" spans="1:9" x14ac:dyDescent="0.35">
      <c r="A4315" s="3">
        <v>41860</v>
      </c>
      <c r="B4315" s="1" t="s">
        <v>1485</v>
      </c>
      <c r="C4315" s="1" t="s">
        <v>559</v>
      </c>
      <c r="D4315" s="1" t="s">
        <v>136</v>
      </c>
      <c r="E4315" s="1" t="s">
        <v>37</v>
      </c>
      <c r="F4315" s="2" t="s">
        <v>2681</v>
      </c>
      <c r="G4315" s="1">
        <v>16.78</v>
      </c>
      <c r="H4315" s="1">
        <v>2</v>
      </c>
      <c r="I4315" s="1">
        <v>4.1950000000000003</v>
      </c>
    </row>
    <row r="4316" spans="1:9" x14ac:dyDescent="0.35">
      <c r="A4316" s="3" t="s">
        <v>3491</v>
      </c>
      <c r="B4316" s="1" t="s">
        <v>1020</v>
      </c>
      <c r="C4316" s="1" t="s">
        <v>17</v>
      </c>
      <c r="D4316" s="1" t="s">
        <v>18</v>
      </c>
      <c r="E4316" s="1" t="s">
        <v>31</v>
      </c>
      <c r="F4316" s="2" t="s">
        <v>1329</v>
      </c>
      <c r="G4316" s="1">
        <v>20.96</v>
      </c>
      <c r="H4316" s="1">
        <v>2</v>
      </c>
      <c r="I4316" s="1">
        <v>5.24</v>
      </c>
    </row>
    <row r="4317" spans="1:9" x14ac:dyDescent="0.35">
      <c r="A4317" s="3" t="s">
        <v>3491</v>
      </c>
      <c r="B4317" s="1" t="s">
        <v>1020</v>
      </c>
      <c r="C4317" s="1" t="s">
        <v>17</v>
      </c>
      <c r="D4317" s="1" t="s">
        <v>18</v>
      </c>
      <c r="E4317" s="1" t="s">
        <v>35</v>
      </c>
      <c r="F4317" s="2" t="s">
        <v>1370</v>
      </c>
      <c r="G4317" s="1">
        <v>88.751999999999995</v>
      </c>
      <c r="H4317" s="1">
        <v>3</v>
      </c>
      <c r="I4317" s="1">
        <v>27.734999999999999</v>
      </c>
    </row>
    <row r="4318" spans="1:9" x14ac:dyDescent="0.35">
      <c r="A4318" s="3" t="s">
        <v>3491</v>
      </c>
      <c r="B4318" s="1" t="s">
        <v>1020</v>
      </c>
      <c r="C4318" s="1" t="s">
        <v>17</v>
      </c>
      <c r="D4318" s="1" t="s">
        <v>18</v>
      </c>
      <c r="E4318" s="1" t="s">
        <v>26</v>
      </c>
      <c r="F4318" s="2" t="s">
        <v>955</v>
      </c>
      <c r="G4318" s="1">
        <v>304.23</v>
      </c>
      <c r="H4318" s="1">
        <v>3</v>
      </c>
      <c r="I4318" s="1">
        <v>9.1268999999999991</v>
      </c>
    </row>
    <row r="4319" spans="1:9" x14ac:dyDescent="0.35">
      <c r="A4319" s="3" t="s">
        <v>3535</v>
      </c>
      <c r="B4319" s="1" t="s">
        <v>300</v>
      </c>
      <c r="C4319" s="1" t="s">
        <v>64</v>
      </c>
      <c r="D4319" s="1" t="s">
        <v>18</v>
      </c>
      <c r="E4319" s="1" t="s">
        <v>87</v>
      </c>
      <c r="F4319" s="2" t="s">
        <v>986</v>
      </c>
      <c r="G4319" s="1">
        <v>167.86</v>
      </c>
      <c r="H4319" s="1">
        <v>2</v>
      </c>
      <c r="I4319" s="1">
        <v>78.894199999999998</v>
      </c>
    </row>
    <row r="4320" spans="1:9" x14ac:dyDescent="0.35">
      <c r="A4320" s="3">
        <v>42928</v>
      </c>
      <c r="B4320" s="1" t="s">
        <v>1087</v>
      </c>
      <c r="C4320" s="1" t="s">
        <v>693</v>
      </c>
      <c r="D4320" s="1" t="s">
        <v>163</v>
      </c>
      <c r="E4320" s="1" t="s">
        <v>29</v>
      </c>
      <c r="F4320" s="2" t="s">
        <v>2746</v>
      </c>
      <c r="G4320" s="1">
        <v>82.38</v>
      </c>
      <c r="H4320" s="1">
        <v>6</v>
      </c>
      <c r="I4320" s="1">
        <v>25.537800000000001</v>
      </c>
    </row>
    <row r="4321" spans="1:9" x14ac:dyDescent="0.35">
      <c r="A4321" s="3" t="s">
        <v>3490</v>
      </c>
      <c r="B4321" s="1" t="s">
        <v>1656</v>
      </c>
      <c r="C4321" s="1" t="s">
        <v>2209</v>
      </c>
      <c r="D4321" s="1" t="s">
        <v>331</v>
      </c>
      <c r="E4321" s="1" t="s">
        <v>33</v>
      </c>
      <c r="F4321" s="2" t="s">
        <v>1898</v>
      </c>
      <c r="G4321" s="1">
        <v>23.975999999999999</v>
      </c>
      <c r="H4321" s="1">
        <v>3</v>
      </c>
      <c r="I4321" s="1">
        <v>-5.6943000000000001</v>
      </c>
    </row>
    <row r="4322" spans="1:9" x14ac:dyDescent="0.35">
      <c r="A4322" s="3" t="s">
        <v>3490</v>
      </c>
      <c r="B4322" s="1" t="s">
        <v>1656</v>
      </c>
      <c r="C4322" s="1" t="s">
        <v>2209</v>
      </c>
      <c r="D4322" s="1" t="s">
        <v>331</v>
      </c>
      <c r="E4322" s="1" t="s">
        <v>26</v>
      </c>
      <c r="F4322" s="2" t="s">
        <v>2144</v>
      </c>
      <c r="G4322" s="1">
        <v>33.29</v>
      </c>
      <c r="H4322" s="1">
        <v>1</v>
      </c>
      <c r="I4322" s="1">
        <v>7.9896000000000003</v>
      </c>
    </row>
    <row r="4323" spans="1:9" x14ac:dyDescent="0.35">
      <c r="A4323" s="3" t="s">
        <v>3536</v>
      </c>
      <c r="B4323" s="1" t="s">
        <v>205</v>
      </c>
      <c r="C4323" s="1" t="s">
        <v>392</v>
      </c>
      <c r="D4323" s="1" t="s">
        <v>250</v>
      </c>
      <c r="E4323" s="1" t="s">
        <v>35</v>
      </c>
      <c r="F4323" s="2" t="s">
        <v>806</v>
      </c>
      <c r="G4323" s="1">
        <v>14.952</v>
      </c>
      <c r="H4323" s="1">
        <v>2</v>
      </c>
      <c r="I4323" s="1">
        <v>-11.961600000000001</v>
      </c>
    </row>
    <row r="4324" spans="1:9" x14ac:dyDescent="0.35">
      <c r="A4324" s="3" t="s">
        <v>3536</v>
      </c>
      <c r="B4324" s="1" t="s">
        <v>205</v>
      </c>
      <c r="C4324" s="1" t="s">
        <v>392</v>
      </c>
      <c r="D4324" s="1" t="s">
        <v>250</v>
      </c>
      <c r="E4324" s="1" t="s">
        <v>33</v>
      </c>
      <c r="F4324" s="2" t="s">
        <v>2318</v>
      </c>
      <c r="G4324" s="1">
        <v>323.98200000000003</v>
      </c>
      <c r="H4324" s="1">
        <v>3</v>
      </c>
      <c r="I4324" s="1">
        <v>-80.995500000000007</v>
      </c>
    </row>
    <row r="4325" spans="1:9" x14ac:dyDescent="0.35">
      <c r="A4325" s="3" t="s">
        <v>3536</v>
      </c>
      <c r="B4325" s="1" t="s">
        <v>205</v>
      </c>
      <c r="C4325" s="1" t="s">
        <v>392</v>
      </c>
      <c r="D4325" s="1" t="s">
        <v>250</v>
      </c>
      <c r="E4325" s="1" t="s">
        <v>35</v>
      </c>
      <c r="F4325" s="2" t="s">
        <v>596</v>
      </c>
      <c r="G4325" s="1">
        <v>2.286</v>
      </c>
      <c r="H4325" s="1">
        <v>2</v>
      </c>
      <c r="I4325" s="1">
        <v>-1.6763999999999999</v>
      </c>
    </row>
    <row r="4326" spans="1:9" x14ac:dyDescent="0.35">
      <c r="A4326" s="3" t="s">
        <v>3536</v>
      </c>
      <c r="B4326" s="1" t="s">
        <v>205</v>
      </c>
      <c r="C4326" s="1" t="s">
        <v>392</v>
      </c>
      <c r="D4326" s="1" t="s">
        <v>250</v>
      </c>
      <c r="E4326" s="1" t="s">
        <v>31</v>
      </c>
      <c r="F4326" s="2" t="s">
        <v>1483</v>
      </c>
      <c r="G4326" s="1">
        <v>14.352</v>
      </c>
      <c r="H4326" s="1">
        <v>3</v>
      </c>
      <c r="I4326" s="1">
        <v>0.89700000000000002</v>
      </c>
    </row>
    <row r="4327" spans="1:9" x14ac:dyDescent="0.35">
      <c r="A4327" s="3" t="s">
        <v>3536</v>
      </c>
      <c r="B4327" s="1" t="s">
        <v>205</v>
      </c>
      <c r="C4327" s="1" t="s">
        <v>392</v>
      </c>
      <c r="D4327" s="1" t="s">
        <v>250</v>
      </c>
      <c r="E4327" s="1" t="s">
        <v>81</v>
      </c>
      <c r="F4327" s="2" t="s">
        <v>1764</v>
      </c>
      <c r="G4327" s="1">
        <v>71.975999999999999</v>
      </c>
      <c r="H4327" s="1">
        <v>3</v>
      </c>
      <c r="I4327" s="1">
        <v>0.89970000000000006</v>
      </c>
    </row>
    <row r="4328" spans="1:9" x14ac:dyDescent="0.35">
      <c r="A4328" s="3" t="s">
        <v>3537</v>
      </c>
      <c r="B4328" s="1" t="s">
        <v>1546</v>
      </c>
      <c r="C4328" s="1" t="s">
        <v>973</v>
      </c>
      <c r="D4328" s="1" t="s">
        <v>388</v>
      </c>
      <c r="E4328" s="1" t="s">
        <v>31</v>
      </c>
      <c r="F4328" s="2" t="s">
        <v>2188</v>
      </c>
      <c r="G4328" s="1">
        <v>9.2100000000000009</v>
      </c>
      <c r="H4328" s="1">
        <v>3</v>
      </c>
      <c r="I4328" s="1">
        <v>2.3025000000000002</v>
      </c>
    </row>
    <row r="4329" spans="1:9" x14ac:dyDescent="0.35">
      <c r="A4329" s="3" t="s">
        <v>3537</v>
      </c>
      <c r="B4329" s="1" t="s">
        <v>1546</v>
      </c>
      <c r="C4329" s="1" t="s">
        <v>973</v>
      </c>
      <c r="D4329" s="1" t="s">
        <v>388</v>
      </c>
      <c r="E4329" s="1" t="s">
        <v>44</v>
      </c>
      <c r="F4329" s="2" t="s">
        <v>2587</v>
      </c>
      <c r="G4329" s="1">
        <v>18</v>
      </c>
      <c r="H4329" s="1">
        <v>5</v>
      </c>
      <c r="I4329" s="1">
        <v>8.2799999999999994</v>
      </c>
    </row>
    <row r="4330" spans="1:9" x14ac:dyDescent="0.35">
      <c r="A4330" s="3">
        <v>42739</v>
      </c>
      <c r="B4330" s="1" t="s">
        <v>1946</v>
      </c>
      <c r="C4330" s="1" t="s">
        <v>135</v>
      </c>
      <c r="D4330" s="1" t="s">
        <v>136</v>
      </c>
      <c r="E4330" s="1" t="s">
        <v>44</v>
      </c>
      <c r="F4330" s="2" t="s">
        <v>2402</v>
      </c>
      <c r="G4330" s="1">
        <v>42.93</v>
      </c>
      <c r="H4330" s="1">
        <v>9</v>
      </c>
      <c r="I4330" s="1">
        <v>19.3185</v>
      </c>
    </row>
    <row r="4331" spans="1:9" x14ac:dyDescent="0.35">
      <c r="A4331" s="3">
        <v>42804</v>
      </c>
      <c r="B4331" s="1" t="s">
        <v>567</v>
      </c>
      <c r="C4331" s="1" t="s">
        <v>1055</v>
      </c>
      <c r="D4331" s="1" t="s">
        <v>23</v>
      </c>
      <c r="E4331" s="1" t="s">
        <v>44</v>
      </c>
      <c r="F4331" s="2" t="s">
        <v>2747</v>
      </c>
      <c r="G4331" s="1">
        <v>15.552</v>
      </c>
      <c r="H4331" s="1">
        <v>3</v>
      </c>
      <c r="I4331" s="1">
        <v>5.4432</v>
      </c>
    </row>
    <row r="4332" spans="1:9" x14ac:dyDescent="0.35">
      <c r="A4332" s="3">
        <v>42804</v>
      </c>
      <c r="B4332" s="1" t="s">
        <v>567</v>
      </c>
      <c r="C4332" s="1" t="s">
        <v>1055</v>
      </c>
      <c r="D4332" s="1" t="s">
        <v>23</v>
      </c>
      <c r="E4332" s="1" t="s">
        <v>37</v>
      </c>
      <c r="F4332" s="2" t="s">
        <v>1004</v>
      </c>
      <c r="G4332" s="1">
        <v>17.920000000000002</v>
      </c>
      <c r="H4332" s="1">
        <v>5</v>
      </c>
      <c r="I4332" s="1">
        <v>1.1200000000000001</v>
      </c>
    </row>
    <row r="4333" spans="1:9" x14ac:dyDescent="0.35">
      <c r="A4333" s="3">
        <v>42744</v>
      </c>
      <c r="B4333" s="1" t="s">
        <v>1073</v>
      </c>
      <c r="C4333" s="1" t="s">
        <v>1910</v>
      </c>
      <c r="D4333" s="1" t="s">
        <v>48</v>
      </c>
      <c r="E4333" s="1" t="s">
        <v>81</v>
      </c>
      <c r="F4333" s="2" t="s">
        <v>198</v>
      </c>
      <c r="G4333" s="1">
        <v>19.989999999999998</v>
      </c>
      <c r="H4333" s="1">
        <v>1</v>
      </c>
      <c r="I4333" s="1">
        <v>6.7965999999999998</v>
      </c>
    </row>
    <row r="4334" spans="1:9" x14ac:dyDescent="0.35">
      <c r="A4334" s="3">
        <v>42744</v>
      </c>
      <c r="B4334" s="1" t="s">
        <v>1073</v>
      </c>
      <c r="C4334" s="1" t="s">
        <v>1910</v>
      </c>
      <c r="D4334" s="1" t="s">
        <v>48</v>
      </c>
      <c r="E4334" s="1" t="s">
        <v>35</v>
      </c>
      <c r="F4334" s="2" t="s">
        <v>2582</v>
      </c>
      <c r="G4334" s="1">
        <v>22.92</v>
      </c>
      <c r="H4334" s="1">
        <v>5</v>
      </c>
      <c r="I4334" s="1">
        <v>8.0220000000000002</v>
      </c>
    </row>
    <row r="4335" spans="1:9" x14ac:dyDescent="0.35">
      <c r="A4335" s="3" t="s">
        <v>3253</v>
      </c>
      <c r="B4335" s="1" t="s">
        <v>2748</v>
      </c>
      <c r="C4335" s="1" t="s">
        <v>2749</v>
      </c>
      <c r="D4335" s="1" t="s">
        <v>23</v>
      </c>
      <c r="E4335" s="1" t="s">
        <v>81</v>
      </c>
      <c r="F4335" s="2" t="s">
        <v>2750</v>
      </c>
      <c r="G4335" s="1">
        <v>50.88</v>
      </c>
      <c r="H4335" s="1">
        <v>6</v>
      </c>
      <c r="I4335" s="1">
        <v>14.628</v>
      </c>
    </row>
    <row r="4336" spans="1:9" x14ac:dyDescent="0.35">
      <c r="A4336" s="3" t="s">
        <v>3253</v>
      </c>
      <c r="B4336" s="1" t="s">
        <v>2748</v>
      </c>
      <c r="C4336" s="1" t="s">
        <v>2749</v>
      </c>
      <c r="D4336" s="1" t="s">
        <v>23</v>
      </c>
      <c r="E4336" s="1" t="s">
        <v>87</v>
      </c>
      <c r="F4336" s="2" t="s">
        <v>1410</v>
      </c>
      <c r="G4336" s="1">
        <v>27.312000000000001</v>
      </c>
      <c r="H4336" s="1">
        <v>2</v>
      </c>
      <c r="I4336" s="1">
        <v>9.2178000000000004</v>
      </c>
    </row>
    <row r="4337" spans="1:9" x14ac:dyDescent="0.35">
      <c r="A4337" s="3" t="s">
        <v>3538</v>
      </c>
      <c r="B4337" s="1" t="s">
        <v>225</v>
      </c>
      <c r="C4337" s="1" t="s">
        <v>2751</v>
      </c>
      <c r="D4337" s="1" t="s">
        <v>158</v>
      </c>
      <c r="E4337" s="1" t="s">
        <v>87</v>
      </c>
      <c r="F4337" s="2" t="s">
        <v>2752</v>
      </c>
      <c r="G4337" s="1">
        <v>7.92</v>
      </c>
      <c r="H4337" s="1">
        <v>1</v>
      </c>
      <c r="I4337" s="1">
        <v>2.7719999999999998</v>
      </c>
    </row>
    <row r="4338" spans="1:9" x14ac:dyDescent="0.35">
      <c r="A4338" s="3" t="s">
        <v>3538</v>
      </c>
      <c r="B4338" s="1" t="s">
        <v>225</v>
      </c>
      <c r="C4338" s="1" t="s">
        <v>2751</v>
      </c>
      <c r="D4338" s="1" t="s">
        <v>158</v>
      </c>
      <c r="E4338" s="1" t="s">
        <v>29</v>
      </c>
      <c r="F4338" s="2" t="s">
        <v>1849</v>
      </c>
      <c r="G4338" s="1">
        <v>14.368</v>
      </c>
      <c r="H4338" s="1">
        <v>2</v>
      </c>
      <c r="I4338" s="1">
        <v>3.9512</v>
      </c>
    </row>
    <row r="4339" spans="1:9" x14ac:dyDescent="0.35">
      <c r="A4339" s="3" t="s">
        <v>3327</v>
      </c>
      <c r="B4339" s="1" t="s">
        <v>99</v>
      </c>
      <c r="C4339" s="1" t="s">
        <v>17</v>
      </c>
      <c r="D4339" s="1" t="s">
        <v>18</v>
      </c>
      <c r="E4339" s="1" t="s">
        <v>81</v>
      </c>
      <c r="F4339" s="2" t="s">
        <v>670</v>
      </c>
      <c r="G4339" s="1">
        <v>107.97</v>
      </c>
      <c r="H4339" s="1">
        <v>3</v>
      </c>
      <c r="I4339" s="1">
        <v>22.6737</v>
      </c>
    </row>
    <row r="4340" spans="1:9" x14ac:dyDescent="0.35">
      <c r="A4340" s="3" t="s">
        <v>3327</v>
      </c>
      <c r="B4340" s="1" t="s">
        <v>99</v>
      </c>
      <c r="C4340" s="1" t="s">
        <v>17</v>
      </c>
      <c r="D4340" s="1" t="s">
        <v>18</v>
      </c>
      <c r="E4340" s="1" t="s">
        <v>44</v>
      </c>
      <c r="F4340" s="2" t="s">
        <v>164</v>
      </c>
      <c r="G4340" s="1">
        <v>113.82</v>
      </c>
      <c r="H4340" s="1">
        <v>3</v>
      </c>
      <c r="I4340" s="1">
        <v>53.495399999999997</v>
      </c>
    </row>
    <row r="4341" spans="1:9" x14ac:dyDescent="0.35">
      <c r="A4341" s="3" t="s">
        <v>3298</v>
      </c>
      <c r="B4341" s="1" t="s">
        <v>2685</v>
      </c>
      <c r="C4341" s="1" t="s">
        <v>306</v>
      </c>
      <c r="D4341" s="1" t="s">
        <v>171</v>
      </c>
      <c r="E4341" s="1" t="s">
        <v>44</v>
      </c>
      <c r="F4341" s="2" t="s">
        <v>1636</v>
      </c>
      <c r="G4341" s="1">
        <v>5.1840000000000002</v>
      </c>
      <c r="H4341" s="1">
        <v>1</v>
      </c>
      <c r="I4341" s="1">
        <v>1.8144</v>
      </c>
    </row>
    <row r="4342" spans="1:9" x14ac:dyDescent="0.35">
      <c r="A4342" s="3" t="s">
        <v>3281</v>
      </c>
      <c r="B4342" s="1" t="s">
        <v>2625</v>
      </c>
      <c r="C4342" s="1" t="s">
        <v>2753</v>
      </c>
      <c r="D4342" s="1" t="s">
        <v>129</v>
      </c>
      <c r="E4342" s="1" t="s">
        <v>31</v>
      </c>
      <c r="F4342" s="2" t="s">
        <v>674</v>
      </c>
      <c r="G4342" s="1">
        <v>16.28</v>
      </c>
      <c r="H4342" s="1">
        <v>2</v>
      </c>
      <c r="I4342" s="1">
        <v>6.5119999999999996</v>
      </c>
    </row>
    <row r="4343" spans="1:9" x14ac:dyDescent="0.35">
      <c r="A4343" s="3" t="s">
        <v>3274</v>
      </c>
      <c r="B4343" s="1" t="s">
        <v>2431</v>
      </c>
      <c r="C4343" s="1" t="s">
        <v>540</v>
      </c>
      <c r="D4343" s="1" t="s">
        <v>163</v>
      </c>
      <c r="E4343" s="1" t="s">
        <v>26</v>
      </c>
      <c r="F4343" s="2" t="s">
        <v>489</v>
      </c>
      <c r="G4343" s="1">
        <v>544.38</v>
      </c>
      <c r="H4343" s="1">
        <v>3</v>
      </c>
      <c r="I4343" s="1">
        <v>157.87020000000001</v>
      </c>
    </row>
    <row r="4344" spans="1:9" x14ac:dyDescent="0.35">
      <c r="A4344" s="3" t="s">
        <v>3539</v>
      </c>
      <c r="B4344" s="1" t="s">
        <v>1602</v>
      </c>
      <c r="C4344" s="1" t="s">
        <v>64</v>
      </c>
      <c r="D4344" s="1" t="s">
        <v>18</v>
      </c>
      <c r="E4344" s="1" t="s">
        <v>35</v>
      </c>
      <c r="F4344" s="2" t="s">
        <v>1548</v>
      </c>
      <c r="G4344" s="1">
        <v>19.824000000000002</v>
      </c>
      <c r="H4344" s="1">
        <v>6</v>
      </c>
      <c r="I4344" s="1">
        <v>6.6905999999999999</v>
      </c>
    </row>
    <row r="4345" spans="1:9" x14ac:dyDescent="0.35">
      <c r="A4345" s="3" t="s">
        <v>3539</v>
      </c>
      <c r="B4345" s="1" t="s">
        <v>1602</v>
      </c>
      <c r="C4345" s="1" t="s">
        <v>64</v>
      </c>
      <c r="D4345" s="1" t="s">
        <v>18</v>
      </c>
      <c r="E4345" s="1" t="s">
        <v>33</v>
      </c>
      <c r="F4345" s="2" t="s">
        <v>1804</v>
      </c>
      <c r="G4345" s="1">
        <v>657.50400000000002</v>
      </c>
      <c r="H4345" s="1">
        <v>6</v>
      </c>
      <c r="I4345" s="1">
        <v>-131.5008</v>
      </c>
    </row>
    <row r="4346" spans="1:9" x14ac:dyDescent="0.35">
      <c r="A4346" s="3" t="s">
        <v>3539</v>
      </c>
      <c r="B4346" s="1" t="s">
        <v>1602</v>
      </c>
      <c r="C4346" s="1" t="s">
        <v>64</v>
      </c>
      <c r="D4346" s="1" t="s">
        <v>18</v>
      </c>
      <c r="E4346" s="1" t="s">
        <v>81</v>
      </c>
      <c r="F4346" s="2" t="s">
        <v>230</v>
      </c>
      <c r="G4346" s="1">
        <v>99.54</v>
      </c>
      <c r="H4346" s="1">
        <v>2</v>
      </c>
      <c r="I4346" s="1">
        <v>10.949400000000001</v>
      </c>
    </row>
    <row r="4347" spans="1:9" x14ac:dyDescent="0.35">
      <c r="A4347" s="3" t="s">
        <v>3539</v>
      </c>
      <c r="B4347" s="1" t="s">
        <v>1602</v>
      </c>
      <c r="C4347" s="1" t="s">
        <v>64</v>
      </c>
      <c r="D4347" s="1" t="s">
        <v>18</v>
      </c>
      <c r="E4347" s="1" t="s">
        <v>81</v>
      </c>
      <c r="F4347" s="2" t="s">
        <v>1895</v>
      </c>
      <c r="G4347" s="1">
        <v>199.96</v>
      </c>
      <c r="H4347" s="1">
        <v>4</v>
      </c>
      <c r="I4347" s="1">
        <v>85.982799999999997</v>
      </c>
    </row>
    <row r="4348" spans="1:9" x14ac:dyDescent="0.35">
      <c r="A4348" s="3" t="s">
        <v>3161</v>
      </c>
      <c r="B4348" s="1" t="s">
        <v>2046</v>
      </c>
      <c r="C4348" s="1" t="s">
        <v>710</v>
      </c>
      <c r="D4348" s="1" t="s">
        <v>136</v>
      </c>
      <c r="E4348" s="1" t="s">
        <v>14</v>
      </c>
      <c r="F4348" s="2" t="s">
        <v>1150</v>
      </c>
      <c r="G4348" s="1">
        <v>631.78200000000004</v>
      </c>
      <c r="H4348" s="1">
        <v>2</v>
      </c>
      <c r="I4348" s="1">
        <v>140.39599999999999</v>
      </c>
    </row>
    <row r="4349" spans="1:9" x14ac:dyDescent="0.35">
      <c r="A4349" s="3" t="s">
        <v>3161</v>
      </c>
      <c r="B4349" s="1" t="s">
        <v>2046</v>
      </c>
      <c r="C4349" s="1" t="s">
        <v>710</v>
      </c>
      <c r="D4349" s="1" t="s">
        <v>136</v>
      </c>
      <c r="E4349" s="1" t="s">
        <v>29</v>
      </c>
      <c r="F4349" s="2" t="s">
        <v>2754</v>
      </c>
      <c r="G4349" s="1">
        <v>60.72</v>
      </c>
      <c r="H4349" s="1">
        <v>3</v>
      </c>
      <c r="I4349" s="1">
        <v>26.1096</v>
      </c>
    </row>
    <row r="4350" spans="1:9" x14ac:dyDescent="0.35">
      <c r="A4350" s="3" t="s">
        <v>3207</v>
      </c>
      <c r="B4350" s="1" t="s">
        <v>2139</v>
      </c>
      <c r="C4350" s="1" t="s">
        <v>849</v>
      </c>
      <c r="D4350" s="1" t="s">
        <v>158</v>
      </c>
      <c r="E4350" s="1" t="s">
        <v>35</v>
      </c>
      <c r="F4350" s="2" t="s">
        <v>1151</v>
      </c>
      <c r="G4350" s="1">
        <v>20.724</v>
      </c>
      <c r="H4350" s="1">
        <v>2</v>
      </c>
      <c r="I4350" s="1">
        <v>-15.1976</v>
      </c>
    </row>
    <row r="4351" spans="1:9" x14ac:dyDescent="0.35">
      <c r="A4351" s="3" t="s">
        <v>3207</v>
      </c>
      <c r="B4351" s="1" t="s">
        <v>2139</v>
      </c>
      <c r="C4351" s="1" t="s">
        <v>849</v>
      </c>
      <c r="D4351" s="1" t="s">
        <v>158</v>
      </c>
      <c r="E4351" s="1" t="s">
        <v>26</v>
      </c>
      <c r="F4351" s="2" t="s">
        <v>726</v>
      </c>
      <c r="G4351" s="1">
        <v>415.87200000000001</v>
      </c>
      <c r="H4351" s="1">
        <v>8</v>
      </c>
      <c r="I4351" s="1">
        <v>-41.587200000000003</v>
      </c>
    </row>
    <row r="4352" spans="1:9" x14ac:dyDescent="0.35">
      <c r="A4352" s="3">
        <v>43043</v>
      </c>
      <c r="B4352" s="1" t="s">
        <v>2503</v>
      </c>
      <c r="C4352" s="1" t="s">
        <v>1114</v>
      </c>
      <c r="D4352" s="1" t="s">
        <v>250</v>
      </c>
      <c r="E4352" s="1" t="s">
        <v>26</v>
      </c>
      <c r="F4352" s="2" t="s">
        <v>850</v>
      </c>
      <c r="G4352" s="1">
        <v>16.768000000000001</v>
      </c>
      <c r="H4352" s="1">
        <v>2</v>
      </c>
      <c r="I4352" s="1">
        <v>1.4672000000000001</v>
      </c>
    </row>
    <row r="4353" spans="1:9" x14ac:dyDescent="0.35">
      <c r="A4353" s="3">
        <v>43043</v>
      </c>
      <c r="B4353" s="1" t="s">
        <v>2503</v>
      </c>
      <c r="C4353" s="1" t="s">
        <v>1114</v>
      </c>
      <c r="D4353" s="1" t="s">
        <v>250</v>
      </c>
      <c r="E4353" s="1" t="s">
        <v>81</v>
      </c>
      <c r="F4353" s="2" t="s">
        <v>1156</v>
      </c>
      <c r="G4353" s="1">
        <v>27.12</v>
      </c>
      <c r="H4353" s="1">
        <v>2</v>
      </c>
      <c r="I4353" s="1">
        <v>-4.7460000000000004</v>
      </c>
    </row>
    <row r="4354" spans="1:9" x14ac:dyDescent="0.35">
      <c r="A4354" s="3">
        <v>43020</v>
      </c>
      <c r="B4354" s="1" t="s">
        <v>2755</v>
      </c>
      <c r="C4354" s="1" t="s">
        <v>2061</v>
      </c>
      <c r="D4354" s="1" t="s">
        <v>18</v>
      </c>
      <c r="E4354" s="1" t="s">
        <v>33</v>
      </c>
      <c r="F4354" s="2" t="s">
        <v>2695</v>
      </c>
      <c r="G4354" s="1">
        <v>95.84</v>
      </c>
      <c r="H4354" s="1">
        <v>4</v>
      </c>
      <c r="I4354" s="1">
        <v>34.741999999999997</v>
      </c>
    </row>
    <row r="4355" spans="1:9" x14ac:dyDescent="0.35">
      <c r="A4355" s="3">
        <v>43020</v>
      </c>
      <c r="B4355" s="1" t="s">
        <v>2755</v>
      </c>
      <c r="C4355" s="1" t="s">
        <v>2061</v>
      </c>
      <c r="D4355" s="1" t="s">
        <v>18</v>
      </c>
      <c r="E4355" s="1" t="s">
        <v>44</v>
      </c>
      <c r="F4355" s="2" t="s">
        <v>911</v>
      </c>
      <c r="G4355" s="1">
        <v>12.96</v>
      </c>
      <c r="H4355" s="1">
        <v>2</v>
      </c>
      <c r="I4355" s="1">
        <v>6.2207999999999997</v>
      </c>
    </row>
    <row r="4356" spans="1:9" x14ac:dyDescent="0.35">
      <c r="A4356" s="3" t="s">
        <v>3207</v>
      </c>
      <c r="B4356" s="1" t="s">
        <v>1960</v>
      </c>
      <c r="C4356" s="1" t="s">
        <v>1121</v>
      </c>
      <c r="D4356" s="1" t="s">
        <v>43</v>
      </c>
      <c r="E4356" s="1" t="s">
        <v>35</v>
      </c>
      <c r="F4356" s="2" t="s">
        <v>1280</v>
      </c>
      <c r="G4356" s="1">
        <v>19.007999999999999</v>
      </c>
      <c r="H4356" s="1">
        <v>8</v>
      </c>
      <c r="I4356" s="1">
        <v>-12.672000000000001</v>
      </c>
    </row>
    <row r="4357" spans="1:9" x14ac:dyDescent="0.35">
      <c r="A4357" s="3">
        <v>42106</v>
      </c>
      <c r="B4357" s="1" t="s">
        <v>793</v>
      </c>
      <c r="C4357" s="1" t="s">
        <v>2172</v>
      </c>
      <c r="D4357" s="1" t="s">
        <v>171</v>
      </c>
      <c r="E4357" s="1" t="s">
        <v>35</v>
      </c>
      <c r="F4357" s="2" t="s">
        <v>1202</v>
      </c>
      <c r="G4357" s="1">
        <v>1598.058</v>
      </c>
      <c r="H4357" s="1">
        <v>7</v>
      </c>
      <c r="I4357" s="1">
        <v>-1065.3720000000001</v>
      </c>
    </row>
    <row r="4358" spans="1:9" x14ac:dyDescent="0.35">
      <c r="A4358" s="3">
        <v>42106</v>
      </c>
      <c r="B4358" s="1" t="s">
        <v>793</v>
      </c>
      <c r="C4358" s="1" t="s">
        <v>2172</v>
      </c>
      <c r="D4358" s="1" t="s">
        <v>171</v>
      </c>
      <c r="E4358" s="1" t="s">
        <v>31</v>
      </c>
      <c r="F4358" s="2" t="s">
        <v>1194</v>
      </c>
      <c r="G4358" s="1">
        <v>36.96</v>
      </c>
      <c r="H4358" s="1">
        <v>4</v>
      </c>
      <c r="I4358" s="1">
        <v>12.012</v>
      </c>
    </row>
    <row r="4359" spans="1:9" x14ac:dyDescent="0.35">
      <c r="A4359" s="3">
        <v>43051</v>
      </c>
      <c r="B4359" s="1" t="s">
        <v>2250</v>
      </c>
      <c r="C4359" s="1" t="s">
        <v>228</v>
      </c>
      <c r="D4359" s="1" t="s">
        <v>106</v>
      </c>
      <c r="E4359" s="1" t="s">
        <v>44</v>
      </c>
      <c r="F4359" s="2" t="s">
        <v>552</v>
      </c>
      <c r="G4359" s="1">
        <v>10.368</v>
      </c>
      <c r="H4359" s="1">
        <v>2</v>
      </c>
      <c r="I4359" s="1">
        <v>3.6288</v>
      </c>
    </row>
    <row r="4360" spans="1:9" x14ac:dyDescent="0.35">
      <c r="A4360" s="3">
        <v>43051</v>
      </c>
      <c r="B4360" s="1" t="s">
        <v>2250</v>
      </c>
      <c r="C4360" s="1" t="s">
        <v>228</v>
      </c>
      <c r="D4360" s="1" t="s">
        <v>106</v>
      </c>
      <c r="E4360" s="1" t="s">
        <v>29</v>
      </c>
      <c r="F4360" s="2" t="s">
        <v>1099</v>
      </c>
      <c r="G4360" s="1">
        <v>77.72</v>
      </c>
      <c r="H4360" s="1">
        <v>1</v>
      </c>
      <c r="I4360" s="1">
        <v>-66.061999999999998</v>
      </c>
    </row>
    <row r="4361" spans="1:9" x14ac:dyDescent="0.35">
      <c r="A4361" s="3">
        <v>43051</v>
      </c>
      <c r="B4361" s="1" t="s">
        <v>2250</v>
      </c>
      <c r="C4361" s="1" t="s">
        <v>228</v>
      </c>
      <c r="D4361" s="1" t="s">
        <v>106</v>
      </c>
      <c r="E4361" s="1" t="s">
        <v>14</v>
      </c>
      <c r="F4361" s="2" t="s">
        <v>1474</v>
      </c>
      <c r="G4361" s="1">
        <v>520.46400000000006</v>
      </c>
      <c r="H4361" s="1">
        <v>2</v>
      </c>
      <c r="I4361" s="1">
        <v>-14.8704</v>
      </c>
    </row>
    <row r="4362" spans="1:9" x14ac:dyDescent="0.35">
      <c r="A4362" s="3" t="s">
        <v>3540</v>
      </c>
      <c r="B4362" s="1" t="s">
        <v>1088</v>
      </c>
      <c r="C4362" s="1" t="s">
        <v>662</v>
      </c>
      <c r="D4362" s="1" t="s">
        <v>663</v>
      </c>
      <c r="E4362" s="1" t="s">
        <v>44</v>
      </c>
      <c r="F4362" s="2" t="s">
        <v>94</v>
      </c>
      <c r="G4362" s="1">
        <v>111.96</v>
      </c>
      <c r="H4362" s="1">
        <v>2</v>
      </c>
      <c r="I4362" s="1">
        <v>54.860399999999998</v>
      </c>
    </row>
    <row r="4363" spans="1:9" x14ac:dyDescent="0.35">
      <c r="A4363" s="3" t="s">
        <v>3463</v>
      </c>
      <c r="B4363" s="1" t="s">
        <v>1212</v>
      </c>
      <c r="C4363" s="1" t="s">
        <v>1799</v>
      </c>
      <c r="D4363" s="1" t="s">
        <v>362</v>
      </c>
      <c r="E4363" s="1" t="s">
        <v>33</v>
      </c>
      <c r="F4363" s="2" t="s">
        <v>265</v>
      </c>
      <c r="G4363" s="1">
        <v>29.16</v>
      </c>
      <c r="H4363" s="1">
        <v>3</v>
      </c>
      <c r="I4363" s="1">
        <v>8.4564000000000004</v>
      </c>
    </row>
    <row r="4364" spans="1:9" x14ac:dyDescent="0.35">
      <c r="A4364" s="3" t="s">
        <v>3541</v>
      </c>
      <c r="B4364" s="1" t="s">
        <v>1432</v>
      </c>
      <c r="C4364" s="1" t="s">
        <v>2756</v>
      </c>
      <c r="D4364" s="1" t="s">
        <v>2757</v>
      </c>
      <c r="E4364" s="1" t="s">
        <v>31</v>
      </c>
      <c r="F4364" s="2" t="s">
        <v>737</v>
      </c>
      <c r="G4364" s="1">
        <v>131.94</v>
      </c>
      <c r="H4364" s="1">
        <v>3</v>
      </c>
      <c r="I4364" s="1">
        <v>35.623800000000003</v>
      </c>
    </row>
    <row r="4365" spans="1:9" x14ac:dyDescent="0.35">
      <c r="A4365" s="3" t="s">
        <v>3541</v>
      </c>
      <c r="B4365" s="1" t="s">
        <v>1432</v>
      </c>
      <c r="C4365" s="1" t="s">
        <v>2756</v>
      </c>
      <c r="D4365" s="1" t="s">
        <v>2757</v>
      </c>
      <c r="E4365" s="1" t="s">
        <v>31</v>
      </c>
      <c r="F4365" s="2" t="s">
        <v>593</v>
      </c>
      <c r="G4365" s="1">
        <v>25.92</v>
      </c>
      <c r="H4365" s="1">
        <v>4</v>
      </c>
      <c r="I4365" s="1">
        <v>8.2943999999999996</v>
      </c>
    </row>
    <row r="4366" spans="1:9" x14ac:dyDescent="0.35">
      <c r="A4366" s="3" t="s">
        <v>3541</v>
      </c>
      <c r="B4366" s="1" t="s">
        <v>1432</v>
      </c>
      <c r="C4366" s="1" t="s">
        <v>2756</v>
      </c>
      <c r="D4366" s="1" t="s">
        <v>2757</v>
      </c>
      <c r="E4366" s="1" t="s">
        <v>26</v>
      </c>
      <c r="F4366" s="2" t="s">
        <v>1241</v>
      </c>
      <c r="G4366" s="1">
        <v>704.76</v>
      </c>
      <c r="H4366" s="1">
        <v>4</v>
      </c>
      <c r="I4366" s="1">
        <v>162.09479999999999</v>
      </c>
    </row>
    <row r="4367" spans="1:9" x14ac:dyDescent="0.35">
      <c r="A4367" s="3" t="s">
        <v>3541</v>
      </c>
      <c r="B4367" s="1" t="s">
        <v>1432</v>
      </c>
      <c r="C4367" s="1" t="s">
        <v>2756</v>
      </c>
      <c r="D4367" s="1" t="s">
        <v>2757</v>
      </c>
      <c r="E4367" s="1" t="s">
        <v>137</v>
      </c>
      <c r="F4367" s="2" t="s">
        <v>281</v>
      </c>
      <c r="G4367" s="1">
        <v>7.41</v>
      </c>
      <c r="H4367" s="1">
        <v>3</v>
      </c>
      <c r="I4367" s="1">
        <v>3.4826999999999999</v>
      </c>
    </row>
    <row r="4368" spans="1:9" x14ac:dyDescent="0.35">
      <c r="A4368" s="3" t="s">
        <v>3541</v>
      </c>
      <c r="B4368" s="1" t="s">
        <v>1432</v>
      </c>
      <c r="C4368" s="1" t="s">
        <v>2756</v>
      </c>
      <c r="D4368" s="1" t="s">
        <v>2757</v>
      </c>
      <c r="E4368" s="1" t="s">
        <v>31</v>
      </c>
      <c r="F4368" s="2" t="s">
        <v>2564</v>
      </c>
      <c r="G4368" s="1">
        <v>21.5</v>
      </c>
      <c r="H4368" s="1">
        <v>10</v>
      </c>
      <c r="I4368" s="1">
        <v>7.0949999999999998</v>
      </c>
    </row>
    <row r="4369" spans="1:9" x14ac:dyDescent="0.35">
      <c r="A4369" s="3">
        <v>43048</v>
      </c>
      <c r="B4369" s="1" t="s">
        <v>300</v>
      </c>
      <c r="C4369" s="1" t="s">
        <v>154</v>
      </c>
      <c r="D4369" s="1" t="s">
        <v>106</v>
      </c>
      <c r="E4369" s="1" t="s">
        <v>137</v>
      </c>
      <c r="F4369" s="2" t="s">
        <v>2189</v>
      </c>
      <c r="G4369" s="1">
        <v>10.528</v>
      </c>
      <c r="H4369" s="1">
        <v>4</v>
      </c>
      <c r="I4369" s="1">
        <v>3.29</v>
      </c>
    </row>
    <row r="4370" spans="1:9" x14ac:dyDescent="0.35">
      <c r="A4370" s="3">
        <v>43048</v>
      </c>
      <c r="B4370" s="1" t="s">
        <v>300</v>
      </c>
      <c r="C4370" s="1" t="s">
        <v>154</v>
      </c>
      <c r="D4370" s="1" t="s">
        <v>106</v>
      </c>
      <c r="E4370" s="1" t="s">
        <v>44</v>
      </c>
      <c r="F4370" s="2" t="s">
        <v>1109</v>
      </c>
      <c r="G4370" s="1">
        <v>20.544</v>
      </c>
      <c r="H4370" s="1">
        <v>6</v>
      </c>
      <c r="I4370" s="1">
        <v>6.42</v>
      </c>
    </row>
    <row r="4371" spans="1:9" x14ac:dyDescent="0.35">
      <c r="A4371" s="3">
        <v>42501</v>
      </c>
      <c r="B4371" s="1" t="s">
        <v>2425</v>
      </c>
      <c r="C4371" s="1" t="s">
        <v>700</v>
      </c>
      <c r="D4371" s="1" t="s">
        <v>129</v>
      </c>
      <c r="E4371" s="1" t="s">
        <v>35</v>
      </c>
      <c r="F4371" s="2" t="s">
        <v>962</v>
      </c>
      <c r="G4371" s="1">
        <v>104.9</v>
      </c>
      <c r="H4371" s="1">
        <v>5</v>
      </c>
      <c r="I4371" s="1">
        <v>50.351999999999997</v>
      </c>
    </row>
    <row r="4372" spans="1:9" x14ac:dyDescent="0.35">
      <c r="A4372" s="3">
        <v>42501</v>
      </c>
      <c r="B4372" s="1" t="s">
        <v>2425</v>
      </c>
      <c r="C4372" s="1" t="s">
        <v>700</v>
      </c>
      <c r="D4372" s="1" t="s">
        <v>129</v>
      </c>
      <c r="E4372" s="1" t="s">
        <v>31</v>
      </c>
      <c r="F4372" s="2" t="s">
        <v>2615</v>
      </c>
      <c r="G4372" s="1">
        <v>39.68</v>
      </c>
      <c r="H4372" s="1">
        <v>2</v>
      </c>
      <c r="I4372" s="1">
        <v>16.268799999999999</v>
      </c>
    </row>
    <row r="4373" spans="1:9" x14ac:dyDescent="0.35">
      <c r="A4373" s="3">
        <v>42501</v>
      </c>
      <c r="B4373" s="1" t="s">
        <v>2425</v>
      </c>
      <c r="C4373" s="1" t="s">
        <v>700</v>
      </c>
      <c r="D4373" s="1" t="s">
        <v>129</v>
      </c>
      <c r="E4373" s="1" t="s">
        <v>19</v>
      </c>
      <c r="F4373" s="2" t="s">
        <v>2758</v>
      </c>
      <c r="G4373" s="1">
        <v>51.75</v>
      </c>
      <c r="H4373" s="1">
        <v>5</v>
      </c>
      <c r="I4373" s="1">
        <v>24.84</v>
      </c>
    </row>
    <row r="4374" spans="1:9" x14ac:dyDescent="0.35">
      <c r="A4374" s="3" t="s">
        <v>3542</v>
      </c>
      <c r="B4374" s="1" t="s">
        <v>122</v>
      </c>
      <c r="C4374" s="1" t="s">
        <v>2759</v>
      </c>
      <c r="D4374" s="1" t="s">
        <v>129</v>
      </c>
      <c r="E4374" s="1" t="s">
        <v>31</v>
      </c>
      <c r="F4374" s="2" t="s">
        <v>481</v>
      </c>
      <c r="G4374" s="1">
        <v>11.68</v>
      </c>
      <c r="H4374" s="1">
        <v>2</v>
      </c>
      <c r="I4374" s="1">
        <v>5.4896000000000003</v>
      </c>
    </row>
    <row r="4375" spans="1:9" x14ac:dyDescent="0.35">
      <c r="A4375" s="3" t="s">
        <v>3542</v>
      </c>
      <c r="B4375" s="1" t="s">
        <v>122</v>
      </c>
      <c r="C4375" s="1" t="s">
        <v>2759</v>
      </c>
      <c r="D4375" s="1" t="s">
        <v>129</v>
      </c>
      <c r="E4375" s="1" t="s">
        <v>81</v>
      </c>
      <c r="F4375" s="2" t="s">
        <v>2600</v>
      </c>
      <c r="G4375" s="1">
        <v>159.75</v>
      </c>
      <c r="H4375" s="1">
        <v>5</v>
      </c>
      <c r="I4375" s="1">
        <v>11.182499999999999</v>
      </c>
    </row>
    <row r="4376" spans="1:9" x14ac:dyDescent="0.35">
      <c r="A4376" s="3" t="s">
        <v>3182</v>
      </c>
      <c r="B4376" s="1" t="s">
        <v>474</v>
      </c>
      <c r="C4376" s="1" t="s">
        <v>1793</v>
      </c>
      <c r="D4376" s="1" t="s">
        <v>250</v>
      </c>
      <c r="E4376" s="1" t="s">
        <v>37</v>
      </c>
      <c r="F4376" s="2" t="s">
        <v>2760</v>
      </c>
      <c r="G4376" s="1">
        <v>103.968</v>
      </c>
      <c r="H4376" s="1">
        <v>6</v>
      </c>
      <c r="I4376" s="1">
        <v>16.8948</v>
      </c>
    </row>
    <row r="4377" spans="1:9" x14ac:dyDescent="0.35">
      <c r="A4377" s="3" t="s">
        <v>3240</v>
      </c>
      <c r="B4377" s="1" t="s">
        <v>1644</v>
      </c>
      <c r="C4377" s="1" t="s">
        <v>2761</v>
      </c>
      <c r="D4377" s="1" t="s">
        <v>18</v>
      </c>
      <c r="E4377" s="1" t="s">
        <v>29</v>
      </c>
      <c r="F4377" s="2" t="s">
        <v>173</v>
      </c>
      <c r="G4377" s="1">
        <v>303.25</v>
      </c>
      <c r="H4377" s="1">
        <v>5</v>
      </c>
      <c r="I4377" s="1">
        <v>63.682499999999997</v>
      </c>
    </row>
    <row r="4378" spans="1:9" x14ac:dyDescent="0.35">
      <c r="A4378" s="3" t="s">
        <v>3240</v>
      </c>
      <c r="B4378" s="1" t="s">
        <v>1644</v>
      </c>
      <c r="C4378" s="1" t="s">
        <v>2761</v>
      </c>
      <c r="D4378" s="1" t="s">
        <v>18</v>
      </c>
      <c r="E4378" s="1" t="s">
        <v>37</v>
      </c>
      <c r="F4378" s="2" t="s">
        <v>2131</v>
      </c>
      <c r="G4378" s="1">
        <v>270.72000000000003</v>
      </c>
      <c r="H4378" s="1">
        <v>3</v>
      </c>
      <c r="I4378" s="1">
        <v>78.508799999999994</v>
      </c>
    </row>
    <row r="4379" spans="1:9" x14ac:dyDescent="0.35">
      <c r="A4379" s="3" t="s">
        <v>3240</v>
      </c>
      <c r="B4379" s="1" t="s">
        <v>1644</v>
      </c>
      <c r="C4379" s="1" t="s">
        <v>2761</v>
      </c>
      <c r="D4379" s="1" t="s">
        <v>18</v>
      </c>
      <c r="E4379" s="1" t="s">
        <v>14</v>
      </c>
      <c r="F4379" s="2" t="s">
        <v>1474</v>
      </c>
      <c r="G4379" s="1">
        <v>1487.04</v>
      </c>
      <c r="H4379" s="1">
        <v>5</v>
      </c>
      <c r="I4379" s="1">
        <v>148.70400000000001</v>
      </c>
    </row>
    <row r="4380" spans="1:9" x14ac:dyDescent="0.35">
      <c r="A4380" s="3" t="s">
        <v>3301</v>
      </c>
      <c r="B4380" s="1" t="s">
        <v>153</v>
      </c>
      <c r="C4380" s="1" t="s">
        <v>10</v>
      </c>
      <c r="D4380" s="1" t="s">
        <v>11</v>
      </c>
      <c r="E4380" s="1" t="s">
        <v>87</v>
      </c>
      <c r="F4380" s="2" t="s">
        <v>1299</v>
      </c>
      <c r="G4380" s="1">
        <v>17.48</v>
      </c>
      <c r="H4380" s="1">
        <v>2</v>
      </c>
      <c r="I4380" s="1">
        <v>8.2156000000000002</v>
      </c>
    </row>
    <row r="4381" spans="1:9" x14ac:dyDescent="0.35">
      <c r="A4381" s="3" t="s">
        <v>3301</v>
      </c>
      <c r="B4381" s="1" t="s">
        <v>153</v>
      </c>
      <c r="C4381" s="1" t="s">
        <v>10</v>
      </c>
      <c r="D4381" s="1" t="s">
        <v>11</v>
      </c>
      <c r="E4381" s="1" t="s">
        <v>87</v>
      </c>
      <c r="F4381" s="2" t="s">
        <v>1428</v>
      </c>
      <c r="G4381" s="1">
        <v>71.88</v>
      </c>
      <c r="H4381" s="1">
        <v>2</v>
      </c>
      <c r="I4381" s="1">
        <v>32.345999999999997</v>
      </c>
    </row>
    <row r="4382" spans="1:9" x14ac:dyDescent="0.35">
      <c r="A4382" s="3" t="s">
        <v>3543</v>
      </c>
      <c r="B4382" s="1" t="s">
        <v>2073</v>
      </c>
      <c r="C4382" s="1" t="s">
        <v>64</v>
      </c>
      <c r="D4382" s="1" t="s">
        <v>18</v>
      </c>
      <c r="E4382" s="1" t="s">
        <v>31</v>
      </c>
      <c r="F4382" s="2" t="s">
        <v>1104</v>
      </c>
      <c r="G4382" s="1">
        <v>60.45</v>
      </c>
      <c r="H4382" s="1">
        <v>3</v>
      </c>
      <c r="I4382" s="1">
        <v>16.3215</v>
      </c>
    </row>
    <row r="4383" spans="1:9" x14ac:dyDescent="0.35">
      <c r="A4383" s="3" t="s">
        <v>3543</v>
      </c>
      <c r="B4383" s="1" t="s">
        <v>2073</v>
      </c>
      <c r="C4383" s="1" t="s">
        <v>64</v>
      </c>
      <c r="D4383" s="1" t="s">
        <v>18</v>
      </c>
      <c r="E4383" s="1" t="s">
        <v>24</v>
      </c>
      <c r="F4383" s="2" t="s">
        <v>794</v>
      </c>
      <c r="G4383" s="1">
        <v>253.17599999999999</v>
      </c>
      <c r="H4383" s="1">
        <v>3</v>
      </c>
      <c r="I4383" s="1">
        <v>-31.646999999999998</v>
      </c>
    </row>
    <row r="4384" spans="1:9" x14ac:dyDescent="0.35">
      <c r="A4384" s="3" t="s">
        <v>3544</v>
      </c>
      <c r="B4384" s="1" t="s">
        <v>630</v>
      </c>
      <c r="C4384" s="1" t="s">
        <v>2407</v>
      </c>
      <c r="D4384" s="1" t="s">
        <v>106</v>
      </c>
      <c r="E4384" s="1" t="s">
        <v>35</v>
      </c>
      <c r="F4384" s="2" t="s">
        <v>1083</v>
      </c>
      <c r="G4384" s="1">
        <v>2.88</v>
      </c>
      <c r="H4384" s="1">
        <v>5</v>
      </c>
      <c r="I4384" s="1">
        <v>-4.4640000000000004</v>
      </c>
    </row>
    <row r="4385" spans="1:9" x14ac:dyDescent="0.35">
      <c r="A4385" s="3" t="s">
        <v>3544</v>
      </c>
      <c r="B4385" s="1" t="s">
        <v>630</v>
      </c>
      <c r="C4385" s="1" t="s">
        <v>2407</v>
      </c>
      <c r="D4385" s="1" t="s">
        <v>106</v>
      </c>
      <c r="E4385" s="1" t="s">
        <v>12</v>
      </c>
      <c r="F4385" s="2" t="s">
        <v>2762</v>
      </c>
      <c r="G4385" s="1">
        <v>384.94400000000002</v>
      </c>
      <c r="H4385" s="1">
        <v>4</v>
      </c>
      <c r="I4385" s="1">
        <v>-126.4816</v>
      </c>
    </row>
    <row r="4386" spans="1:9" x14ac:dyDescent="0.35">
      <c r="A4386" s="3" t="s">
        <v>3544</v>
      </c>
      <c r="B4386" s="1" t="s">
        <v>630</v>
      </c>
      <c r="C4386" s="1" t="s">
        <v>2407</v>
      </c>
      <c r="D4386" s="1" t="s">
        <v>106</v>
      </c>
      <c r="E4386" s="1" t="s">
        <v>33</v>
      </c>
      <c r="F4386" s="2" t="s">
        <v>1162</v>
      </c>
      <c r="G4386" s="1">
        <v>153.584</v>
      </c>
      <c r="H4386" s="1">
        <v>2</v>
      </c>
      <c r="I4386" s="1">
        <v>13.438599999999999</v>
      </c>
    </row>
    <row r="4387" spans="1:9" x14ac:dyDescent="0.35">
      <c r="A4387" s="3" t="s">
        <v>3544</v>
      </c>
      <c r="B4387" s="1" t="s">
        <v>630</v>
      </c>
      <c r="C4387" s="1" t="s">
        <v>2407</v>
      </c>
      <c r="D4387" s="1" t="s">
        <v>106</v>
      </c>
      <c r="E4387" s="1" t="s">
        <v>12</v>
      </c>
      <c r="F4387" s="2" t="s">
        <v>101</v>
      </c>
      <c r="G4387" s="1">
        <v>913.43</v>
      </c>
      <c r="H4387" s="1">
        <v>5</v>
      </c>
      <c r="I4387" s="1">
        <v>-52.195999999999998</v>
      </c>
    </row>
    <row r="4388" spans="1:9" x14ac:dyDescent="0.35">
      <c r="A4388" s="3" t="s">
        <v>3545</v>
      </c>
      <c r="B4388" s="1" t="s">
        <v>654</v>
      </c>
      <c r="C4388" s="1" t="s">
        <v>64</v>
      </c>
      <c r="D4388" s="1" t="s">
        <v>18</v>
      </c>
      <c r="E4388" s="1" t="s">
        <v>37</v>
      </c>
      <c r="F4388" s="2" t="s">
        <v>676</v>
      </c>
      <c r="G4388" s="1">
        <v>43.92</v>
      </c>
      <c r="H4388" s="1">
        <v>4</v>
      </c>
      <c r="I4388" s="1">
        <v>11.8584</v>
      </c>
    </row>
    <row r="4389" spans="1:9" x14ac:dyDescent="0.35">
      <c r="A4389" s="3" t="s">
        <v>3545</v>
      </c>
      <c r="B4389" s="1" t="s">
        <v>654</v>
      </c>
      <c r="C4389" s="1" t="s">
        <v>64</v>
      </c>
      <c r="D4389" s="1" t="s">
        <v>18</v>
      </c>
      <c r="E4389" s="1" t="s">
        <v>35</v>
      </c>
      <c r="F4389" s="2" t="s">
        <v>1876</v>
      </c>
      <c r="G4389" s="1">
        <v>25.032</v>
      </c>
      <c r="H4389" s="1">
        <v>3</v>
      </c>
      <c r="I4389" s="1">
        <v>7.8224999999999998</v>
      </c>
    </row>
    <row r="4390" spans="1:9" x14ac:dyDescent="0.35">
      <c r="A4390" s="3" t="s">
        <v>3256</v>
      </c>
      <c r="B4390" s="1" t="s">
        <v>1128</v>
      </c>
      <c r="C4390" s="1" t="s">
        <v>135</v>
      </c>
      <c r="D4390" s="1" t="s">
        <v>136</v>
      </c>
      <c r="E4390" s="1" t="s">
        <v>44</v>
      </c>
      <c r="F4390" s="2" t="s">
        <v>1148</v>
      </c>
      <c r="G4390" s="1">
        <v>46.76</v>
      </c>
      <c r="H4390" s="1">
        <v>7</v>
      </c>
      <c r="I4390" s="1">
        <v>22.444800000000001</v>
      </c>
    </row>
    <row r="4391" spans="1:9" x14ac:dyDescent="0.35">
      <c r="A4391" s="3" t="s">
        <v>3256</v>
      </c>
      <c r="B4391" s="1" t="s">
        <v>1128</v>
      </c>
      <c r="C4391" s="1" t="s">
        <v>135</v>
      </c>
      <c r="D4391" s="1" t="s">
        <v>136</v>
      </c>
      <c r="E4391" s="1" t="s">
        <v>12</v>
      </c>
      <c r="F4391" s="2" t="s">
        <v>1869</v>
      </c>
      <c r="G4391" s="1">
        <v>183.96799999999999</v>
      </c>
      <c r="H4391" s="1">
        <v>2</v>
      </c>
      <c r="I4391" s="1">
        <v>-25.2956</v>
      </c>
    </row>
    <row r="4392" spans="1:9" x14ac:dyDescent="0.35">
      <c r="A4392" s="3" t="s">
        <v>3256</v>
      </c>
      <c r="B4392" s="1" t="s">
        <v>1128</v>
      </c>
      <c r="C4392" s="1" t="s">
        <v>135</v>
      </c>
      <c r="D4392" s="1" t="s">
        <v>136</v>
      </c>
      <c r="E4392" s="1" t="s">
        <v>33</v>
      </c>
      <c r="F4392" s="2" t="s">
        <v>2424</v>
      </c>
      <c r="G4392" s="1">
        <v>1259.97</v>
      </c>
      <c r="H4392" s="1">
        <v>3</v>
      </c>
      <c r="I4392" s="1">
        <v>327.59219999999999</v>
      </c>
    </row>
    <row r="4393" spans="1:9" x14ac:dyDescent="0.35">
      <c r="A4393" s="3" t="s">
        <v>3256</v>
      </c>
      <c r="B4393" s="1" t="s">
        <v>1128</v>
      </c>
      <c r="C4393" s="1" t="s">
        <v>135</v>
      </c>
      <c r="D4393" s="1" t="s">
        <v>136</v>
      </c>
      <c r="E4393" s="1" t="s">
        <v>31</v>
      </c>
      <c r="F4393" s="2" t="s">
        <v>2050</v>
      </c>
      <c r="G4393" s="1">
        <v>68.97</v>
      </c>
      <c r="H4393" s="1">
        <v>3</v>
      </c>
      <c r="I4393" s="1">
        <v>19.311599999999999</v>
      </c>
    </row>
    <row r="4394" spans="1:9" x14ac:dyDescent="0.35">
      <c r="A4394" s="3">
        <v>42591</v>
      </c>
      <c r="B4394" s="1" t="s">
        <v>68</v>
      </c>
      <c r="C4394" s="1" t="s">
        <v>399</v>
      </c>
      <c r="D4394" s="1" t="s">
        <v>52</v>
      </c>
      <c r="E4394" s="1" t="s">
        <v>31</v>
      </c>
      <c r="F4394" s="2" t="s">
        <v>737</v>
      </c>
      <c r="G4394" s="1">
        <v>70.367999999999995</v>
      </c>
      <c r="H4394" s="1">
        <v>2</v>
      </c>
      <c r="I4394" s="1">
        <v>6.1571999999999996</v>
      </c>
    </row>
    <row r="4395" spans="1:9" x14ac:dyDescent="0.35">
      <c r="A4395" s="3">
        <v>42591</v>
      </c>
      <c r="B4395" s="1" t="s">
        <v>68</v>
      </c>
      <c r="C4395" s="1" t="s">
        <v>399</v>
      </c>
      <c r="D4395" s="1" t="s">
        <v>52</v>
      </c>
      <c r="E4395" s="1" t="s">
        <v>33</v>
      </c>
      <c r="F4395" s="2" t="s">
        <v>2064</v>
      </c>
      <c r="G4395" s="1">
        <v>59.96</v>
      </c>
      <c r="H4395" s="1">
        <v>5</v>
      </c>
      <c r="I4395" s="1">
        <v>21.735499999999998</v>
      </c>
    </row>
    <row r="4396" spans="1:9" x14ac:dyDescent="0.35">
      <c r="A4396" s="3" t="s">
        <v>3331</v>
      </c>
      <c r="B4396" s="1" t="s">
        <v>2060</v>
      </c>
      <c r="C4396" s="1" t="s">
        <v>162</v>
      </c>
      <c r="D4396" s="1" t="s">
        <v>250</v>
      </c>
      <c r="E4396" s="1" t="s">
        <v>26</v>
      </c>
      <c r="F4396" s="2" t="s">
        <v>1009</v>
      </c>
      <c r="G4396" s="1">
        <v>25.984000000000002</v>
      </c>
      <c r="H4396" s="1">
        <v>1</v>
      </c>
      <c r="I4396" s="1">
        <v>-5.1967999999999996</v>
      </c>
    </row>
    <row r="4397" spans="1:9" x14ac:dyDescent="0.35">
      <c r="A4397" s="3" t="s">
        <v>3331</v>
      </c>
      <c r="B4397" s="1" t="s">
        <v>2060</v>
      </c>
      <c r="C4397" s="1" t="s">
        <v>162</v>
      </c>
      <c r="D4397" s="1" t="s">
        <v>250</v>
      </c>
      <c r="E4397" s="1" t="s">
        <v>35</v>
      </c>
      <c r="F4397" s="2" t="s">
        <v>1672</v>
      </c>
      <c r="G4397" s="1">
        <v>27.36</v>
      </c>
      <c r="H4397" s="1">
        <v>3</v>
      </c>
      <c r="I4397" s="1">
        <v>-21.888000000000002</v>
      </c>
    </row>
    <row r="4398" spans="1:9" x14ac:dyDescent="0.35">
      <c r="A4398" s="3" t="s">
        <v>3546</v>
      </c>
      <c r="B4398" s="1" t="s">
        <v>2562</v>
      </c>
      <c r="C4398" s="1" t="s">
        <v>461</v>
      </c>
      <c r="D4398" s="1" t="s">
        <v>18</v>
      </c>
      <c r="E4398" s="1" t="s">
        <v>33</v>
      </c>
      <c r="F4398" s="2" t="s">
        <v>1589</v>
      </c>
      <c r="G4398" s="1">
        <v>361.37599999999998</v>
      </c>
      <c r="H4398" s="1">
        <v>2</v>
      </c>
      <c r="I4398" s="1">
        <v>27.103200000000001</v>
      </c>
    </row>
    <row r="4399" spans="1:9" x14ac:dyDescent="0.35">
      <c r="A4399" s="3">
        <v>41827</v>
      </c>
      <c r="B4399" s="1" t="s">
        <v>968</v>
      </c>
      <c r="C4399" s="1" t="s">
        <v>74</v>
      </c>
      <c r="D4399" s="1" t="s">
        <v>75</v>
      </c>
      <c r="E4399" s="1" t="s">
        <v>14</v>
      </c>
      <c r="F4399" s="2" t="s">
        <v>1386</v>
      </c>
      <c r="G4399" s="1">
        <v>172.18600000000001</v>
      </c>
      <c r="H4399" s="1">
        <v>2</v>
      </c>
      <c r="I4399" s="1">
        <v>-46.736199999999997</v>
      </c>
    </row>
    <row r="4400" spans="1:9" x14ac:dyDescent="0.35">
      <c r="A4400" s="3">
        <v>41827</v>
      </c>
      <c r="B4400" s="1" t="s">
        <v>968</v>
      </c>
      <c r="C4400" s="1" t="s">
        <v>74</v>
      </c>
      <c r="D4400" s="1" t="s">
        <v>75</v>
      </c>
      <c r="E4400" s="1" t="s">
        <v>29</v>
      </c>
      <c r="F4400" s="2" t="s">
        <v>868</v>
      </c>
      <c r="G4400" s="1">
        <v>69.007999999999996</v>
      </c>
      <c r="H4400" s="1">
        <v>2</v>
      </c>
      <c r="I4400" s="1">
        <v>12.0764</v>
      </c>
    </row>
    <row r="4401" spans="1:9" x14ac:dyDescent="0.35">
      <c r="A4401" s="3" t="s">
        <v>3442</v>
      </c>
      <c r="B4401" s="1" t="s">
        <v>225</v>
      </c>
      <c r="C4401" s="1" t="s">
        <v>193</v>
      </c>
      <c r="D4401" s="1" t="s">
        <v>1217</v>
      </c>
      <c r="E4401" s="1" t="s">
        <v>87</v>
      </c>
      <c r="F4401" s="2" t="s">
        <v>1495</v>
      </c>
      <c r="G4401" s="1">
        <v>199.9</v>
      </c>
      <c r="H4401" s="1">
        <v>5</v>
      </c>
      <c r="I4401" s="1">
        <v>89.954999999999998</v>
      </c>
    </row>
    <row r="4402" spans="1:9" x14ac:dyDescent="0.35">
      <c r="A4402" s="3" t="s">
        <v>3442</v>
      </c>
      <c r="B4402" s="1" t="s">
        <v>225</v>
      </c>
      <c r="C4402" s="1" t="s">
        <v>193</v>
      </c>
      <c r="D4402" s="1" t="s">
        <v>1217</v>
      </c>
      <c r="E4402" s="1" t="s">
        <v>37</v>
      </c>
      <c r="F4402" s="2" t="s">
        <v>457</v>
      </c>
      <c r="G4402" s="1">
        <v>901.95</v>
      </c>
      <c r="H4402" s="1">
        <v>3</v>
      </c>
      <c r="I4402" s="1">
        <v>297.64350000000002</v>
      </c>
    </row>
    <row r="4403" spans="1:9" x14ac:dyDescent="0.35">
      <c r="A4403" s="3" t="s">
        <v>3442</v>
      </c>
      <c r="B4403" s="1" t="s">
        <v>225</v>
      </c>
      <c r="C4403" s="1" t="s">
        <v>193</v>
      </c>
      <c r="D4403" s="1" t="s">
        <v>1217</v>
      </c>
      <c r="E4403" s="1" t="s">
        <v>29</v>
      </c>
      <c r="F4403" s="2" t="s">
        <v>1099</v>
      </c>
      <c r="G4403" s="1">
        <v>971.5</v>
      </c>
      <c r="H4403" s="1">
        <v>5</v>
      </c>
      <c r="I4403" s="1">
        <v>252.59</v>
      </c>
    </row>
    <row r="4404" spans="1:9" x14ac:dyDescent="0.35">
      <c r="A4404" s="3" t="s">
        <v>3378</v>
      </c>
      <c r="B4404" s="1" t="s">
        <v>475</v>
      </c>
      <c r="C4404" s="1" t="s">
        <v>518</v>
      </c>
      <c r="D4404" s="1" t="s">
        <v>229</v>
      </c>
      <c r="E4404" s="1" t="s">
        <v>31</v>
      </c>
      <c r="F4404" s="2" t="s">
        <v>2763</v>
      </c>
      <c r="G4404" s="1">
        <v>11.327999999999999</v>
      </c>
      <c r="H4404" s="1">
        <v>2</v>
      </c>
      <c r="I4404" s="1">
        <v>2.5488</v>
      </c>
    </row>
    <row r="4405" spans="1:9" x14ac:dyDescent="0.35">
      <c r="A4405" s="3">
        <v>41679</v>
      </c>
      <c r="B4405" s="1" t="s">
        <v>243</v>
      </c>
      <c r="C4405" s="1" t="s">
        <v>135</v>
      </c>
      <c r="D4405" s="1" t="s">
        <v>136</v>
      </c>
      <c r="E4405" s="1" t="s">
        <v>31</v>
      </c>
      <c r="F4405" s="2" t="s">
        <v>2763</v>
      </c>
      <c r="G4405" s="1">
        <v>21.24</v>
      </c>
      <c r="H4405" s="1">
        <v>3</v>
      </c>
      <c r="I4405" s="1">
        <v>8.0711999999999993</v>
      </c>
    </row>
    <row r="4406" spans="1:9" x14ac:dyDescent="0.35">
      <c r="A4406" s="3">
        <v>42131</v>
      </c>
      <c r="B4406" s="1" t="s">
        <v>2138</v>
      </c>
      <c r="C4406" s="1" t="s">
        <v>74</v>
      </c>
      <c r="D4406" s="1" t="s">
        <v>75</v>
      </c>
      <c r="E4406" s="1" t="s">
        <v>81</v>
      </c>
      <c r="F4406" s="2" t="s">
        <v>365</v>
      </c>
      <c r="G4406" s="1">
        <v>34.799999999999997</v>
      </c>
      <c r="H4406" s="1">
        <v>3</v>
      </c>
      <c r="I4406" s="1">
        <v>2.1749999999999998</v>
      </c>
    </row>
    <row r="4407" spans="1:9" x14ac:dyDescent="0.35">
      <c r="A4407" s="3">
        <v>42131</v>
      </c>
      <c r="B4407" s="1" t="s">
        <v>2138</v>
      </c>
      <c r="C4407" s="1" t="s">
        <v>74</v>
      </c>
      <c r="D4407" s="1" t="s">
        <v>75</v>
      </c>
      <c r="E4407" s="1" t="s">
        <v>26</v>
      </c>
      <c r="F4407" s="2" t="s">
        <v>1246</v>
      </c>
      <c r="G4407" s="1">
        <v>38.975999999999999</v>
      </c>
      <c r="H4407" s="1">
        <v>3</v>
      </c>
      <c r="I4407" s="1">
        <v>-2.4359999999999999</v>
      </c>
    </row>
    <row r="4408" spans="1:9" x14ac:dyDescent="0.35">
      <c r="A4408" s="3" t="s">
        <v>3355</v>
      </c>
      <c r="B4408" s="1" t="s">
        <v>1921</v>
      </c>
      <c r="C4408" s="1" t="s">
        <v>249</v>
      </c>
      <c r="D4408" s="1" t="s">
        <v>129</v>
      </c>
      <c r="E4408" s="1" t="s">
        <v>44</v>
      </c>
      <c r="F4408" s="2" t="s">
        <v>1219</v>
      </c>
      <c r="G4408" s="1">
        <v>9.08</v>
      </c>
      <c r="H4408" s="1">
        <v>2</v>
      </c>
      <c r="I4408" s="1">
        <v>4.0860000000000003</v>
      </c>
    </row>
    <row r="4409" spans="1:9" x14ac:dyDescent="0.35">
      <c r="A4409" s="3" t="s">
        <v>3355</v>
      </c>
      <c r="B4409" s="1" t="s">
        <v>1921</v>
      </c>
      <c r="C4409" s="1" t="s">
        <v>249</v>
      </c>
      <c r="D4409" s="1" t="s">
        <v>129</v>
      </c>
      <c r="E4409" s="1" t="s">
        <v>44</v>
      </c>
      <c r="F4409" s="2" t="s">
        <v>1639</v>
      </c>
      <c r="G4409" s="1">
        <v>314.55</v>
      </c>
      <c r="H4409" s="1">
        <v>3</v>
      </c>
      <c r="I4409" s="1">
        <v>150.98400000000001</v>
      </c>
    </row>
    <row r="4410" spans="1:9" x14ac:dyDescent="0.35">
      <c r="A4410" s="3" t="s">
        <v>3355</v>
      </c>
      <c r="B4410" s="1" t="s">
        <v>1921</v>
      </c>
      <c r="C4410" s="1" t="s">
        <v>249</v>
      </c>
      <c r="D4410" s="1" t="s">
        <v>129</v>
      </c>
      <c r="E4410" s="1" t="s">
        <v>35</v>
      </c>
      <c r="F4410" s="2" t="s">
        <v>390</v>
      </c>
      <c r="G4410" s="1">
        <v>4.91</v>
      </c>
      <c r="H4410" s="1">
        <v>1</v>
      </c>
      <c r="I4410" s="1">
        <v>2.3077000000000001</v>
      </c>
    </row>
    <row r="4411" spans="1:9" x14ac:dyDescent="0.35">
      <c r="A4411" s="3">
        <v>41795</v>
      </c>
      <c r="B4411" s="1" t="s">
        <v>99</v>
      </c>
      <c r="C4411" s="1" t="s">
        <v>17</v>
      </c>
      <c r="D4411" s="1" t="s">
        <v>18</v>
      </c>
      <c r="E4411" s="1" t="s">
        <v>19</v>
      </c>
      <c r="F4411" s="2" t="s">
        <v>1462</v>
      </c>
      <c r="G4411" s="1">
        <v>5.78</v>
      </c>
      <c r="H4411" s="1">
        <v>2</v>
      </c>
      <c r="I4411" s="1">
        <v>2.7166000000000001</v>
      </c>
    </row>
    <row r="4412" spans="1:9" x14ac:dyDescent="0.35">
      <c r="A4412" s="3">
        <v>41795</v>
      </c>
      <c r="B4412" s="1" t="s">
        <v>99</v>
      </c>
      <c r="C4412" s="1" t="s">
        <v>17</v>
      </c>
      <c r="D4412" s="1" t="s">
        <v>18</v>
      </c>
      <c r="E4412" s="1" t="s">
        <v>31</v>
      </c>
      <c r="F4412" s="2" t="s">
        <v>1136</v>
      </c>
      <c r="G4412" s="1">
        <v>107.94</v>
      </c>
      <c r="H4412" s="1">
        <v>6</v>
      </c>
      <c r="I4412" s="1">
        <v>30.223199999999999</v>
      </c>
    </row>
    <row r="4413" spans="1:9" x14ac:dyDescent="0.35">
      <c r="A4413" s="3" t="s">
        <v>3228</v>
      </c>
      <c r="B4413" s="1" t="s">
        <v>1805</v>
      </c>
      <c r="C4413" s="1" t="s">
        <v>135</v>
      </c>
      <c r="D4413" s="1" t="s">
        <v>136</v>
      </c>
      <c r="E4413" s="1" t="s">
        <v>44</v>
      </c>
      <c r="F4413" s="2" t="s">
        <v>2070</v>
      </c>
      <c r="G4413" s="1">
        <v>19.649999999999999</v>
      </c>
      <c r="H4413" s="1">
        <v>3</v>
      </c>
      <c r="I4413" s="1">
        <v>9.0389999999999997</v>
      </c>
    </row>
    <row r="4414" spans="1:9" x14ac:dyDescent="0.35">
      <c r="A4414" s="3" t="s">
        <v>3228</v>
      </c>
      <c r="B4414" s="1" t="s">
        <v>1805</v>
      </c>
      <c r="C4414" s="1" t="s">
        <v>135</v>
      </c>
      <c r="D4414" s="1" t="s">
        <v>136</v>
      </c>
      <c r="E4414" s="1" t="s">
        <v>33</v>
      </c>
      <c r="F4414" s="2" t="s">
        <v>923</v>
      </c>
      <c r="G4414" s="1">
        <v>617.97</v>
      </c>
      <c r="H4414" s="1">
        <v>3</v>
      </c>
      <c r="I4414" s="1">
        <v>160.6722</v>
      </c>
    </row>
    <row r="4415" spans="1:9" x14ac:dyDescent="0.35">
      <c r="A4415" s="3" t="s">
        <v>3228</v>
      </c>
      <c r="B4415" s="1" t="s">
        <v>1805</v>
      </c>
      <c r="C4415" s="1" t="s">
        <v>135</v>
      </c>
      <c r="D4415" s="1" t="s">
        <v>136</v>
      </c>
      <c r="E4415" s="1" t="s">
        <v>37</v>
      </c>
      <c r="F4415" s="2" t="s">
        <v>1583</v>
      </c>
      <c r="G4415" s="1">
        <v>59.7</v>
      </c>
      <c r="H4415" s="1">
        <v>3</v>
      </c>
      <c r="I4415" s="1">
        <v>26.864999999999998</v>
      </c>
    </row>
    <row r="4416" spans="1:9" x14ac:dyDescent="0.35">
      <c r="A4416" s="3" t="s">
        <v>3547</v>
      </c>
      <c r="B4416" s="1" t="s">
        <v>349</v>
      </c>
      <c r="C4416" s="1" t="s">
        <v>700</v>
      </c>
      <c r="D4416" s="1" t="s">
        <v>592</v>
      </c>
      <c r="E4416" s="1" t="s">
        <v>35</v>
      </c>
      <c r="F4416" s="2" t="s">
        <v>1307</v>
      </c>
      <c r="G4416" s="1">
        <v>387.99</v>
      </c>
      <c r="H4416" s="1">
        <v>1</v>
      </c>
      <c r="I4416" s="1">
        <v>182.3553</v>
      </c>
    </row>
    <row r="4417" spans="1:9" x14ac:dyDescent="0.35">
      <c r="A4417" s="3" t="s">
        <v>3548</v>
      </c>
      <c r="B4417" s="1" t="s">
        <v>477</v>
      </c>
      <c r="C4417" s="1" t="s">
        <v>64</v>
      </c>
      <c r="D4417" s="1" t="s">
        <v>18</v>
      </c>
      <c r="E4417" s="1" t="s">
        <v>33</v>
      </c>
      <c r="F4417" s="2" t="s">
        <v>1520</v>
      </c>
      <c r="G4417" s="1">
        <v>575.91999999999996</v>
      </c>
      <c r="H4417" s="1">
        <v>2</v>
      </c>
      <c r="I4417" s="1">
        <v>71.989999999999995</v>
      </c>
    </row>
    <row r="4418" spans="1:9" x14ac:dyDescent="0.35">
      <c r="A4418" s="3" t="s">
        <v>3548</v>
      </c>
      <c r="B4418" s="1" t="s">
        <v>477</v>
      </c>
      <c r="C4418" s="1" t="s">
        <v>64</v>
      </c>
      <c r="D4418" s="1" t="s">
        <v>18</v>
      </c>
      <c r="E4418" s="1" t="s">
        <v>137</v>
      </c>
      <c r="F4418" s="2" t="s">
        <v>281</v>
      </c>
      <c r="G4418" s="1">
        <v>30.4</v>
      </c>
      <c r="H4418" s="1">
        <v>5</v>
      </c>
      <c r="I4418" s="1">
        <v>15.2</v>
      </c>
    </row>
    <row r="4419" spans="1:9" x14ac:dyDescent="0.35">
      <c r="A4419" s="3">
        <v>42982</v>
      </c>
      <c r="B4419" s="1" t="s">
        <v>446</v>
      </c>
      <c r="C4419" s="1" t="s">
        <v>429</v>
      </c>
      <c r="D4419" s="1" t="s">
        <v>120</v>
      </c>
      <c r="E4419" s="1" t="s">
        <v>35</v>
      </c>
      <c r="F4419" s="2" t="s">
        <v>1643</v>
      </c>
      <c r="G4419" s="1">
        <v>478.24</v>
      </c>
      <c r="H4419" s="1">
        <v>8</v>
      </c>
      <c r="I4419" s="1">
        <v>219.99039999999999</v>
      </c>
    </row>
    <row r="4420" spans="1:9" x14ac:dyDescent="0.35">
      <c r="A4420" s="3" t="s">
        <v>3340</v>
      </c>
      <c r="B4420" s="1" t="s">
        <v>2567</v>
      </c>
      <c r="C4420" s="1" t="s">
        <v>383</v>
      </c>
      <c r="D4420" s="1" t="s">
        <v>250</v>
      </c>
      <c r="E4420" s="1" t="s">
        <v>29</v>
      </c>
      <c r="F4420" s="2" t="s">
        <v>277</v>
      </c>
      <c r="G4420" s="1">
        <v>190.84800000000001</v>
      </c>
      <c r="H4420" s="1">
        <v>3</v>
      </c>
      <c r="I4420" s="1">
        <v>-21.470400000000001</v>
      </c>
    </row>
    <row r="4421" spans="1:9" x14ac:dyDescent="0.35">
      <c r="A4421" s="3" t="s">
        <v>3549</v>
      </c>
      <c r="B4421" s="1" t="s">
        <v>2477</v>
      </c>
      <c r="C4421" s="1" t="s">
        <v>249</v>
      </c>
      <c r="D4421" s="1" t="s">
        <v>250</v>
      </c>
      <c r="E4421" s="1" t="s">
        <v>35</v>
      </c>
      <c r="F4421" s="2" t="s">
        <v>1990</v>
      </c>
      <c r="G4421" s="1">
        <v>5.484</v>
      </c>
      <c r="H4421" s="1">
        <v>4</v>
      </c>
      <c r="I4421" s="1">
        <v>-4.0216000000000003</v>
      </c>
    </row>
    <row r="4422" spans="1:9" x14ac:dyDescent="0.35">
      <c r="A4422" s="3" t="s">
        <v>3550</v>
      </c>
      <c r="B4422" s="1" t="s">
        <v>1276</v>
      </c>
      <c r="C4422" s="1" t="s">
        <v>154</v>
      </c>
      <c r="D4422" s="1" t="s">
        <v>106</v>
      </c>
      <c r="E4422" s="1" t="s">
        <v>289</v>
      </c>
      <c r="F4422" s="2" t="s">
        <v>1190</v>
      </c>
      <c r="G4422" s="1">
        <v>40.92</v>
      </c>
      <c r="H4422" s="1">
        <v>5</v>
      </c>
      <c r="I4422" s="1">
        <v>3.069</v>
      </c>
    </row>
    <row r="4423" spans="1:9" x14ac:dyDescent="0.35">
      <c r="A4423" s="3">
        <v>41732</v>
      </c>
      <c r="B4423" s="1" t="s">
        <v>744</v>
      </c>
      <c r="C4423" s="1" t="s">
        <v>2764</v>
      </c>
      <c r="D4423" s="1" t="s">
        <v>23</v>
      </c>
      <c r="E4423" s="1" t="s">
        <v>31</v>
      </c>
      <c r="F4423" s="2" t="s">
        <v>593</v>
      </c>
      <c r="G4423" s="1">
        <v>15.552</v>
      </c>
      <c r="H4423" s="1">
        <v>3</v>
      </c>
      <c r="I4423" s="1">
        <v>2.3328000000000002</v>
      </c>
    </row>
    <row r="4424" spans="1:9" x14ac:dyDescent="0.35">
      <c r="A4424" s="3" t="s">
        <v>3270</v>
      </c>
      <c r="B4424" s="1" t="s">
        <v>1546</v>
      </c>
      <c r="C4424" s="1" t="s">
        <v>2765</v>
      </c>
      <c r="D4424" s="1" t="s">
        <v>604</v>
      </c>
      <c r="E4424" s="1" t="s">
        <v>37</v>
      </c>
      <c r="F4424" s="2" t="s">
        <v>72</v>
      </c>
      <c r="G4424" s="1">
        <v>17.239999999999998</v>
      </c>
      <c r="H4424" s="1">
        <v>2</v>
      </c>
      <c r="I4424" s="1">
        <v>4.4824000000000002</v>
      </c>
    </row>
    <row r="4425" spans="1:9" x14ac:dyDescent="0.35">
      <c r="A4425" s="3" t="s">
        <v>3270</v>
      </c>
      <c r="B4425" s="1" t="s">
        <v>1546</v>
      </c>
      <c r="C4425" s="1" t="s">
        <v>2765</v>
      </c>
      <c r="D4425" s="1" t="s">
        <v>604</v>
      </c>
      <c r="E4425" s="1" t="s">
        <v>12</v>
      </c>
      <c r="F4425" s="2" t="s">
        <v>2766</v>
      </c>
      <c r="G4425" s="1">
        <v>302.94</v>
      </c>
      <c r="H4425" s="1">
        <v>3</v>
      </c>
      <c r="I4425" s="1">
        <v>75.734999999999999</v>
      </c>
    </row>
    <row r="4426" spans="1:9" x14ac:dyDescent="0.35">
      <c r="A4426" s="3" t="s">
        <v>3270</v>
      </c>
      <c r="B4426" s="1" t="s">
        <v>1546</v>
      </c>
      <c r="C4426" s="1" t="s">
        <v>2765</v>
      </c>
      <c r="D4426" s="1" t="s">
        <v>604</v>
      </c>
      <c r="E4426" s="1" t="s">
        <v>33</v>
      </c>
      <c r="F4426" s="2" t="s">
        <v>1828</v>
      </c>
      <c r="G4426" s="1">
        <v>34.75</v>
      </c>
      <c r="H4426" s="1">
        <v>5</v>
      </c>
      <c r="I4426" s="1">
        <v>15.637499999999999</v>
      </c>
    </row>
    <row r="4427" spans="1:9" x14ac:dyDescent="0.35">
      <c r="A4427" s="3" t="s">
        <v>3270</v>
      </c>
      <c r="B4427" s="1" t="s">
        <v>1546</v>
      </c>
      <c r="C4427" s="1" t="s">
        <v>2765</v>
      </c>
      <c r="D4427" s="1" t="s">
        <v>604</v>
      </c>
      <c r="E4427" s="1" t="s">
        <v>35</v>
      </c>
      <c r="F4427" s="2" t="s">
        <v>752</v>
      </c>
      <c r="G4427" s="1">
        <v>113.94</v>
      </c>
      <c r="H4427" s="1">
        <v>6</v>
      </c>
      <c r="I4427" s="1">
        <v>54.691200000000002</v>
      </c>
    </row>
    <row r="4428" spans="1:9" x14ac:dyDescent="0.35">
      <c r="A4428" s="3" t="s">
        <v>3270</v>
      </c>
      <c r="B4428" s="1" t="s">
        <v>1546</v>
      </c>
      <c r="C4428" s="1" t="s">
        <v>2765</v>
      </c>
      <c r="D4428" s="1" t="s">
        <v>604</v>
      </c>
      <c r="E4428" s="1" t="s">
        <v>33</v>
      </c>
      <c r="F4428" s="2" t="s">
        <v>2464</v>
      </c>
      <c r="G4428" s="1">
        <v>55.98</v>
      </c>
      <c r="H4428" s="1">
        <v>2</v>
      </c>
      <c r="I4428" s="1">
        <v>15.6744</v>
      </c>
    </row>
    <row r="4429" spans="1:9" x14ac:dyDescent="0.35">
      <c r="A4429" s="3" t="s">
        <v>3351</v>
      </c>
      <c r="B4429" s="1" t="s">
        <v>2515</v>
      </c>
      <c r="C4429" s="1" t="s">
        <v>2209</v>
      </c>
      <c r="D4429" s="1" t="s">
        <v>331</v>
      </c>
      <c r="E4429" s="1" t="s">
        <v>44</v>
      </c>
      <c r="F4429" s="2" t="s">
        <v>393</v>
      </c>
      <c r="G4429" s="1">
        <v>27.18</v>
      </c>
      <c r="H4429" s="1">
        <v>3</v>
      </c>
      <c r="I4429" s="1">
        <v>12.231</v>
      </c>
    </row>
    <row r="4430" spans="1:9" x14ac:dyDescent="0.35">
      <c r="A4430" s="3" t="s">
        <v>3551</v>
      </c>
      <c r="B4430" s="1" t="s">
        <v>243</v>
      </c>
      <c r="C4430" s="1" t="s">
        <v>1897</v>
      </c>
      <c r="D4430" s="1" t="s">
        <v>322</v>
      </c>
      <c r="E4430" s="1" t="s">
        <v>14</v>
      </c>
      <c r="F4430" s="2" t="s">
        <v>2489</v>
      </c>
      <c r="G4430" s="1">
        <v>1805.88</v>
      </c>
      <c r="H4430" s="1">
        <v>6</v>
      </c>
      <c r="I4430" s="1">
        <v>523.70519999999999</v>
      </c>
    </row>
    <row r="4431" spans="1:9" x14ac:dyDescent="0.35">
      <c r="A4431" s="3" t="s">
        <v>3162</v>
      </c>
      <c r="B4431" s="1" t="s">
        <v>1116</v>
      </c>
      <c r="C4431" s="1" t="s">
        <v>2401</v>
      </c>
      <c r="D4431" s="1" t="s">
        <v>388</v>
      </c>
      <c r="E4431" s="1" t="s">
        <v>31</v>
      </c>
      <c r="F4431" s="2" t="s">
        <v>2601</v>
      </c>
      <c r="G4431" s="1">
        <v>70.95</v>
      </c>
      <c r="H4431" s="1">
        <v>3</v>
      </c>
      <c r="I4431" s="1">
        <v>18.446999999999999</v>
      </c>
    </row>
    <row r="4432" spans="1:9" x14ac:dyDescent="0.35">
      <c r="A4432" s="3">
        <v>42440</v>
      </c>
      <c r="B4432" s="1" t="s">
        <v>1038</v>
      </c>
      <c r="C4432" s="1" t="s">
        <v>10</v>
      </c>
      <c r="D4432" s="1" t="s">
        <v>11</v>
      </c>
      <c r="E4432" s="1" t="s">
        <v>137</v>
      </c>
      <c r="F4432" s="2" t="s">
        <v>1157</v>
      </c>
      <c r="G4432" s="1">
        <v>20</v>
      </c>
      <c r="H4432" s="1">
        <v>4</v>
      </c>
      <c r="I4432" s="1">
        <v>9.6</v>
      </c>
    </row>
    <row r="4433" spans="1:9" x14ac:dyDescent="0.35">
      <c r="A4433" s="3">
        <v>42440</v>
      </c>
      <c r="B4433" s="1" t="s">
        <v>1038</v>
      </c>
      <c r="C4433" s="1" t="s">
        <v>10</v>
      </c>
      <c r="D4433" s="1" t="s">
        <v>11</v>
      </c>
      <c r="E4433" s="1" t="s">
        <v>31</v>
      </c>
      <c r="F4433" s="2" t="s">
        <v>2657</v>
      </c>
      <c r="G4433" s="1">
        <v>7.98</v>
      </c>
      <c r="H4433" s="1">
        <v>3</v>
      </c>
      <c r="I4433" s="1">
        <v>2.0748000000000002</v>
      </c>
    </row>
    <row r="4434" spans="1:9" x14ac:dyDescent="0.35">
      <c r="A4434" s="3">
        <v>42440</v>
      </c>
      <c r="B4434" s="1" t="s">
        <v>1038</v>
      </c>
      <c r="C4434" s="1" t="s">
        <v>10</v>
      </c>
      <c r="D4434" s="1" t="s">
        <v>11</v>
      </c>
      <c r="E4434" s="1" t="s">
        <v>29</v>
      </c>
      <c r="F4434" s="2" t="s">
        <v>1312</v>
      </c>
      <c r="G4434" s="1">
        <v>24.1</v>
      </c>
      <c r="H4434" s="1">
        <v>5</v>
      </c>
      <c r="I4434" s="1">
        <v>9.1579999999999995</v>
      </c>
    </row>
    <row r="4435" spans="1:9" x14ac:dyDescent="0.35">
      <c r="A4435" s="3">
        <v>42440</v>
      </c>
      <c r="B4435" s="1" t="s">
        <v>1038</v>
      </c>
      <c r="C4435" s="1" t="s">
        <v>10</v>
      </c>
      <c r="D4435" s="1" t="s">
        <v>11</v>
      </c>
      <c r="E4435" s="1" t="s">
        <v>31</v>
      </c>
      <c r="F4435" s="2" t="s">
        <v>2411</v>
      </c>
      <c r="G4435" s="1">
        <v>8.75</v>
      </c>
      <c r="H4435" s="1">
        <v>1</v>
      </c>
      <c r="I4435" s="1">
        <v>2.625</v>
      </c>
    </row>
    <row r="4436" spans="1:9" x14ac:dyDescent="0.35">
      <c r="A4436" s="3">
        <v>42440</v>
      </c>
      <c r="B4436" s="1" t="s">
        <v>1038</v>
      </c>
      <c r="C4436" s="1" t="s">
        <v>10</v>
      </c>
      <c r="D4436" s="1" t="s">
        <v>11</v>
      </c>
      <c r="E4436" s="1" t="s">
        <v>24</v>
      </c>
      <c r="F4436" s="2" t="s">
        <v>2767</v>
      </c>
      <c r="G4436" s="1">
        <v>842.94</v>
      </c>
      <c r="H4436" s="1">
        <v>3</v>
      </c>
      <c r="I4436" s="1">
        <v>160.15860000000001</v>
      </c>
    </row>
    <row r="4437" spans="1:9" x14ac:dyDescent="0.35">
      <c r="A4437" s="3">
        <v>42434</v>
      </c>
      <c r="B4437" s="1" t="s">
        <v>2001</v>
      </c>
      <c r="C4437" s="1" t="s">
        <v>154</v>
      </c>
      <c r="D4437" s="1" t="s">
        <v>106</v>
      </c>
      <c r="E4437" s="1" t="s">
        <v>35</v>
      </c>
      <c r="F4437" s="2" t="s">
        <v>1115</v>
      </c>
      <c r="G4437" s="1">
        <v>2.1819999999999999</v>
      </c>
      <c r="H4437" s="1">
        <v>1</v>
      </c>
      <c r="I4437" s="1">
        <v>-3.6002999999999998</v>
      </c>
    </row>
    <row r="4438" spans="1:9" x14ac:dyDescent="0.35">
      <c r="A4438" s="3">
        <v>42434</v>
      </c>
      <c r="B4438" s="1" t="s">
        <v>2001</v>
      </c>
      <c r="C4438" s="1" t="s">
        <v>154</v>
      </c>
      <c r="D4438" s="1" t="s">
        <v>106</v>
      </c>
      <c r="E4438" s="1" t="s">
        <v>31</v>
      </c>
      <c r="F4438" s="2" t="s">
        <v>2768</v>
      </c>
      <c r="G4438" s="1">
        <v>27.384</v>
      </c>
      <c r="H4438" s="1">
        <v>7</v>
      </c>
      <c r="I4438" s="1">
        <v>2.7383999999999999</v>
      </c>
    </row>
    <row r="4439" spans="1:9" x14ac:dyDescent="0.35">
      <c r="A4439" s="3">
        <v>42434</v>
      </c>
      <c r="B4439" s="1" t="s">
        <v>2001</v>
      </c>
      <c r="C4439" s="1" t="s">
        <v>154</v>
      </c>
      <c r="D4439" s="1" t="s">
        <v>106</v>
      </c>
      <c r="E4439" s="1" t="s">
        <v>37</v>
      </c>
      <c r="F4439" s="2" t="s">
        <v>2195</v>
      </c>
      <c r="G4439" s="1">
        <v>26.405999999999999</v>
      </c>
      <c r="H4439" s="1">
        <v>3</v>
      </c>
      <c r="I4439" s="1">
        <v>-71.296199999999999</v>
      </c>
    </row>
    <row r="4440" spans="1:9" x14ac:dyDescent="0.35">
      <c r="A4440" s="3" t="s">
        <v>3271</v>
      </c>
      <c r="B4440" s="1" t="s">
        <v>1316</v>
      </c>
      <c r="C4440" s="1" t="s">
        <v>2742</v>
      </c>
      <c r="D4440" s="1" t="s">
        <v>52</v>
      </c>
      <c r="E4440" s="1" t="s">
        <v>44</v>
      </c>
      <c r="F4440" s="2" t="s">
        <v>1977</v>
      </c>
      <c r="G4440" s="1">
        <v>10.368</v>
      </c>
      <c r="H4440" s="1">
        <v>2</v>
      </c>
      <c r="I4440" s="1">
        <v>3.6288</v>
      </c>
    </row>
    <row r="4441" spans="1:9" x14ac:dyDescent="0.35">
      <c r="A4441" s="3" t="s">
        <v>3271</v>
      </c>
      <c r="B4441" s="1" t="s">
        <v>1316</v>
      </c>
      <c r="C4441" s="1" t="s">
        <v>2742</v>
      </c>
      <c r="D4441" s="1" t="s">
        <v>52</v>
      </c>
      <c r="E4441" s="1" t="s">
        <v>44</v>
      </c>
      <c r="F4441" s="2" t="s">
        <v>1608</v>
      </c>
      <c r="G4441" s="1">
        <v>23.68</v>
      </c>
      <c r="H4441" s="1">
        <v>4</v>
      </c>
      <c r="I4441" s="1">
        <v>7.4</v>
      </c>
    </row>
    <row r="4442" spans="1:9" x14ac:dyDescent="0.35">
      <c r="A4442" s="3" t="s">
        <v>3552</v>
      </c>
      <c r="B4442" s="1" t="s">
        <v>2113</v>
      </c>
      <c r="C4442" s="1" t="s">
        <v>119</v>
      </c>
      <c r="D4442" s="1" t="s">
        <v>120</v>
      </c>
      <c r="E4442" s="1" t="s">
        <v>81</v>
      </c>
      <c r="F4442" s="2" t="s">
        <v>1659</v>
      </c>
      <c r="G4442" s="1">
        <v>109.95</v>
      </c>
      <c r="H4442" s="1">
        <v>1</v>
      </c>
      <c r="I4442" s="1">
        <v>36.283499999999997</v>
      </c>
    </row>
    <row r="4443" spans="1:9" x14ac:dyDescent="0.35">
      <c r="A4443" s="3" t="s">
        <v>3552</v>
      </c>
      <c r="B4443" s="1" t="s">
        <v>2113</v>
      </c>
      <c r="C4443" s="1" t="s">
        <v>119</v>
      </c>
      <c r="D4443" s="1" t="s">
        <v>120</v>
      </c>
      <c r="E4443" s="1" t="s">
        <v>26</v>
      </c>
      <c r="F4443" s="2" t="s">
        <v>2769</v>
      </c>
      <c r="G4443" s="1">
        <v>965.85</v>
      </c>
      <c r="H4443" s="1">
        <v>5</v>
      </c>
      <c r="I4443" s="1">
        <v>135.21899999999999</v>
      </c>
    </row>
    <row r="4444" spans="1:9" x14ac:dyDescent="0.35">
      <c r="A4444" s="3" t="s">
        <v>3552</v>
      </c>
      <c r="B4444" s="1" t="s">
        <v>2113</v>
      </c>
      <c r="C4444" s="1" t="s">
        <v>119</v>
      </c>
      <c r="D4444" s="1" t="s">
        <v>120</v>
      </c>
      <c r="E4444" s="1" t="s">
        <v>31</v>
      </c>
      <c r="F4444" s="2" t="s">
        <v>2770</v>
      </c>
      <c r="G4444" s="1">
        <v>29.2</v>
      </c>
      <c r="H4444" s="1">
        <v>5</v>
      </c>
      <c r="I4444" s="1">
        <v>10.512</v>
      </c>
    </row>
    <row r="4445" spans="1:9" x14ac:dyDescent="0.35">
      <c r="A4445" s="3" t="s">
        <v>3552</v>
      </c>
      <c r="B4445" s="1" t="s">
        <v>2113</v>
      </c>
      <c r="C4445" s="1" t="s">
        <v>119</v>
      </c>
      <c r="D4445" s="1" t="s">
        <v>120</v>
      </c>
      <c r="E4445" s="1" t="s">
        <v>44</v>
      </c>
      <c r="F4445" s="2" t="s">
        <v>1695</v>
      </c>
      <c r="G4445" s="1">
        <v>32.4</v>
      </c>
      <c r="H4445" s="1">
        <v>5</v>
      </c>
      <c r="I4445" s="1">
        <v>15.552</v>
      </c>
    </row>
    <row r="4446" spans="1:9" x14ac:dyDescent="0.35">
      <c r="A4446" s="3" t="s">
        <v>3449</v>
      </c>
      <c r="B4446" s="1" t="s">
        <v>981</v>
      </c>
      <c r="C4446" s="1" t="s">
        <v>269</v>
      </c>
      <c r="D4446" s="1" t="s">
        <v>129</v>
      </c>
      <c r="E4446" s="1" t="s">
        <v>87</v>
      </c>
      <c r="F4446" s="2" t="s">
        <v>2248</v>
      </c>
      <c r="G4446" s="1">
        <v>78.349999999999994</v>
      </c>
      <c r="H4446" s="1">
        <v>5</v>
      </c>
      <c r="I4446" s="1">
        <v>36.8245</v>
      </c>
    </row>
    <row r="4447" spans="1:9" x14ac:dyDescent="0.35">
      <c r="A4447" s="3" t="s">
        <v>3449</v>
      </c>
      <c r="B4447" s="1" t="s">
        <v>981</v>
      </c>
      <c r="C4447" s="1" t="s">
        <v>269</v>
      </c>
      <c r="D4447" s="1" t="s">
        <v>129</v>
      </c>
      <c r="E4447" s="1" t="s">
        <v>44</v>
      </c>
      <c r="F4447" s="2" t="s">
        <v>2385</v>
      </c>
      <c r="G4447" s="1">
        <v>31.68</v>
      </c>
      <c r="H4447" s="1">
        <v>6</v>
      </c>
      <c r="I4447" s="1">
        <v>14.256</v>
      </c>
    </row>
    <row r="4448" spans="1:9" x14ac:dyDescent="0.35">
      <c r="A4448" s="3" t="s">
        <v>3449</v>
      </c>
      <c r="B4448" s="1" t="s">
        <v>981</v>
      </c>
      <c r="C4448" s="1" t="s">
        <v>269</v>
      </c>
      <c r="D4448" s="1" t="s">
        <v>129</v>
      </c>
      <c r="E4448" s="1" t="s">
        <v>35</v>
      </c>
      <c r="F4448" s="2" t="s">
        <v>80</v>
      </c>
      <c r="G4448" s="1">
        <v>29.12</v>
      </c>
      <c r="H4448" s="1">
        <v>4</v>
      </c>
      <c r="I4448" s="1">
        <v>14.268800000000001</v>
      </c>
    </row>
    <row r="4449" spans="1:9" x14ac:dyDescent="0.35">
      <c r="A4449" s="3" t="s">
        <v>3449</v>
      </c>
      <c r="B4449" s="1" t="s">
        <v>981</v>
      </c>
      <c r="C4449" s="1" t="s">
        <v>269</v>
      </c>
      <c r="D4449" s="1" t="s">
        <v>129</v>
      </c>
      <c r="E4449" s="1" t="s">
        <v>26</v>
      </c>
      <c r="F4449" s="2" t="s">
        <v>569</v>
      </c>
      <c r="G4449" s="1">
        <v>169.45</v>
      </c>
      <c r="H4449" s="1">
        <v>5</v>
      </c>
      <c r="I4449" s="1">
        <v>42.362499999999997</v>
      </c>
    </row>
    <row r="4450" spans="1:9" x14ac:dyDescent="0.35">
      <c r="A4450" s="3" t="s">
        <v>3553</v>
      </c>
      <c r="B4450" s="1" t="s">
        <v>458</v>
      </c>
      <c r="C4450" s="1" t="s">
        <v>17</v>
      </c>
      <c r="D4450" s="1" t="s">
        <v>18</v>
      </c>
      <c r="E4450" s="1" t="s">
        <v>29</v>
      </c>
      <c r="F4450" s="2" t="s">
        <v>967</v>
      </c>
      <c r="G4450" s="1">
        <v>12.56</v>
      </c>
      <c r="H4450" s="1">
        <v>2</v>
      </c>
      <c r="I4450" s="1">
        <v>4.0191999999999997</v>
      </c>
    </row>
    <row r="4451" spans="1:9" x14ac:dyDescent="0.35">
      <c r="A4451" s="3" t="s">
        <v>3553</v>
      </c>
      <c r="B4451" s="1" t="s">
        <v>458</v>
      </c>
      <c r="C4451" s="1" t="s">
        <v>17</v>
      </c>
      <c r="D4451" s="1" t="s">
        <v>18</v>
      </c>
      <c r="E4451" s="1" t="s">
        <v>44</v>
      </c>
      <c r="F4451" s="2" t="s">
        <v>1860</v>
      </c>
      <c r="G4451" s="1">
        <v>6.48</v>
      </c>
      <c r="H4451" s="1">
        <v>1</v>
      </c>
      <c r="I4451" s="1">
        <v>3.1103999999999998</v>
      </c>
    </row>
    <row r="4452" spans="1:9" x14ac:dyDescent="0.35">
      <c r="A4452" s="3" t="s">
        <v>3553</v>
      </c>
      <c r="B4452" s="1" t="s">
        <v>458</v>
      </c>
      <c r="C4452" s="1" t="s">
        <v>17</v>
      </c>
      <c r="D4452" s="1" t="s">
        <v>18</v>
      </c>
      <c r="E4452" s="1" t="s">
        <v>87</v>
      </c>
      <c r="F4452" s="2" t="s">
        <v>1113</v>
      </c>
      <c r="G4452" s="1">
        <v>186.69</v>
      </c>
      <c r="H4452" s="1">
        <v>3</v>
      </c>
      <c r="I4452" s="1">
        <v>87.744299999999996</v>
      </c>
    </row>
    <row r="4453" spans="1:9" x14ac:dyDescent="0.35">
      <c r="A4453" s="3">
        <v>42467</v>
      </c>
      <c r="B4453" s="1" t="s">
        <v>2694</v>
      </c>
      <c r="C4453" s="1" t="s">
        <v>64</v>
      </c>
      <c r="D4453" s="1" t="s">
        <v>18</v>
      </c>
      <c r="E4453" s="1" t="s">
        <v>29</v>
      </c>
      <c r="F4453" s="2" t="s">
        <v>950</v>
      </c>
      <c r="G4453" s="1">
        <v>25.4</v>
      </c>
      <c r="H4453" s="1">
        <v>5</v>
      </c>
      <c r="I4453" s="1">
        <v>8.6359999999999992</v>
      </c>
    </row>
    <row r="4454" spans="1:9" x14ac:dyDescent="0.35">
      <c r="A4454" s="3">
        <v>42467</v>
      </c>
      <c r="B4454" s="1" t="s">
        <v>2694</v>
      </c>
      <c r="C4454" s="1" t="s">
        <v>64</v>
      </c>
      <c r="D4454" s="1" t="s">
        <v>18</v>
      </c>
      <c r="E4454" s="1" t="s">
        <v>87</v>
      </c>
      <c r="F4454" s="2" t="s">
        <v>2771</v>
      </c>
      <c r="G4454" s="1">
        <v>43.96</v>
      </c>
      <c r="H4454" s="1">
        <v>2</v>
      </c>
      <c r="I4454" s="1">
        <v>20.661200000000001</v>
      </c>
    </row>
    <row r="4455" spans="1:9" x14ac:dyDescent="0.35">
      <c r="A4455" s="3">
        <v>42467</v>
      </c>
      <c r="B4455" s="1" t="s">
        <v>2694</v>
      </c>
      <c r="C4455" s="1" t="s">
        <v>64</v>
      </c>
      <c r="D4455" s="1" t="s">
        <v>18</v>
      </c>
      <c r="E4455" s="1" t="s">
        <v>12</v>
      </c>
      <c r="F4455" s="2" t="s">
        <v>1350</v>
      </c>
      <c r="G4455" s="1">
        <v>1279.165</v>
      </c>
      <c r="H4455" s="1">
        <v>5</v>
      </c>
      <c r="I4455" s="1">
        <v>225.73500000000001</v>
      </c>
    </row>
    <row r="4456" spans="1:9" x14ac:dyDescent="0.35">
      <c r="A4456" s="3">
        <v>42467</v>
      </c>
      <c r="B4456" s="1" t="s">
        <v>2694</v>
      </c>
      <c r="C4456" s="1" t="s">
        <v>64</v>
      </c>
      <c r="D4456" s="1" t="s">
        <v>18</v>
      </c>
      <c r="E4456" s="1" t="s">
        <v>26</v>
      </c>
      <c r="F4456" s="2" t="s">
        <v>1216</v>
      </c>
      <c r="G4456" s="1">
        <v>27.92</v>
      </c>
      <c r="H4456" s="1">
        <v>4</v>
      </c>
      <c r="I4456" s="1">
        <v>0.55840000000000001</v>
      </c>
    </row>
    <row r="4457" spans="1:9" x14ac:dyDescent="0.35">
      <c r="A4457" s="3">
        <v>42072</v>
      </c>
      <c r="B4457" s="1" t="s">
        <v>1298</v>
      </c>
      <c r="C4457" s="1" t="s">
        <v>64</v>
      </c>
      <c r="D4457" s="1" t="s">
        <v>18</v>
      </c>
      <c r="E4457" s="1" t="s">
        <v>14</v>
      </c>
      <c r="F4457" s="2" t="s">
        <v>729</v>
      </c>
      <c r="G4457" s="1">
        <v>129.56800000000001</v>
      </c>
      <c r="H4457" s="1">
        <v>2</v>
      </c>
      <c r="I4457" s="1">
        <v>-12.956799999999999</v>
      </c>
    </row>
    <row r="4458" spans="1:9" x14ac:dyDescent="0.35">
      <c r="A4458" s="3">
        <v>42072</v>
      </c>
      <c r="B4458" s="1" t="s">
        <v>1298</v>
      </c>
      <c r="C4458" s="1" t="s">
        <v>64</v>
      </c>
      <c r="D4458" s="1" t="s">
        <v>18</v>
      </c>
      <c r="E4458" s="1" t="s">
        <v>35</v>
      </c>
      <c r="F4458" s="2" t="s">
        <v>273</v>
      </c>
      <c r="G4458" s="1">
        <v>6.3680000000000003</v>
      </c>
      <c r="H4458" s="1">
        <v>2</v>
      </c>
      <c r="I4458" s="1">
        <v>2.1492</v>
      </c>
    </row>
    <row r="4459" spans="1:9" x14ac:dyDescent="0.35">
      <c r="A4459" s="3">
        <v>42924</v>
      </c>
      <c r="B4459" s="1" t="s">
        <v>1569</v>
      </c>
      <c r="C4459" s="1" t="s">
        <v>314</v>
      </c>
      <c r="D4459" s="1" t="s">
        <v>18</v>
      </c>
      <c r="E4459" s="1" t="s">
        <v>44</v>
      </c>
      <c r="F4459" s="2" t="s">
        <v>1966</v>
      </c>
      <c r="G4459" s="1">
        <v>244.55</v>
      </c>
      <c r="H4459" s="1">
        <v>5</v>
      </c>
      <c r="I4459" s="1">
        <v>114.9385</v>
      </c>
    </row>
    <row r="4460" spans="1:9" x14ac:dyDescent="0.35">
      <c r="A4460" s="3" t="s">
        <v>3328</v>
      </c>
      <c r="B4460" s="1" t="s">
        <v>1248</v>
      </c>
      <c r="C4460" s="1" t="s">
        <v>395</v>
      </c>
      <c r="D4460" s="1" t="s">
        <v>229</v>
      </c>
      <c r="E4460" s="1" t="s">
        <v>289</v>
      </c>
      <c r="F4460" s="2" t="s">
        <v>839</v>
      </c>
      <c r="G4460" s="1">
        <v>1332.4960000000001</v>
      </c>
      <c r="H4460" s="1">
        <v>2</v>
      </c>
      <c r="I4460" s="1">
        <v>-299.8116</v>
      </c>
    </row>
    <row r="4461" spans="1:9" x14ac:dyDescent="0.35">
      <c r="A4461" s="3" t="s">
        <v>3554</v>
      </c>
      <c r="B4461" s="1" t="s">
        <v>1065</v>
      </c>
      <c r="C4461" s="1" t="s">
        <v>228</v>
      </c>
      <c r="D4461" s="1" t="s">
        <v>229</v>
      </c>
      <c r="E4461" s="1" t="s">
        <v>29</v>
      </c>
      <c r="F4461" s="2" t="s">
        <v>918</v>
      </c>
      <c r="G4461" s="1">
        <v>32.776000000000003</v>
      </c>
      <c r="H4461" s="1">
        <v>1</v>
      </c>
      <c r="I4461" s="1">
        <v>3.2776000000000001</v>
      </c>
    </row>
    <row r="4462" spans="1:9" x14ac:dyDescent="0.35">
      <c r="A4462" s="3" t="s">
        <v>3554</v>
      </c>
      <c r="B4462" s="1" t="s">
        <v>1065</v>
      </c>
      <c r="C4462" s="1" t="s">
        <v>228</v>
      </c>
      <c r="D4462" s="1" t="s">
        <v>229</v>
      </c>
      <c r="E4462" s="1" t="s">
        <v>26</v>
      </c>
      <c r="F4462" s="2" t="s">
        <v>410</v>
      </c>
      <c r="G4462" s="1">
        <v>147.184</v>
      </c>
      <c r="H4462" s="1">
        <v>2</v>
      </c>
      <c r="I4462" s="1">
        <v>-29.436800000000002</v>
      </c>
    </row>
    <row r="4463" spans="1:9" x14ac:dyDescent="0.35">
      <c r="A4463" s="3" t="s">
        <v>3554</v>
      </c>
      <c r="B4463" s="1" t="s">
        <v>1065</v>
      </c>
      <c r="C4463" s="1" t="s">
        <v>228</v>
      </c>
      <c r="D4463" s="1" t="s">
        <v>229</v>
      </c>
      <c r="E4463" s="1" t="s">
        <v>81</v>
      </c>
      <c r="F4463" s="2" t="s">
        <v>328</v>
      </c>
      <c r="G4463" s="1">
        <v>54.384</v>
      </c>
      <c r="H4463" s="1">
        <v>2</v>
      </c>
      <c r="I4463" s="1">
        <v>1.3595999999999999</v>
      </c>
    </row>
    <row r="4464" spans="1:9" x14ac:dyDescent="0.35">
      <c r="A4464" s="3" t="s">
        <v>3554</v>
      </c>
      <c r="B4464" s="1" t="s">
        <v>1065</v>
      </c>
      <c r="C4464" s="1" t="s">
        <v>228</v>
      </c>
      <c r="D4464" s="1" t="s">
        <v>229</v>
      </c>
      <c r="E4464" s="1" t="s">
        <v>35</v>
      </c>
      <c r="F4464" s="2" t="s">
        <v>2049</v>
      </c>
      <c r="G4464" s="1">
        <v>76.775999999999996</v>
      </c>
      <c r="H4464" s="1">
        <v>4</v>
      </c>
      <c r="I4464" s="1">
        <v>-58.861600000000003</v>
      </c>
    </row>
    <row r="4465" spans="1:9" x14ac:dyDescent="0.35">
      <c r="A4465" s="3" t="s">
        <v>3554</v>
      </c>
      <c r="B4465" s="1" t="s">
        <v>1065</v>
      </c>
      <c r="C4465" s="1" t="s">
        <v>228</v>
      </c>
      <c r="D4465" s="1" t="s">
        <v>229</v>
      </c>
      <c r="E4465" s="1" t="s">
        <v>44</v>
      </c>
      <c r="F4465" s="2" t="s">
        <v>2772</v>
      </c>
      <c r="G4465" s="1">
        <v>14.352</v>
      </c>
      <c r="H4465" s="1">
        <v>3</v>
      </c>
      <c r="I4465" s="1">
        <v>5.2026000000000003</v>
      </c>
    </row>
    <row r="4466" spans="1:9" x14ac:dyDescent="0.35">
      <c r="A4466" s="3" t="s">
        <v>3554</v>
      </c>
      <c r="B4466" s="1" t="s">
        <v>1065</v>
      </c>
      <c r="C4466" s="1" t="s">
        <v>228</v>
      </c>
      <c r="D4466" s="1" t="s">
        <v>229</v>
      </c>
      <c r="E4466" s="1" t="s">
        <v>37</v>
      </c>
      <c r="F4466" s="2" t="s">
        <v>350</v>
      </c>
      <c r="G4466" s="1">
        <v>209.792</v>
      </c>
      <c r="H4466" s="1">
        <v>2</v>
      </c>
      <c r="I4466" s="1">
        <v>26.224</v>
      </c>
    </row>
    <row r="4467" spans="1:9" x14ac:dyDescent="0.35">
      <c r="A4467" s="3">
        <v>42193</v>
      </c>
      <c r="B4467" s="1" t="s">
        <v>1351</v>
      </c>
      <c r="C4467" s="1" t="s">
        <v>2724</v>
      </c>
      <c r="D4467" s="1" t="s">
        <v>2459</v>
      </c>
      <c r="E4467" s="1" t="s">
        <v>35</v>
      </c>
      <c r="F4467" s="2" t="s">
        <v>1548</v>
      </c>
      <c r="G4467" s="1">
        <v>3.3039999999999998</v>
      </c>
      <c r="H4467" s="1">
        <v>1</v>
      </c>
      <c r="I4467" s="1">
        <v>1.1151</v>
      </c>
    </row>
    <row r="4468" spans="1:9" x14ac:dyDescent="0.35">
      <c r="A4468" s="3" t="s">
        <v>3207</v>
      </c>
      <c r="B4468" s="1" t="s">
        <v>2036</v>
      </c>
      <c r="C4468" s="1" t="s">
        <v>135</v>
      </c>
      <c r="D4468" s="1" t="s">
        <v>136</v>
      </c>
      <c r="E4468" s="1" t="s">
        <v>31</v>
      </c>
      <c r="F4468" s="2" t="s">
        <v>1441</v>
      </c>
      <c r="G4468" s="1">
        <v>16.38</v>
      </c>
      <c r="H4468" s="1">
        <v>9</v>
      </c>
      <c r="I4468" s="1">
        <v>7.3710000000000004</v>
      </c>
    </row>
    <row r="4469" spans="1:9" x14ac:dyDescent="0.35">
      <c r="A4469" s="3" t="s">
        <v>3207</v>
      </c>
      <c r="B4469" s="1" t="s">
        <v>2036</v>
      </c>
      <c r="C4469" s="1" t="s">
        <v>135</v>
      </c>
      <c r="D4469" s="1" t="s">
        <v>136</v>
      </c>
      <c r="E4469" s="1" t="s">
        <v>87</v>
      </c>
      <c r="F4469" s="2" t="s">
        <v>1631</v>
      </c>
      <c r="G4469" s="1">
        <v>167.96</v>
      </c>
      <c r="H4469" s="1">
        <v>2</v>
      </c>
      <c r="I4469" s="1">
        <v>78.941199999999995</v>
      </c>
    </row>
    <row r="4470" spans="1:9" x14ac:dyDescent="0.35">
      <c r="A4470" s="3" t="s">
        <v>3207</v>
      </c>
      <c r="B4470" s="1" t="s">
        <v>2036</v>
      </c>
      <c r="C4470" s="1" t="s">
        <v>135</v>
      </c>
      <c r="D4470" s="1" t="s">
        <v>136</v>
      </c>
      <c r="E4470" s="1" t="s">
        <v>12</v>
      </c>
      <c r="F4470" s="2" t="s">
        <v>2204</v>
      </c>
      <c r="G4470" s="1">
        <v>321.56799999999998</v>
      </c>
      <c r="H4470" s="1">
        <v>2</v>
      </c>
      <c r="I4470" s="1">
        <v>-16.078399999999998</v>
      </c>
    </row>
    <row r="4471" spans="1:9" x14ac:dyDescent="0.35">
      <c r="A4471" s="3" t="s">
        <v>3207</v>
      </c>
      <c r="B4471" s="1" t="s">
        <v>2036</v>
      </c>
      <c r="C4471" s="1" t="s">
        <v>135</v>
      </c>
      <c r="D4471" s="1" t="s">
        <v>136</v>
      </c>
      <c r="E4471" s="1" t="s">
        <v>44</v>
      </c>
      <c r="F4471" s="2" t="s">
        <v>1977</v>
      </c>
      <c r="G4471" s="1">
        <v>12.96</v>
      </c>
      <c r="H4471" s="1">
        <v>2</v>
      </c>
      <c r="I4471" s="1">
        <v>6.2207999999999997</v>
      </c>
    </row>
    <row r="4472" spans="1:9" x14ac:dyDescent="0.35">
      <c r="A4472" s="3">
        <v>42952</v>
      </c>
      <c r="B4472" s="1" t="s">
        <v>564</v>
      </c>
      <c r="C4472" s="1" t="s">
        <v>74</v>
      </c>
      <c r="D4472" s="1" t="s">
        <v>75</v>
      </c>
      <c r="E4472" s="1" t="s">
        <v>14</v>
      </c>
      <c r="F4472" s="2" t="s">
        <v>2554</v>
      </c>
      <c r="G4472" s="1">
        <v>128.05799999999999</v>
      </c>
      <c r="H4472" s="1">
        <v>3</v>
      </c>
      <c r="I4472" s="1">
        <v>-23.7822</v>
      </c>
    </row>
    <row r="4473" spans="1:9" x14ac:dyDescent="0.35">
      <c r="A4473" s="3" t="s">
        <v>3555</v>
      </c>
      <c r="B4473" s="1" t="s">
        <v>302</v>
      </c>
      <c r="C4473" s="1" t="s">
        <v>2773</v>
      </c>
      <c r="D4473" s="1" t="s">
        <v>250</v>
      </c>
      <c r="E4473" s="1" t="s">
        <v>14</v>
      </c>
      <c r="F4473" s="2" t="s">
        <v>1997</v>
      </c>
      <c r="G4473" s="1">
        <v>63.686</v>
      </c>
      <c r="H4473" s="1">
        <v>1</v>
      </c>
      <c r="I4473" s="1">
        <v>-15.4666</v>
      </c>
    </row>
    <row r="4474" spans="1:9" x14ac:dyDescent="0.35">
      <c r="A4474" s="3" t="s">
        <v>3555</v>
      </c>
      <c r="B4474" s="1" t="s">
        <v>302</v>
      </c>
      <c r="C4474" s="1" t="s">
        <v>2773</v>
      </c>
      <c r="D4474" s="1" t="s">
        <v>250</v>
      </c>
      <c r="E4474" s="1" t="s">
        <v>81</v>
      </c>
      <c r="F4474" s="2" t="s">
        <v>748</v>
      </c>
      <c r="G4474" s="1">
        <v>239.976</v>
      </c>
      <c r="H4474" s="1">
        <v>3</v>
      </c>
      <c r="I4474" s="1">
        <v>65.993399999999994</v>
      </c>
    </row>
    <row r="4475" spans="1:9" x14ac:dyDescent="0.35">
      <c r="A4475" s="3" t="s">
        <v>3555</v>
      </c>
      <c r="B4475" s="1" t="s">
        <v>302</v>
      </c>
      <c r="C4475" s="1" t="s">
        <v>2773</v>
      </c>
      <c r="D4475" s="1" t="s">
        <v>250</v>
      </c>
      <c r="E4475" s="1" t="s">
        <v>24</v>
      </c>
      <c r="F4475" s="2" t="s">
        <v>2774</v>
      </c>
      <c r="G4475" s="1">
        <v>344.22</v>
      </c>
      <c r="H4475" s="1">
        <v>2</v>
      </c>
      <c r="I4475" s="1">
        <v>-189.321</v>
      </c>
    </row>
    <row r="4476" spans="1:9" x14ac:dyDescent="0.35">
      <c r="A4476" s="3" t="s">
        <v>3555</v>
      </c>
      <c r="B4476" s="1" t="s">
        <v>302</v>
      </c>
      <c r="C4476" s="1" t="s">
        <v>2773</v>
      </c>
      <c r="D4476" s="1" t="s">
        <v>250</v>
      </c>
      <c r="E4476" s="1" t="s">
        <v>44</v>
      </c>
      <c r="F4476" s="2" t="s">
        <v>2143</v>
      </c>
      <c r="G4476" s="1">
        <v>15.552</v>
      </c>
      <c r="H4476" s="1">
        <v>3</v>
      </c>
      <c r="I4476" s="1">
        <v>5.4432</v>
      </c>
    </row>
    <row r="4477" spans="1:9" x14ac:dyDescent="0.35">
      <c r="A4477" s="3" t="s">
        <v>3555</v>
      </c>
      <c r="B4477" s="1" t="s">
        <v>302</v>
      </c>
      <c r="C4477" s="1" t="s">
        <v>2773</v>
      </c>
      <c r="D4477" s="1" t="s">
        <v>250</v>
      </c>
      <c r="E4477" s="1" t="s">
        <v>29</v>
      </c>
      <c r="F4477" s="2" t="s">
        <v>2486</v>
      </c>
      <c r="G4477" s="1">
        <v>21.248000000000001</v>
      </c>
      <c r="H4477" s="1">
        <v>4</v>
      </c>
      <c r="I4477" s="1">
        <v>7.4367999999999999</v>
      </c>
    </row>
    <row r="4478" spans="1:9" x14ac:dyDescent="0.35">
      <c r="A4478" s="3" t="s">
        <v>3555</v>
      </c>
      <c r="B4478" s="1" t="s">
        <v>302</v>
      </c>
      <c r="C4478" s="1" t="s">
        <v>2773</v>
      </c>
      <c r="D4478" s="1" t="s">
        <v>250</v>
      </c>
      <c r="E4478" s="1" t="s">
        <v>44</v>
      </c>
      <c r="F4478" s="2" t="s">
        <v>2678</v>
      </c>
      <c r="G4478" s="1">
        <v>8.4480000000000004</v>
      </c>
      <c r="H4478" s="1">
        <v>2</v>
      </c>
      <c r="I4478" s="1">
        <v>2.64</v>
      </c>
    </row>
    <row r="4479" spans="1:9" x14ac:dyDescent="0.35">
      <c r="A4479" s="3" t="s">
        <v>3214</v>
      </c>
      <c r="B4479" s="1" t="s">
        <v>1371</v>
      </c>
      <c r="C4479" s="1" t="s">
        <v>2775</v>
      </c>
      <c r="D4479" s="1" t="s">
        <v>322</v>
      </c>
      <c r="E4479" s="1" t="s">
        <v>26</v>
      </c>
      <c r="F4479" s="2" t="s">
        <v>2776</v>
      </c>
      <c r="G4479" s="1">
        <v>333.09</v>
      </c>
      <c r="H4479" s="1">
        <v>3</v>
      </c>
      <c r="I4479" s="1">
        <v>23.316299999999998</v>
      </c>
    </row>
    <row r="4480" spans="1:9" x14ac:dyDescent="0.35">
      <c r="A4480" s="3" t="s">
        <v>3214</v>
      </c>
      <c r="B4480" s="1" t="s">
        <v>1371</v>
      </c>
      <c r="C4480" s="1" t="s">
        <v>2775</v>
      </c>
      <c r="D4480" s="1" t="s">
        <v>322</v>
      </c>
      <c r="E4480" s="1" t="s">
        <v>24</v>
      </c>
      <c r="F4480" s="2" t="s">
        <v>431</v>
      </c>
      <c r="G4480" s="1">
        <v>248.98</v>
      </c>
      <c r="H4480" s="1">
        <v>2</v>
      </c>
      <c r="I4480" s="1">
        <v>54.775599999999997</v>
      </c>
    </row>
    <row r="4481" spans="1:9" x14ac:dyDescent="0.35">
      <c r="A4481" s="3" t="s">
        <v>3556</v>
      </c>
      <c r="B4481" s="1" t="s">
        <v>1128</v>
      </c>
      <c r="C4481" s="1" t="s">
        <v>135</v>
      </c>
      <c r="D4481" s="1" t="s">
        <v>136</v>
      </c>
      <c r="E4481" s="1" t="s">
        <v>44</v>
      </c>
      <c r="F4481" s="2" t="s">
        <v>2777</v>
      </c>
      <c r="G4481" s="1">
        <v>24.9</v>
      </c>
      <c r="H4481" s="1">
        <v>5</v>
      </c>
      <c r="I4481" s="1">
        <v>11.702999999999999</v>
      </c>
    </row>
    <row r="4482" spans="1:9" x14ac:dyDescent="0.35">
      <c r="A4482" s="3">
        <v>42440</v>
      </c>
      <c r="B4482" s="1" t="s">
        <v>774</v>
      </c>
      <c r="C4482" s="1" t="s">
        <v>17</v>
      </c>
      <c r="D4482" s="1" t="s">
        <v>18</v>
      </c>
      <c r="E4482" s="1" t="s">
        <v>137</v>
      </c>
      <c r="F4482" s="2" t="s">
        <v>1430</v>
      </c>
      <c r="G4482" s="1">
        <v>15.26</v>
      </c>
      <c r="H4482" s="1">
        <v>7</v>
      </c>
      <c r="I4482" s="1">
        <v>5.0358000000000001</v>
      </c>
    </row>
    <row r="4483" spans="1:9" x14ac:dyDescent="0.35">
      <c r="A4483" s="3">
        <v>42440</v>
      </c>
      <c r="B4483" s="1" t="s">
        <v>774</v>
      </c>
      <c r="C4483" s="1" t="s">
        <v>17</v>
      </c>
      <c r="D4483" s="1" t="s">
        <v>18</v>
      </c>
      <c r="E4483" s="1" t="s">
        <v>37</v>
      </c>
      <c r="F4483" s="2" t="s">
        <v>2760</v>
      </c>
      <c r="G4483" s="1">
        <v>43.32</v>
      </c>
      <c r="H4483" s="1">
        <v>2</v>
      </c>
      <c r="I4483" s="1">
        <v>14.2956</v>
      </c>
    </row>
    <row r="4484" spans="1:9" x14ac:dyDescent="0.35">
      <c r="A4484" s="3">
        <v>42440</v>
      </c>
      <c r="B4484" s="1" t="s">
        <v>774</v>
      </c>
      <c r="C4484" s="1" t="s">
        <v>17</v>
      </c>
      <c r="D4484" s="1" t="s">
        <v>18</v>
      </c>
      <c r="E4484" s="1" t="s">
        <v>35</v>
      </c>
      <c r="F4484" s="2" t="s">
        <v>247</v>
      </c>
      <c r="G4484" s="1">
        <v>43.584000000000003</v>
      </c>
      <c r="H4484" s="1">
        <v>12</v>
      </c>
      <c r="I4484" s="1">
        <v>15.799200000000001</v>
      </c>
    </row>
    <row r="4485" spans="1:9" x14ac:dyDescent="0.35">
      <c r="A4485" s="3">
        <v>42440</v>
      </c>
      <c r="B4485" s="1" t="s">
        <v>774</v>
      </c>
      <c r="C4485" s="1" t="s">
        <v>17</v>
      </c>
      <c r="D4485" s="1" t="s">
        <v>18</v>
      </c>
      <c r="E4485" s="1" t="s">
        <v>44</v>
      </c>
      <c r="F4485" s="2" t="s">
        <v>2778</v>
      </c>
      <c r="G4485" s="1">
        <v>116.28</v>
      </c>
      <c r="H4485" s="1">
        <v>3</v>
      </c>
      <c r="I4485" s="1">
        <v>56.977200000000003</v>
      </c>
    </row>
    <row r="4486" spans="1:9" x14ac:dyDescent="0.35">
      <c r="A4486" s="3">
        <v>42440</v>
      </c>
      <c r="B4486" s="1" t="s">
        <v>774</v>
      </c>
      <c r="C4486" s="1" t="s">
        <v>17</v>
      </c>
      <c r="D4486" s="1" t="s">
        <v>18</v>
      </c>
      <c r="E4486" s="1" t="s">
        <v>35</v>
      </c>
      <c r="F4486" s="2" t="s">
        <v>1215</v>
      </c>
      <c r="G4486" s="1">
        <v>9.2959999999999994</v>
      </c>
      <c r="H4486" s="1">
        <v>2</v>
      </c>
      <c r="I4486" s="1">
        <v>3.0211999999999999</v>
      </c>
    </row>
    <row r="4487" spans="1:9" x14ac:dyDescent="0.35">
      <c r="A4487" s="3">
        <v>42440</v>
      </c>
      <c r="B4487" s="1" t="s">
        <v>774</v>
      </c>
      <c r="C4487" s="1" t="s">
        <v>17</v>
      </c>
      <c r="D4487" s="1" t="s">
        <v>18</v>
      </c>
      <c r="E4487" s="1" t="s">
        <v>44</v>
      </c>
      <c r="F4487" s="2" t="s">
        <v>2132</v>
      </c>
      <c r="G4487" s="1">
        <v>19.440000000000001</v>
      </c>
      <c r="H4487" s="1">
        <v>3</v>
      </c>
      <c r="I4487" s="1">
        <v>9.3312000000000008</v>
      </c>
    </row>
    <row r="4488" spans="1:9" x14ac:dyDescent="0.35">
      <c r="A4488" s="3">
        <v>42440</v>
      </c>
      <c r="B4488" s="1" t="s">
        <v>774</v>
      </c>
      <c r="C4488" s="1" t="s">
        <v>17</v>
      </c>
      <c r="D4488" s="1" t="s">
        <v>18</v>
      </c>
      <c r="E4488" s="1" t="s">
        <v>44</v>
      </c>
      <c r="F4488" s="2" t="s">
        <v>1810</v>
      </c>
      <c r="G4488" s="1">
        <v>314.55</v>
      </c>
      <c r="H4488" s="1">
        <v>3</v>
      </c>
      <c r="I4488" s="1">
        <v>150.98400000000001</v>
      </c>
    </row>
    <row r="4489" spans="1:9" x14ac:dyDescent="0.35">
      <c r="A4489" s="3">
        <v>42133</v>
      </c>
      <c r="B4489" s="1" t="s">
        <v>1465</v>
      </c>
      <c r="C4489" s="1" t="s">
        <v>93</v>
      </c>
      <c r="D4489" s="1" t="s">
        <v>52</v>
      </c>
      <c r="E4489" s="1" t="s">
        <v>35</v>
      </c>
      <c r="F4489" s="2" t="s">
        <v>2540</v>
      </c>
      <c r="G4489" s="1">
        <v>16.27</v>
      </c>
      <c r="H4489" s="1">
        <v>5</v>
      </c>
      <c r="I4489" s="1">
        <v>-25.218499999999999</v>
      </c>
    </row>
    <row r="4490" spans="1:9" x14ac:dyDescent="0.35">
      <c r="A4490" s="3">
        <v>42133</v>
      </c>
      <c r="B4490" s="1" t="s">
        <v>1465</v>
      </c>
      <c r="C4490" s="1" t="s">
        <v>93</v>
      </c>
      <c r="D4490" s="1" t="s">
        <v>52</v>
      </c>
      <c r="E4490" s="1" t="s">
        <v>289</v>
      </c>
      <c r="F4490" s="2" t="s">
        <v>2512</v>
      </c>
      <c r="G4490" s="1">
        <v>69.12</v>
      </c>
      <c r="H4490" s="1">
        <v>9</v>
      </c>
      <c r="I4490" s="1">
        <v>-14.688000000000001</v>
      </c>
    </row>
    <row r="4491" spans="1:9" x14ac:dyDescent="0.35">
      <c r="A4491" s="3">
        <v>42133</v>
      </c>
      <c r="B4491" s="1" t="s">
        <v>1465</v>
      </c>
      <c r="C4491" s="1" t="s">
        <v>93</v>
      </c>
      <c r="D4491" s="1" t="s">
        <v>52</v>
      </c>
      <c r="E4491" s="1" t="s">
        <v>35</v>
      </c>
      <c r="F4491" s="2" t="s">
        <v>1653</v>
      </c>
      <c r="G4491" s="1">
        <v>4.47</v>
      </c>
      <c r="H4491" s="1">
        <v>3</v>
      </c>
      <c r="I4491" s="1">
        <v>-7.8224999999999998</v>
      </c>
    </row>
    <row r="4492" spans="1:9" x14ac:dyDescent="0.35">
      <c r="A4492" s="3" t="s">
        <v>3557</v>
      </c>
      <c r="B4492" s="1" t="s">
        <v>233</v>
      </c>
      <c r="C4492" s="1" t="s">
        <v>17</v>
      </c>
      <c r="D4492" s="1" t="s">
        <v>18</v>
      </c>
      <c r="E4492" s="1" t="s">
        <v>24</v>
      </c>
      <c r="F4492" s="2" t="s">
        <v>1086</v>
      </c>
      <c r="G4492" s="1">
        <v>418.29599999999999</v>
      </c>
      <c r="H4492" s="1">
        <v>3</v>
      </c>
      <c r="I4492" s="1">
        <v>5.2286999999999999</v>
      </c>
    </row>
    <row r="4493" spans="1:9" x14ac:dyDescent="0.35">
      <c r="A4493" s="3">
        <v>41651</v>
      </c>
      <c r="B4493" s="1" t="s">
        <v>1120</v>
      </c>
      <c r="C4493" s="1" t="s">
        <v>249</v>
      </c>
      <c r="D4493" s="1" t="s">
        <v>250</v>
      </c>
      <c r="E4493" s="1" t="s">
        <v>579</v>
      </c>
      <c r="F4493" s="2" t="s">
        <v>2617</v>
      </c>
      <c r="G4493" s="1">
        <v>659.98800000000006</v>
      </c>
      <c r="H4493" s="1">
        <v>2</v>
      </c>
      <c r="I4493" s="1">
        <v>109.998</v>
      </c>
    </row>
    <row r="4494" spans="1:9" x14ac:dyDescent="0.35">
      <c r="A4494" s="3">
        <v>41651</v>
      </c>
      <c r="B4494" s="1" t="s">
        <v>1120</v>
      </c>
      <c r="C4494" s="1" t="s">
        <v>249</v>
      </c>
      <c r="D4494" s="1" t="s">
        <v>250</v>
      </c>
      <c r="E4494" s="1" t="s">
        <v>29</v>
      </c>
      <c r="F4494" s="2" t="s">
        <v>950</v>
      </c>
      <c r="G4494" s="1">
        <v>8.1280000000000001</v>
      </c>
      <c r="H4494" s="1">
        <v>2</v>
      </c>
      <c r="I4494" s="1">
        <v>1.4224000000000001</v>
      </c>
    </row>
    <row r="4495" spans="1:9" x14ac:dyDescent="0.35">
      <c r="A4495" s="3">
        <v>41651</v>
      </c>
      <c r="B4495" s="1" t="s">
        <v>1120</v>
      </c>
      <c r="C4495" s="1" t="s">
        <v>249</v>
      </c>
      <c r="D4495" s="1" t="s">
        <v>250</v>
      </c>
      <c r="E4495" s="1" t="s">
        <v>44</v>
      </c>
      <c r="F4495" s="2" t="s">
        <v>1977</v>
      </c>
      <c r="G4495" s="1">
        <v>36.287999999999997</v>
      </c>
      <c r="H4495" s="1">
        <v>7</v>
      </c>
      <c r="I4495" s="1">
        <v>12.700799999999999</v>
      </c>
    </row>
    <row r="4496" spans="1:9" x14ac:dyDescent="0.35">
      <c r="A4496" s="3">
        <v>41651</v>
      </c>
      <c r="B4496" s="1" t="s">
        <v>1120</v>
      </c>
      <c r="C4496" s="1" t="s">
        <v>249</v>
      </c>
      <c r="D4496" s="1" t="s">
        <v>250</v>
      </c>
      <c r="E4496" s="1" t="s">
        <v>14</v>
      </c>
      <c r="F4496" s="2" t="s">
        <v>705</v>
      </c>
      <c r="G4496" s="1">
        <v>909.72</v>
      </c>
      <c r="H4496" s="1">
        <v>6</v>
      </c>
      <c r="I4496" s="1">
        <v>-51.984000000000002</v>
      </c>
    </row>
    <row r="4497" spans="1:9" x14ac:dyDescent="0.35">
      <c r="A4497" s="3" t="s">
        <v>3558</v>
      </c>
      <c r="B4497" s="1" t="s">
        <v>469</v>
      </c>
      <c r="C4497" s="1" t="s">
        <v>17</v>
      </c>
      <c r="D4497" s="1" t="s">
        <v>18</v>
      </c>
      <c r="E4497" s="1" t="s">
        <v>12</v>
      </c>
      <c r="F4497" s="2" t="s">
        <v>1015</v>
      </c>
      <c r="G4497" s="1">
        <v>917.92349999999999</v>
      </c>
      <c r="H4497" s="1">
        <v>9</v>
      </c>
      <c r="I4497" s="1">
        <v>75.593699999999998</v>
      </c>
    </row>
    <row r="4498" spans="1:9" x14ac:dyDescent="0.35">
      <c r="A4498" s="3" t="s">
        <v>3558</v>
      </c>
      <c r="B4498" s="1" t="s">
        <v>469</v>
      </c>
      <c r="C4498" s="1" t="s">
        <v>17</v>
      </c>
      <c r="D4498" s="1" t="s">
        <v>18</v>
      </c>
      <c r="E4498" s="1" t="s">
        <v>44</v>
      </c>
      <c r="F4498" s="2" t="s">
        <v>618</v>
      </c>
      <c r="G4498" s="1">
        <v>38.880000000000003</v>
      </c>
      <c r="H4498" s="1">
        <v>6</v>
      </c>
      <c r="I4498" s="1">
        <v>19.051200000000001</v>
      </c>
    </row>
    <row r="4499" spans="1:9" x14ac:dyDescent="0.35">
      <c r="A4499" s="3">
        <v>42778</v>
      </c>
      <c r="B4499" s="1" t="s">
        <v>1927</v>
      </c>
      <c r="C4499" s="1" t="s">
        <v>74</v>
      </c>
      <c r="D4499" s="1" t="s">
        <v>75</v>
      </c>
      <c r="E4499" s="1" t="s">
        <v>35</v>
      </c>
      <c r="F4499" s="2" t="s">
        <v>259</v>
      </c>
      <c r="G4499" s="1">
        <v>631.17600000000004</v>
      </c>
      <c r="H4499" s="1">
        <v>4</v>
      </c>
      <c r="I4499" s="1">
        <v>-462.86239999999998</v>
      </c>
    </row>
    <row r="4500" spans="1:9" x14ac:dyDescent="0.35">
      <c r="A4500" s="3" t="s">
        <v>3386</v>
      </c>
      <c r="B4500" s="1" t="s">
        <v>2779</v>
      </c>
      <c r="C4500" s="1" t="s">
        <v>64</v>
      </c>
      <c r="D4500" s="1" t="s">
        <v>18</v>
      </c>
      <c r="E4500" s="1" t="s">
        <v>44</v>
      </c>
      <c r="F4500" s="2" t="s">
        <v>1938</v>
      </c>
      <c r="G4500" s="1">
        <v>12.96</v>
      </c>
      <c r="H4500" s="1">
        <v>2</v>
      </c>
      <c r="I4500" s="1">
        <v>6.2207999999999997</v>
      </c>
    </row>
    <row r="4501" spans="1:9" x14ac:dyDescent="0.35">
      <c r="A4501" s="3">
        <v>42647</v>
      </c>
      <c r="B4501" s="1" t="s">
        <v>1855</v>
      </c>
      <c r="C4501" s="1" t="s">
        <v>2371</v>
      </c>
      <c r="D4501" s="1" t="s">
        <v>18</v>
      </c>
      <c r="E4501" s="1" t="s">
        <v>44</v>
      </c>
      <c r="F4501" s="2" t="s">
        <v>2143</v>
      </c>
      <c r="G4501" s="1">
        <v>12.96</v>
      </c>
      <c r="H4501" s="1">
        <v>2</v>
      </c>
      <c r="I4501" s="1">
        <v>6.2207999999999997</v>
      </c>
    </row>
    <row r="4502" spans="1:9" x14ac:dyDescent="0.35">
      <c r="A4502" s="3">
        <v>42647</v>
      </c>
      <c r="B4502" s="1" t="s">
        <v>1855</v>
      </c>
      <c r="C4502" s="1" t="s">
        <v>2371</v>
      </c>
      <c r="D4502" s="1" t="s">
        <v>18</v>
      </c>
      <c r="E4502" s="1" t="s">
        <v>35</v>
      </c>
      <c r="F4502" s="2" t="s">
        <v>2420</v>
      </c>
      <c r="G4502" s="1">
        <v>23.2</v>
      </c>
      <c r="H4502" s="1">
        <v>5</v>
      </c>
      <c r="I4502" s="1">
        <v>8.1199999999999992</v>
      </c>
    </row>
    <row r="4503" spans="1:9" x14ac:dyDescent="0.35">
      <c r="A4503" s="3" t="s">
        <v>3231</v>
      </c>
      <c r="B4503" s="1" t="s">
        <v>411</v>
      </c>
      <c r="C4503" s="1" t="s">
        <v>93</v>
      </c>
      <c r="D4503" s="1" t="s">
        <v>52</v>
      </c>
      <c r="E4503" s="1" t="s">
        <v>44</v>
      </c>
      <c r="F4503" s="2" t="s">
        <v>911</v>
      </c>
      <c r="G4503" s="1">
        <v>25.92</v>
      </c>
      <c r="H4503" s="1">
        <v>5</v>
      </c>
      <c r="I4503" s="1">
        <v>9.0719999999999992</v>
      </c>
    </row>
    <row r="4504" spans="1:9" x14ac:dyDescent="0.35">
      <c r="A4504" s="3" t="s">
        <v>3231</v>
      </c>
      <c r="B4504" s="1" t="s">
        <v>411</v>
      </c>
      <c r="C4504" s="1" t="s">
        <v>93</v>
      </c>
      <c r="D4504" s="1" t="s">
        <v>52</v>
      </c>
      <c r="E4504" s="1" t="s">
        <v>137</v>
      </c>
      <c r="F4504" s="2" t="s">
        <v>281</v>
      </c>
      <c r="G4504" s="1">
        <v>21.312000000000001</v>
      </c>
      <c r="H4504" s="1">
        <v>6</v>
      </c>
      <c r="I4504" s="1">
        <v>7.1928000000000001</v>
      </c>
    </row>
    <row r="4505" spans="1:9" x14ac:dyDescent="0.35">
      <c r="A4505" s="3" t="s">
        <v>3559</v>
      </c>
      <c r="B4505" s="1" t="s">
        <v>1488</v>
      </c>
      <c r="C4505" s="1" t="s">
        <v>17</v>
      </c>
      <c r="D4505" s="1" t="s">
        <v>18</v>
      </c>
      <c r="E4505" s="1" t="s">
        <v>33</v>
      </c>
      <c r="F4505" s="2" t="s">
        <v>2780</v>
      </c>
      <c r="G4505" s="1">
        <v>173.65600000000001</v>
      </c>
      <c r="H4505" s="1">
        <v>7</v>
      </c>
      <c r="I4505" s="1">
        <v>17.365600000000001</v>
      </c>
    </row>
    <row r="4506" spans="1:9" x14ac:dyDescent="0.35">
      <c r="A4506" s="3" t="s">
        <v>3559</v>
      </c>
      <c r="B4506" s="1" t="s">
        <v>1488</v>
      </c>
      <c r="C4506" s="1" t="s">
        <v>17</v>
      </c>
      <c r="D4506" s="1" t="s">
        <v>18</v>
      </c>
      <c r="E4506" s="1" t="s">
        <v>37</v>
      </c>
      <c r="F4506" s="2" t="s">
        <v>1852</v>
      </c>
      <c r="G4506" s="1">
        <v>361.96</v>
      </c>
      <c r="H4506" s="1">
        <v>2</v>
      </c>
      <c r="I4506" s="1">
        <v>101.3488</v>
      </c>
    </row>
    <row r="4507" spans="1:9" x14ac:dyDescent="0.35">
      <c r="A4507" s="3" t="s">
        <v>3559</v>
      </c>
      <c r="B4507" s="1" t="s">
        <v>1488</v>
      </c>
      <c r="C4507" s="1" t="s">
        <v>17</v>
      </c>
      <c r="D4507" s="1" t="s">
        <v>18</v>
      </c>
      <c r="E4507" s="1" t="s">
        <v>81</v>
      </c>
      <c r="F4507" s="2" t="s">
        <v>638</v>
      </c>
      <c r="G4507" s="1">
        <v>62.85</v>
      </c>
      <c r="H4507" s="1">
        <v>3</v>
      </c>
      <c r="I4507" s="1">
        <v>13.198499999999999</v>
      </c>
    </row>
    <row r="4508" spans="1:9" x14ac:dyDescent="0.35">
      <c r="A4508" s="3" t="s">
        <v>3559</v>
      </c>
      <c r="B4508" s="1" t="s">
        <v>1488</v>
      </c>
      <c r="C4508" s="1" t="s">
        <v>17</v>
      </c>
      <c r="D4508" s="1" t="s">
        <v>18</v>
      </c>
      <c r="E4508" s="1" t="s">
        <v>33</v>
      </c>
      <c r="F4508" s="2" t="s">
        <v>1122</v>
      </c>
      <c r="G4508" s="1">
        <v>818.37599999999998</v>
      </c>
      <c r="H4508" s="1">
        <v>3</v>
      </c>
      <c r="I4508" s="1">
        <v>51.148499999999999</v>
      </c>
    </row>
    <row r="4509" spans="1:9" x14ac:dyDescent="0.35">
      <c r="A4509" s="3" t="s">
        <v>3559</v>
      </c>
      <c r="B4509" s="1" t="s">
        <v>1488</v>
      </c>
      <c r="C4509" s="1" t="s">
        <v>17</v>
      </c>
      <c r="D4509" s="1" t="s">
        <v>18</v>
      </c>
      <c r="E4509" s="1" t="s">
        <v>26</v>
      </c>
      <c r="F4509" s="2" t="s">
        <v>2513</v>
      </c>
      <c r="G4509" s="1">
        <v>20.34</v>
      </c>
      <c r="H4509" s="1">
        <v>1</v>
      </c>
      <c r="I4509" s="1">
        <v>0.2034</v>
      </c>
    </row>
    <row r="4510" spans="1:9" x14ac:dyDescent="0.35">
      <c r="A4510" s="3" t="s">
        <v>3559</v>
      </c>
      <c r="B4510" s="1" t="s">
        <v>1488</v>
      </c>
      <c r="C4510" s="1" t="s">
        <v>17</v>
      </c>
      <c r="D4510" s="1" t="s">
        <v>18</v>
      </c>
      <c r="E4510" s="1" t="s">
        <v>29</v>
      </c>
      <c r="F4510" s="2" t="s">
        <v>1557</v>
      </c>
      <c r="G4510" s="1">
        <v>23.99</v>
      </c>
      <c r="H4510" s="1">
        <v>1</v>
      </c>
      <c r="I4510" s="1">
        <v>5.5176999999999996</v>
      </c>
    </row>
    <row r="4511" spans="1:9" x14ac:dyDescent="0.35">
      <c r="A4511" s="3" t="s">
        <v>3560</v>
      </c>
      <c r="B4511" s="1" t="s">
        <v>2781</v>
      </c>
      <c r="C4511" s="1" t="s">
        <v>17</v>
      </c>
      <c r="D4511" s="1" t="s">
        <v>18</v>
      </c>
      <c r="E4511" s="1" t="s">
        <v>24</v>
      </c>
      <c r="F4511" s="2" t="s">
        <v>1244</v>
      </c>
      <c r="G4511" s="1">
        <v>171.28800000000001</v>
      </c>
      <c r="H4511" s="1">
        <v>3</v>
      </c>
      <c r="I4511" s="1">
        <v>-6.4233000000000002</v>
      </c>
    </row>
    <row r="4512" spans="1:9" x14ac:dyDescent="0.35">
      <c r="A4512" s="3">
        <v>42654</v>
      </c>
      <c r="B4512" s="1" t="s">
        <v>1324</v>
      </c>
      <c r="C4512" s="1" t="s">
        <v>162</v>
      </c>
      <c r="D4512" s="1" t="s">
        <v>298</v>
      </c>
      <c r="E4512" s="1" t="s">
        <v>29</v>
      </c>
      <c r="F4512" s="2" t="s">
        <v>2676</v>
      </c>
      <c r="G4512" s="1">
        <v>37.299999999999997</v>
      </c>
      <c r="H4512" s="1">
        <v>2</v>
      </c>
      <c r="I4512" s="1">
        <v>17.158000000000001</v>
      </c>
    </row>
    <row r="4513" spans="1:9" x14ac:dyDescent="0.35">
      <c r="A4513" s="3">
        <v>42654</v>
      </c>
      <c r="B4513" s="1" t="s">
        <v>1324</v>
      </c>
      <c r="C4513" s="1" t="s">
        <v>162</v>
      </c>
      <c r="D4513" s="1" t="s">
        <v>298</v>
      </c>
      <c r="E4513" s="1" t="s">
        <v>35</v>
      </c>
      <c r="F4513" s="2" t="s">
        <v>1364</v>
      </c>
      <c r="G4513" s="1">
        <v>81.96</v>
      </c>
      <c r="H4513" s="1">
        <v>2</v>
      </c>
      <c r="I4513" s="1">
        <v>39.340800000000002</v>
      </c>
    </row>
    <row r="4514" spans="1:9" x14ac:dyDescent="0.35">
      <c r="A4514" s="3">
        <v>42410</v>
      </c>
      <c r="B4514" s="1" t="s">
        <v>1570</v>
      </c>
      <c r="C4514" s="1" t="s">
        <v>272</v>
      </c>
      <c r="D4514" s="1" t="s">
        <v>158</v>
      </c>
      <c r="E4514" s="1" t="s">
        <v>35</v>
      </c>
      <c r="F4514" s="2" t="s">
        <v>852</v>
      </c>
      <c r="G4514" s="1">
        <v>54.792000000000002</v>
      </c>
      <c r="H4514" s="1">
        <v>6</v>
      </c>
      <c r="I4514" s="1">
        <v>-40.180799999999998</v>
      </c>
    </row>
    <row r="4515" spans="1:9" x14ac:dyDescent="0.35">
      <c r="A4515" s="3">
        <v>42530</v>
      </c>
      <c r="B4515" s="1" t="s">
        <v>2521</v>
      </c>
      <c r="C4515" s="1" t="s">
        <v>93</v>
      </c>
      <c r="D4515" s="1" t="s">
        <v>52</v>
      </c>
      <c r="E4515" s="1" t="s">
        <v>26</v>
      </c>
      <c r="F4515" s="2" t="s">
        <v>317</v>
      </c>
      <c r="G4515" s="1">
        <v>10.784000000000001</v>
      </c>
      <c r="H4515" s="1">
        <v>1</v>
      </c>
      <c r="I4515" s="1">
        <v>0.80879999999999996</v>
      </c>
    </row>
    <row r="4516" spans="1:9" x14ac:dyDescent="0.35">
      <c r="A4516" s="3" t="s">
        <v>3545</v>
      </c>
      <c r="B4516" s="1" t="s">
        <v>2054</v>
      </c>
      <c r="C4516" s="1" t="s">
        <v>2782</v>
      </c>
      <c r="D4516" s="1" t="s">
        <v>163</v>
      </c>
      <c r="E4516" s="1" t="s">
        <v>14</v>
      </c>
      <c r="F4516" s="2" t="s">
        <v>1683</v>
      </c>
      <c r="G4516" s="1">
        <v>290.98</v>
      </c>
      <c r="H4516" s="1">
        <v>1</v>
      </c>
      <c r="I4516" s="1">
        <v>75.654799999999994</v>
      </c>
    </row>
    <row r="4517" spans="1:9" x14ac:dyDescent="0.35">
      <c r="A4517" s="3" t="s">
        <v>3214</v>
      </c>
      <c r="B4517" s="1" t="s">
        <v>153</v>
      </c>
      <c r="C4517" s="1" t="s">
        <v>1897</v>
      </c>
      <c r="D4517" s="1" t="s">
        <v>322</v>
      </c>
      <c r="E4517" s="1" t="s">
        <v>31</v>
      </c>
      <c r="F4517" s="2" t="s">
        <v>2638</v>
      </c>
      <c r="G4517" s="1">
        <v>36.44</v>
      </c>
      <c r="H4517" s="1">
        <v>4</v>
      </c>
      <c r="I4517" s="1">
        <v>12.0252</v>
      </c>
    </row>
    <row r="4518" spans="1:9" x14ac:dyDescent="0.35">
      <c r="A4518" s="3" t="s">
        <v>3561</v>
      </c>
      <c r="B4518" s="1" t="s">
        <v>1000</v>
      </c>
      <c r="C4518" s="1" t="s">
        <v>47</v>
      </c>
      <c r="D4518" s="1" t="s">
        <v>48</v>
      </c>
      <c r="E4518" s="1" t="s">
        <v>44</v>
      </c>
      <c r="F4518" s="2" t="s">
        <v>2783</v>
      </c>
      <c r="G4518" s="1">
        <v>21.4</v>
      </c>
      <c r="H4518" s="1">
        <v>5</v>
      </c>
      <c r="I4518" s="1">
        <v>10.058</v>
      </c>
    </row>
    <row r="4519" spans="1:9" x14ac:dyDescent="0.35">
      <c r="A4519" s="3" t="s">
        <v>3561</v>
      </c>
      <c r="B4519" s="1" t="s">
        <v>1000</v>
      </c>
      <c r="C4519" s="1" t="s">
        <v>47</v>
      </c>
      <c r="D4519" s="1" t="s">
        <v>48</v>
      </c>
      <c r="E4519" s="1" t="s">
        <v>35</v>
      </c>
      <c r="F4519" s="2" t="s">
        <v>943</v>
      </c>
      <c r="G4519" s="1">
        <v>48.664000000000001</v>
      </c>
      <c r="H4519" s="1">
        <v>7</v>
      </c>
      <c r="I4519" s="1">
        <v>15.815799999999999</v>
      </c>
    </row>
    <row r="4520" spans="1:9" x14ac:dyDescent="0.35">
      <c r="A4520" s="3" t="s">
        <v>3499</v>
      </c>
      <c r="B4520" s="1" t="s">
        <v>1751</v>
      </c>
      <c r="C4520" s="1" t="s">
        <v>64</v>
      </c>
      <c r="D4520" s="1" t="s">
        <v>18</v>
      </c>
      <c r="E4520" s="1" t="s">
        <v>31</v>
      </c>
      <c r="F4520" s="2" t="s">
        <v>337</v>
      </c>
      <c r="G4520" s="1">
        <v>16.559999999999999</v>
      </c>
      <c r="H4520" s="1">
        <v>4</v>
      </c>
      <c r="I4520" s="1">
        <v>6.9551999999999996</v>
      </c>
    </row>
    <row r="4521" spans="1:9" x14ac:dyDescent="0.35">
      <c r="A4521" s="3">
        <v>43014</v>
      </c>
      <c r="B4521" s="1" t="s">
        <v>1914</v>
      </c>
      <c r="C4521" s="1" t="s">
        <v>719</v>
      </c>
      <c r="D4521" s="1" t="s">
        <v>23</v>
      </c>
      <c r="E4521" s="1" t="s">
        <v>26</v>
      </c>
      <c r="F4521" s="2" t="s">
        <v>2784</v>
      </c>
      <c r="G4521" s="1">
        <v>1347.52</v>
      </c>
      <c r="H4521" s="1">
        <v>8</v>
      </c>
      <c r="I4521" s="1">
        <v>84.22</v>
      </c>
    </row>
    <row r="4522" spans="1:9" x14ac:dyDescent="0.35">
      <c r="A4522" s="3" t="s">
        <v>3562</v>
      </c>
      <c r="B4522" s="1" t="s">
        <v>104</v>
      </c>
      <c r="C4522" s="1" t="s">
        <v>693</v>
      </c>
      <c r="D4522" s="1" t="s">
        <v>129</v>
      </c>
      <c r="E4522" s="1" t="s">
        <v>81</v>
      </c>
      <c r="F4522" s="2" t="s">
        <v>1980</v>
      </c>
      <c r="G4522" s="1">
        <v>62.31</v>
      </c>
      <c r="H4522" s="1">
        <v>3</v>
      </c>
      <c r="I4522" s="1">
        <v>22.4316</v>
      </c>
    </row>
    <row r="4523" spans="1:9" x14ac:dyDescent="0.35">
      <c r="A4523" s="3" t="s">
        <v>3562</v>
      </c>
      <c r="B4523" s="1" t="s">
        <v>104</v>
      </c>
      <c r="C4523" s="1" t="s">
        <v>693</v>
      </c>
      <c r="D4523" s="1" t="s">
        <v>129</v>
      </c>
      <c r="E4523" s="1" t="s">
        <v>29</v>
      </c>
      <c r="F4523" s="2" t="s">
        <v>950</v>
      </c>
      <c r="G4523" s="1">
        <v>20.32</v>
      </c>
      <c r="H4523" s="1">
        <v>4</v>
      </c>
      <c r="I4523" s="1">
        <v>6.9088000000000003</v>
      </c>
    </row>
    <row r="4524" spans="1:9" x14ac:dyDescent="0.35">
      <c r="A4524" s="3" t="s">
        <v>3363</v>
      </c>
      <c r="B4524" s="1" t="s">
        <v>654</v>
      </c>
      <c r="C4524" s="1" t="s">
        <v>697</v>
      </c>
      <c r="D4524" s="1" t="s">
        <v>229</v>
      </c>
      <c r="E4524" s="1" t="s">
        <v>137</v>
      </c>
      <c r="F4524" s="2" t="s">
        <v>281</v>
      </c>
      <c r="G4524" s="1">
        <v>9.4320000000000004</v>
      </c>
      <c r="H4524" s="1">
        <v>3</v>
      </c>
      <c r="I4524" s="1">
        <v>3.0653999999999999</v>
      </c>
    </row>
    <row r="4525" spans="1:9" x14ac:dyDescent="0.35">
      <c r="A4525" s="3">
        <v>41681</v>
      </c>
      <c r="B4525" s="1" t="s">
        <v>2748</v>
      </c>
      <c r="C4525" s="1" t="s">
        <v>135</v>
      </c>
      <c r="D4525" s="1" t="s">
        <v>136</v>
      </c>
      <c r="E4525" s="1" t="s">
        <v>19</v>
      </c>
      <c r="F4525" s="2" t="s">
        <v>1124</v>
      </c>
      <c r="G4525" s="1">
        <v>34.86</v>
      </c>
      <c r="H4525" s="1">
        <v>7</v>
      </c>
      <c r="I4525" s="1">
        <v>16.035599999999999</v>
      </c>
    </row>
    <row r="4526" spans="1:9" x14ac:dyDescent="0.35">
      <c r="A4526" s="3">
        <v>41681</v>
      </c>
      <c r="B4526" s="1" t="s">
        <v>2748</v>
      </c>
      <c r="C4526" s="1" t="s">
        <v>135</v>
      </c>
      <c r="D4526" s="1" t="s">
        <v>136</v>
      </c>
      <c r="E4526" s="1" t="s">
        <v>29</v>
      </c>
      <c r="F4526" s="2" t="s">
        <v>1588</v>
      </c>
      <c r="G4526" s="1">
        <v>89.34</v>
      </c>
      <c r="H4526" s="1">
        <v>6</v>
      </c>
      <c r="I4526" s="1">
        <v>24.1218</v>
      </c>
    </row>
    <row r="4527" spans="1:9" x14ac:dyDescent="0.35">
      <c r="A4527" s="3" t="s">
        <v>3563</v>
      </c>
      <c r="B4527" s="1" t="s">
        <v>1238</v>
      </c>
      <c r="C4527" s="1" t="s">
        <v>2785</v>
      </c>
      <c r="D4527" s="1" t="s">
        <v>136</v>
      </c>
      <c r="E4527" s="1" t="s">
        <v>33</v>
      </c>
      <c r="F4527" s="2" t="s">
        <v>324</v>
      </c>
      <c r="G4527" s="1">
        <v>269.98</v>
      </c>
      <c r="H4527" s="1">
        <v>2</v>
      </c>
      <c r="I4527" s="1">
        <v>67.495000000000005</v>
      </c>
    </row>
    <row r="4528" spans="1:9" x14ac:dyDescent="0.35">
      <c r="A4528" s="3" t="s">
        <v>3563</v>
      </c>
      <c r="B4528" s="1" t="s">
        <v>1238</v>
      </c>
      <c r="C4528" s="1" t="s">
        <v>2785</v>
      </c>
      <c r="D4528" s="1" t="s">
        <v>136</v>
      </c>
      <c r="E4528" s="1" t="s">
        <v>44</v>
      </c>
      <c r="F4528" s="2" t="s">
        <v>2786</v>
      </c>
      <c r="G4528" s="1">
        <v>99.9</v>
      </c>
      <c r="H4528" s="1">
        <v>5</v>
      </c>
      <c r="I4528" s="1">
        <v>47.951999999999998</v>
      </c>
    </row>
    <row r="4529" spans="1:9" x14ac:dyDescent="0.35">
      <c r="A4529" s="3" t="s">
        <v>3563</v>
      </c>
      <c r="B4529" s="1" t="s">
        <v>1238</v>
      </c>
      <c r="C4529" s="1" t="s">
        <v>2785</v>
      </c>
      <c r="D4529" s="1" t="s">
        <v>136</v>
      </c>
      <c r="E4529" s="1" t="s">
        <v>29</v>
      </c>
      <c r="F4529" s="2" t="s">
        <v>2193</v>
      </c>
      <c r="G4529" s="1">
        <v>39.08</v>
      </c>
      <c r="H4529" s="1">
        <v>4</v>
      </c>
      <c r="I4529" s="1">
        <v>14.4596</v>
      </c>
    </row>
    <row r="4530" spans="1:9" x14ac:dyDescent="0.35">
      <c r="A4530" s="3">
        <v>42956</v>
      </c>
      <c r="B4530" s="1" t="s">
        <v>1041</v>
      </c>
      <c r="C4530" s="1" t="s">
        <v>2114</v>
      </c>
      <c r="D4530" s="1" t="s">
        <v>250</v>
      </c>
      <c r="E4530" s="1" t="s">
        <v>81</v>
      </c>
      <c r="F4530" s="2" t="s">
        <v>2181</v>
      </c>
      <c r="G4530" s="1">
        <v>116.83199999999999</v>
      </c>
      <c r="H4530" s="1">
        <v>4</v>
      </c>
      <c r="I4530" s="1">
        <v>33.589199999999998</v>
      </c>
    </row>
    <row r="4531" spans="1:9" x14ac:dyDescent="0.35">
      <c r="A4531" s="3" t="s">
        <v>3564</v>
      </c>
      <c r="B4531" s="1" t="s">
        <v>460</v>
      </c>
      <c r="C4531" s="1" t="s">
        <v>93</v>
      </c>
      <c r="D4531" s="1" t="s">
        <v>52</v>
      </c>
      <c r="E4531" s="1" t="s">
        <v>35</v>
      </c>
      <c r="F4531" s="2" t="s">
        <v>2002</v>
      </c>
      <c r="G4531" s="1">
        <v>2.2959999999999998</v>
      </c>
      <c r="H4531" s="1">
        <v>2</v>
      </c>
      <c r="I4531" s="1">
        <v>-3.9032</v>
      </c>
    </row>
    <row r="4532" spans="1:9" x14ac:dyDescent="0.35">
      <c r="A4532" s="3" t="s">
        <v>3564</v>
      </c>
      <c r="B4532" s="1" t="s">
        <v>391</v>
      </c>
      <c r="C4532" s="1" t="s">
        <v>135</v>
      </c>
      <c r="D4532" s="1" t="s">
        <v>136</v>
      </c>
      <c r="E4532" s="1" t="s">
        <v>14</v>
      </c>
      <c r="F4532" s="2" t="s">
        <v>1108</v>
      </c>
      <c r="G4532" s="1">
        <v>408.00599999999997</v>
      </c>
      <c r="H4532" s="1">
        <v>2</v>
      </c>
      <c r="I4532" s="1">
        <v>72.534400000000005</v>
      </c>
    </row>
    <row r="4533" spans="1:9" x14ac:dyDescent="0.35">
      <c r="A4533" s="3" t="s">
        <v>3564</v>
      </c>
      <c r="B4533" s="1" t="s">
        <v>391</v>
      </c>
      <c r="C4533" s="1" t="s">
        <v>135</v>
      </c>
      <c r="D4533" s="1" t="s">
        <v>136</v>
      </c>
      <c r="E4533" s="1" t="s">
        <v>26</v>
      </c>
      <c r="F4533" s="2" t="s">
        <v>317</v>
      </c>
      <c r="G4533" s="1">
        <v>40.44</v>
      </c>
      <c r="H4533" s="1">
        <v>3</v>
      </c>
      <c r="I4533" s="1">
        <v>10.5144</v>
      </c>
    </row>
    <row r="4534" spans="1:9" x14ac:dyDescent="0.35">
      <c r="A4534" s="3">
        <v>41922</v>
      </c>
      <c r="B4534" s="1" t="s">
        <v>750</v>
      </c>
      <c r="C4534" s="1" t="s">
        <v>2086</v>
      </c>
      <c r="D4534" s="1" t="s">
        <v>18</v>
      </c>
      <c r="E4534" s="1" t="s">
        <v>14</v>
      </c>
      <c r="F4534" s="2" t="s">
        <v>76</v>
      </c>
      <c r="G4534" s="1">
        <v>122.352</v>
      </c>
      <c r="H4534" s="1">
        <v>3</v>
      </c>
      <c r="I4534" s="1">
        <v>13.7646</v>
      </c>
    </row>
    <row r="4535" spans="1:9" x14ac:dyDescent="0.35">
      <c r="A4535" s="3">
        <v>41922</v>
      </c>
      <c r="B4535" s="1" t="s">
        <v>750</v>
      </c>
      <c r="C4535" s="1" t="s">
        <v>2086</v>
      </c>
      <c r="D4535" s="1" t="s">
        <v>18</v>
      </c>
      <c r="E4535" s="1" t="s">
        <v>87</v>
      </c>
      <c r="F4535" s="2" t="s">
        <v>1040</v>
      </c>
      <c r="G4535" s="1">
        <v>15.28</v>
      </c>
      <c r="H4535" s="1">
        <v>2</v>
      </c>
      <c r="I4535" s="1">
        <v>7.4871999999999996</v>
      </c>
    </row>
    <row r="4536" spans="1:9" x14ac:dyDescent="0.35">
      <c r="A4536" s="3" t="s">
        <v>3417</v>
      </c>
      <c r="B4536" s="1" t="s">
        <v>1132</v>
      </c>
      <c r="C4536" s="1" t="s">
        <v>17</v>
      </c>
      <c r="D4536" s="1" t="s">
        <v>18</v>
      </c>
      <c r="E4536" s="1" t="s">
        <v>44</v>
      </c>
      <c r="F4536" s="2" t="s">
        <v>673</v>
      </c>
      <c r="G4536" s="1">
        <v>11.96</v>
      </c>
      <c r="H4536" s="1">
        <v>2</v>
      </c>
      <c r="I4536" s="1">
        <v>5.8604000000000003</v>
      </c>
    </row>
    <row r="4537" spans="1:9" x14ac:dyDescent="0.35">
      <c r="A4537" s="3">
        <v>42954</v>
      </c>
      <c r="B4537" s="1" t="s">
        <v>2394</v>
      </c>
      <c r="C4537" s="1" t="s">
        <v>47</v>
      </c>
      <c r="D4537" s="1" t="s">
        <v>48</v>
      </c>
      <c r="E4537" s="1" t="s">
        <v>29</v>
      </c>
      <c r="F4537" s="2" t="s">
        <v>2027</v>
      </c>
      <c r="G4537" s="1">
        <v>15.84</v>
      </c>
      <c r="H4537" s="1">
        <v>3</v>
      </c>
      <c r="I4537" s="1">
        <v>4.9104000000000001</v>
      </c>
    </row>
    <row r="4538" spans="1:9" x14ac:dyDescent="0.35">
      <c r="A4538" s="3">
        <v>42954</v>
      </c>
      <c r="B4538" s="1" t="s">
        <v>2394</v>
      </c>
      <c r="C4538" s="1" t="s">
        <v>47</v>
      </c>
      <c r="D4538" s="1" t="s">
        <v>48</v>
      </c>
      <c r="E4538" s="1" t="s">
        <v>35</v>
      </c>
      <c r="F4538" s="2" t="s">
        <v>708</v>
      </c>
      <c r="G4538" s="1">
        <v>86.376000000000005</v>
      </c>
      <c r="H4538" s="1">
        <v>3</v>
      </c>
      <c r="I4538" s="1">
        <v>30.2316</v>
      </c>
    </row>
    <row r="4539" spans="1:9" x14ac:dyDescent="0.35">
      <c r="A4539" s="3">
        <v>42954</v>
      </c>
      <c r="B4539" s="1" t="s">
        <v>2394</v>
      </c>
      <c r="C4539" s="1" t="s">
        <v>47</v>
      </c>
      <c r="D4539" s="1" t="s">
        <v>48</v>
      </c>
      <c r="E4539" s="1" t="s">
        <v>31</v>
      </c>
      <c r="F4539" s="2" t="s">
        <v>874</v>
      </c>
      <c r="G4539" s="1">
        <v>18.239999999999998</v>
      </c>
      <c r="H4539" s="1">
        <v>3</v>
      </c>
      <c r="I4539" s="1">
        <v>6.2016</v>
      </c>
    </row>
    <row r="4540" spans="1:9" x14ac:dyDescent="0.35">
      <c r="A4540" s="3">
        <v>42954</v>
      </c>
      <c r="B4540" s="1" t="s">
        <v>2394</v>
      </c>
      <c r="C4540" s="1" t="s">
        <v>47</v>
      </c>
      <c r="D4540" s="1" t="s">
        <v>48</v>
      </c>
      <c r="E4540" s="1" t="s">
        <v>31</v>
      </c>
      <c r="F4540" s="2" t="s">
        <v>647</v>
      </c>
      <c r="G4540" s="1">
        <v>13.12</v>
      </c>
      <c r="H4540" s="1">
        <v>4</v>
      </c>
      <c r="I4540" s="1">
        <v>4.3296000000000001</v>
      </c>
    </row>
    <row r="4541" spans="1:9" x14ac:dyDescent="0.35">
      <c r="A4541" s="3" t="s">
        <v>3453</v>
      </c>
      <c r="B4541" s="1" t="s">
        <v>110</v>
      </c>
      <c r="C4541" s="1" t="s">
        <v>1544</v>
      </c>
      <c r="D4541" s="1" t="s">
        <v>663</v>
      </c>
      <c r="E4541" s="1" t="s">
        <v>33</v>
      </c>
      <c r="F4541" s="2" t="s">
        <v>910</v>
      </c>
      <c r="G4541" s="1">
        <v>105.98</v>
      </c>
      <c r="H4541" s="1">
        <v>2</v>
      </c>
      <c r="I4541" s="1">
        <v>1.0598000000000001</v>
      </c>
    </row>
    <row r="4542" spans="1:9" x14ac:dyDescent="0.35">
      <c r="A4542" s="3" t="s">
        <v>3453</v>
      </c>
      <c r="B4542" s="1" t="s">
        <v>110</v>
      </c>
      <c r="C4542" s="1" t="s">
        <v>1544</v>
      </c>
      <c r="D4542" s="1" t="s">
        <v>663</v>
      </c>
      <c r="E4542" s="1" t="s">
        <v>24</v>
      </c>
      <c r="F4542" s="2" t="s">
        <v>2544</v>
      </c>
      <c r="G4542" s="1">
        <v>493.92</v>
      </c>
      <c r="H4542" s="1">
        <v>7</v>
      </c>
      <c r="I4542" s="1">
        <v>-28.224</v>
      </c>
    </row>
    <row r="4543" spans="1:9" x14ac:dyDescent="0.35">
      <c r="A4543" s="3" t="s">
        <v>3237</v>
      </c>
      <c r="B4543" s="1" t="s">
        <v>611</v>
      </c>
      <c r="C4543" s="1" t="s">
        <v>154</v>
      </c>
      <c r="D4543" s="1" t="s">
        <v>106</v>
      </c>
      <c r="E4543" s="1" t="s">
        <v>35</v>
      </c>
      <c r="F4543" s="2" t="s">
        <v>54</v>
      </c>
      <c r="G4543" s="1">
        <v>5.9359999999999999</v>
      </c>
      <c r="H4543" s="1">
        <v>7</v>
      </c>
      <c r="I4543" s="1">
        <v>-8.9039999999999999</v>
      </c>
    </row>
    <row r="4544" spans="1:9" x14ac:dyDescent="0.35">
      <c r="A4544" s="3" t="s">
        <v>3565</v>
      </c>
      <c r="B4544" s="1" t="s">
        <v>2787</v>
      </c>
      <c r="C4544" s="1" t="s">
        <v>1999</v>
      </c>
      <c r="D4544" s="1" t="s">
        <v>322</v>
      </c>
      <c r="E4544" s="1" t="s">
        <v>87</v>
      </c>
      <c r="F4544" s="2" t="s">
        <v>2788</v>
      </c>
      <c r="G4544" s="1">
        <v>325.86</v>
      </c>
      <c r="H4544" s="1">
        <v>2</v>
      </c>
      <c r="I4544" s="1">
        <v>149.8956</v>
      </c>
    </row>
    <row r="4545" spans="1:9" x14ac:dyDescent="0.35">
      <c r="A4545" s="3">
        <v>42345</v>
      </c>
      <c r="B4545" s="1" t="s">
        <v>845</v>
      </c>
      <c r="C4545" s="1" t="s">
        <v>154</v>
      </c>
      <c r="D4545" s="1" t="s">
        <v>106</v>
      </c>
      <c r="E4545" s="1" t="s">
        <v>14</v>
      </c>
      <c r="F4545" s="2" t="s">
        <v>435</v>
      </c>
      <c r="G4545" s="1">
        <v>383.60700000000003</v>
      </c>
      <c r="H4545" s="1">
        <v>9</v>
      </c>
      <c r="I4545" s="1">
        <v>-5.4801000000000002</v>
      </c>
    </row>
    <row r="4546" spans="1:9" x14ac:dyDescent="0.35">
      <c r="A4546" s="3">
        <v>42345</v>
      </c>
      <c r="B4546" s="1" t="s">
        <v>845</v>
      </c>
      <c r="C4546" s="1" t="s">
        <v>154</v>
      </c>
      <c r="D4546" s="1" t="s">
        <v>106</v>
      </c>
      <c r="E4546" s="1" t="s">
        <v>33</v>
      </c>
      <c r="F4546" s="2" t="s">
        <v>1538</v>
      </c>
      <c r="G4546" s="1">
        <v>148.47999999999999</v>
      </c>
      <c r="H4546" s="1">
        <v>2</v>
      </c>
      <c r="I4546" s="1">
        <v>16.704000000000001</v>
      </c>
    </row>
    <row r="4547" spans="1:9" x14ac:dyDescent="0.35">
      <c r="A4547" s="3">
        <v>42345</v>
      </c>
      <c r="B4547" s="1" t="s">
        <v>845</v>
      </c>
      <c r="C4547" s="1" t="s">
        <v>154</v>
      </c>
      <c r="D4547" s="1" t="s">
        <v>106</v>
      </c>
      <c r="E4547" s="1" t="s">
        <v>33</v>
      </c>
      <c r="F4547" s="2" t="s">
        <v>2471</v>
      </c>
      <c r="G4547" s="1">
        <v>537.54399999999998</v>
      </c>
      <c r="H4547" s="1">
        <v>7</v>
      </c>
      <c r="I4547" s="1">
        <v>53.754399999999997</v>
      </c>
    </row>
    <row r="4548" spans="1:9" x14ac:dyDescent="0.35">
      <c r="A4548" s="3">
        <v>42345</v>
      </c>
      <c r="B4548" s="1" t="s">
        <v>845</v>
      </c>
      <c r="C4548" s="1" t="s">
        <v>154</v>
      </c>
      <c r="D4548" s="1" t="s">
        <v>106</v>
      </c>
      <c r="E4548" s="1" t="s">
        <v>35</v>
      </c>
      <c r="F4548" s="2" t="s">
        <v>583</v>
      </c>
      <c r="G4548" s="1">
        <v>1.9279999999999999</v>
      </c>
      <c r="H4548" s="1">
        <v>2</v>
      </c>
      <c r="I4548" s="1">
        <v>-2.9883999999999999</v>
      </c>
    </row>
    <row r="4549" spans="1:9" x14ac:dyDescent="0.35">
      <c r="A4549" s="3">
        <v>42345</v>
      </c>
      <c r="B4549" s="1" t="s">
        <v>845</v>
      </c>
      <c r="C4549" s="1" t="s">
        <v>154</v>
      </c>
      <c r="D4549" s="1" t="s">
        <v>106</v>
      </c>
      <c r="E4549" s="1" t="s">
        <v>31</v>
      </c>
      <c r="F4549" s="2" t="s">
        <v>1141</v>
      </c>
      <c r="G4549" s="1">
        <v>6.9119999999999999</v>
      </c>
      <c r="H4549" s="1">
        <v>3</v>
      </c>
      <c r="I4549" s="1">
        <v>0.69120000000000004</v>
      </c>
    </row>
    <row r="4550" spans="1:9" x14ac:dyDescent="0.35">
      <c r="A4550" s="3">
        <v>42345</v>
      </c>
      <c r="B4550" s="1" t="s">
        <v>845</v>
      </c>
      <c r="C4550" s="1" t="s">
        <v>154</v>
      </c>
      <c r="D4550" s="1" t="s">
        <v>106</v>
      </c>
      <c r="E4550" s="1" t="s">
        <v>29</v>
      </c>
      <c r="F4550" s="2" t="s">
        <v>528</v>
      </c>
      <c r="G4550" s="1">
        <v>7.76</v>
      </c>
      <c r="H4550" s="1">
        <v>1</v>
      </c>
      <c r="I4550" s="1">
        <v>-2.1339999999999999</v>
      </c>
    </row>
    <row r="4551" spans="1:9" x14ac:dyDescent="0.35">
      <c r="A4551" s="3">
        <v>42345</v>
      </c>
      <c r="B4551" s="1" t="s">
        <v>845</v>
      </c>
      <c r="C4551" s="1" t="s">
        <v>154</v>
      </c>
      <c r="D4551" s="1" t="s">
        <v>106</v>
      </c>
      <c r="E4551" s="1" t="s">
        <v>33</v>
      </c>
      <c r="F4551" s="2" t="s">
        <v>923</v>
      </c>
      <c r="G4551" s="1">
        <v>659.16800000000001</v>
      </c>
      <c r="H4551" s="1">
        <v>4</v>
      </c>
      <c r="I4551" s="1">
        <v>49.437600000000003</v>
      </c>
    </row>
    <row r="4552" spans="1:9" x14ac:dyDescent="0.35">
      <c r="A4552" s="3" t="s">
        <v>3255</v>
      </c>
      <c r="B4552" s="1" t="s">
        <v>1407</v>
      </c>
      <c r="C4552" s="1" t="s">
        <v>612</v>
      </c>
      <c r="D4552" s="1" t="s">
        <v>368</v>
      </c>
      <c r="E4552" s="1" t="s">
        <v>19</v>
      </c>
      <c r="F4552" s="2" t="s">
        <v>2789</v>
      </c>
      <c r="G4552" s="1">
        <v>5.76</v>
      </c>
      <c r="H4552" s="1">
        <v>2</v>
      </c>
      <c r="I4552" s="1">
        <v>2.8224</v>
      </c>
    </row>
    <row r="4553" spans="1:9" x14ac:dyDescent="0.35">
      <c r="A4553" s="3" t="s">
        <v>3566</v>
      </c>
      <c r="B4553" s="1" t="s">
        <v>561</v>
      </c>
      <c r="C4553" s="1" t="s">
        <v>17</v>
      </c>
      <c r="D4553" s="1" t="s">
        <v>18</v>
      </c>
      <c r="E4553" s="1" t="s">
        <v>24</v>
      </c>
      <c r="F4553" s="2" t="s">
        <v>2003</v>
      </c>
      <c r="G4553" s="1">
        <v>351.21600000000001</v>
      </c>
      <c r="H4553" s="1">
        <v>3</v>
      </c>
      <c r="I4553" s="1">
        <v>4.3902000000000001</v>
      </c>
    </row>
    <row r="4554" spans="1:9" x14ac:dyDescent="0.35">
      <c r="A4554" s="3" t="s">
        <v>3310</v>
      </c>
      <c r="B4554" s="1" t="s">
        <v>883</v>
      </c>
      <c r="C4554" s="1" t="s">
        <v>64</v>
      </c>
      <c r="D4554" s="1" t="s">
        <v>18</v>
      </c>
      <c r="E4554" s="1" t="s">
        <v>14</v>
      </c>
      <c r="F4554" s="2" t="s">
        <v>692</v>
      </c>
      <c r="G4554" s="1">
        <v>230.28</v>
      </c>
      <c r="H4554" s="1">
        <v>3</v>
      </c>
      <c r="I4554" s="1">
        <v>23.027999999999999</v>
      </c>
    </row>
    <row r="4555" spans="1:9" x14ac:dyDescent="0.35">
      <c r="A4555" s="3" t="s">
        <v>3310</v>
      </c>
      <c r="B4555" s="1" t="s">
        <v>883</v>
      </c>
      <c r="C4555" s="1" t="s">
        <v>64</v>
      </c>
      <c r="D4555" s="1" t="s">
        <v>18</v>
      </c>
      <c r="E4555" s="1" t="s">
        <v>44</v>
      </c>
      <c r="F4555" s="2" t="s">
        <v>1109</v>
      </c>
      <c r="G4555" s="1">
        <v>12.84</v>
      </c>
      <c r="H4555" s="1">
        <v>3</v>
      </c>
      <c r="I4555" s="1">
        <v>5.7779999999999996</v>
      </c>
    </row>
    <row r="4556" spans="1:9" x14ac:dyDescent="0.35">
      <c r="A4556" s="3" t="s">
        <v>3567</v>
      </c>
      <c r="B4556" s="1" t="s">
        <v>1833</v>
      </c>
      <c r="C4556" s="1" t="s">
        <v>2790</v>
      </c>
      <c r="D4556" s="1" t="s">
        <v>57</v>
      </c>
      <c r="E4556" s="1" t="s">
        <v>35</v>
      </c>
      <c r="F4556" s="2" t="s">
        <v>213</v>
      </c>
      <c r="G4556" s="1">
        <v>56.82</v>
      </c>
      <c r="H4556" s="1">
        <v>3</v>
      </c>
      <c r="I4556" s="1">
        <v>28.41</v>
      </c>
    </row>
    <row r="4557" spans="1:9" x14ac:dyDescent="0.35">
      <c r="A4557" s="3" t="s">
        <v>3568</v>
      </c>
      <c r="B4557" s="1" t="s">
        <v>1755</v>
      </c>
      <c r="C4557" s="1" t="s">
        <v>1160</v>
      </c>
      <c r="D4557" s="1" t="s">
        <v>194</v>
      </c>
      <c r="E4557" s="1" t="s">
        <v>137</v>
      </c>
      <c r="F4557" s="2" t="s">
        <v>281</v>
      </c>
      <c r="G4557" s="1">
        <v>31.56</v>
      </c>
      <c r="H4557" s="1">
        <v>4</v>
      </c>
      <c r="I4557" s="1">
        <v>14.202</v>
      </c>
    </row>
    <row r="4558" spans="1:9" x14ac:dyDescent="0.35">
      <c r="A4558" s="3" t="s">
        <v>3568</v>
      </c>
      <c r="B4558" s="1" t="s">
        <v>1755</v>
      </c>
      <c r="C4558" s="1" t="s">
        <v>1160</v>
      </c>
      <c r="D4558" s="1" t="s">
        <v>194</v>
      </c>
      <c r="E4558" s="1" t="s">
        <v>26</v>
      </c>
      <c r="F4558" s="2" t="s">
        <v>1216</v>
      </c>
      <c r="G4558" s="1">
        <v>27.92</v>
      </c>
      <c r="H4558" s="1">
        <v>4</v>
      </c>
      <c r="I4558" s="1">
        <v>0.55840000000000001</v>
      </c>
    </row>
    <row r="4559" spans="1:9" x14ac:dyDescent="0.35">
      <c r="A4559" s="3" t="s">
        <v>3492</v>
      </c>
      <c r="B4559" s="1" t="s">
        <v>1602</v>
      </c>
      <c r="C4559" s="1" t="s">
        <v>1682</v>
      </c>
      <c r="D4559" s="1" t="s">
        <v>158</v>
      </c>
      <c r="E4559" s="1" t="s">
        <v>35</v>
      </c>
      <c r="F4559" s="2" t="s">
        <v>1210</v>
      </c>
      <c r="G4559" s="1">
        <v>8.5589999999999993</v>
      </c>
      <c r="H4559" s="1">
        <v>1</v>
      </c>
      <c r="I4559" s="1">
        <v>-6.5618999999999996</v>
      </c>
    </row>
    <row r="4560" spans="1:9" x14ac:dyDescent="0.35">
      <c r="A4560" s="3" t="s">
        <v>3569</v>
      </c>
      <c r="B4560" s="1" t="s">
        <v>2523</v>
      </c>
      <c r="C4560" s="1" t="s">
        <v>1766</v>
      </c>
      <c r="D4560" s="1" t="s">
        <v>52</v>
      </c>
      <c r="E4560" s="1" t="s">
        <v>87</v>
      </c>
      <c r="F4560" s="2" t="s">
        <v>332</v>
      </c>
      <c r="G4560" s="1">
        <v>49.567999999999998</v>
      </c>
      <c r="H4560" s="1">
        <v>2</v>
      </c>
      <c r="I4560" s="1">
        <v>17.968399999999999</v>
      </c>
    </row>
    <row r="4561" spans="1:9" x14ac:dyDescent="0.35">
      <c r="A4561" s="3">
        <v>41764</v>
      </c>
      <c r="B4561" s="1" t="s">
        <v>77</v>
      </c>
      <c r="C4561" s="1" t="s">
        <v>336</v>
      </c>
      <c r="D4561" s="1" t="s">
        <v>52</v>
      </c>
      <c r="E4561" s="1" t="s">
        <v>14</v>
      </c>
      <c r="F4561" s="2" t="s">
        <v>155</v>
      </c>
      <c r="G4561" s="1">
        <v>127.869</v>
      </c>
      <c r="H4561" s="1">
        <v>3</v>
      </c>
      <c r="I4561" s="1">
        <v>-9.1334999999999997</v>
      </c>
    </row>
    <row r="4562" spans="1:9" x14ac:dyDescent="0.35">
      <c r="A4562" s="3">
        <v>42106</v>
      </c>
      <c r="B4562" s="1" t="s">
        <v>1607</v>
      </c>
      <c r="C4562" s="1" t="s">
        <v>17</v>
      </c>
      <c r="D4562" s="1" t="s">
        <v>18</v>
      </c>
      <c r="E4562" s="1" t="s">
        <v>87</v>
      </c>
      <c r="F4562" s="2" t="s">
        <v>465</v>
      </c>
      <c r="G4562" s="1">
        <v>271.44</v>
      </c>
      <c r="H4562" s="1">
        <v>3</v>
      </c>
      <c r="I4562" s="1">
        <v>122.148</v>
      </c>
    </row>
    <row r="4563" spans="1:9" x14ac:dyDescent="0.35">
      <c r="A4563" s="3">
        <v>42106</v>
      </c>
      <c r="B4563" s="1" t="s">
        <v>1607</v>
      </c>
      <c r="C4563" s="1" t="s">
        <v>17</v>
      </c>
      <c r="D4563" s="1" t="s">
        <v>18</v>
      </c>
      <c r="E4563" s="1" t="s">
        <v>33</v>
      </c>
      <c r="F4563" s="2" t="s">
        <v>2791</v>
      </c>
      <c r="G4563" s="1">
        <v>110.352</v>
      </c>
      <c r="H4563" s="1">
        <v>3</v>
      </c>
      <c r="I4563" s="1">
        <v>8.2764000000000006</v>
      </c>
    </row>
    <row r="4564" spans="1:9" x14ac:dyDescent="0.35">
      <c r="A4564" s="3">
        <v>42106</v>
      </c>
      <c r="B4564" s="1" t="s">
        <v>1607</v>
      </c>
      <c r="C4564" s="1" t="s">
        <v>17</v>
      </c>
      <c r="D4564" s="1" t="s">
        <v>18</v>
      </c>
      <c r="E4564" s="1" t="s">
        <v>29</v>
      </c>
      <c r="F4564" s="2" t="s">
        <v>2792</v>
      </c>
      <c r="G4564" s="1">
        <v>36.4</v>
      </c>
      <c r="H4564" s="1">
        <v>5</v>
      </c>
      <c r="I4564" s="1">
        <v>13.832000000000001</v>
      </c>
    </row>
    <row r="4565" spans="1:9" x14ac:dyDescent="0.35">
      <c r="A4565" s="3" t="s">
        <v>3570</v>
      </c>
      <c r="B4565" s="1" t="s">
        <v>1192</v>
      </c>
      <c r="C4565" s="1" t="s">
        <v>2701</v>
      </c>
      <c r="D4565" s="1" t="s">
        <v>23</v>
      </c>
      <c r="E4565" s="1" t="s">
        <v>14</v>
      </c>
      <c r="F4565" s="2" t="s">
        <v>2641</v>
      </c>
      <c r="G4565" s="1">
        <v>419.13600000000002</v>
      </c>
      <c r="H4565" s="1">
        <v>4</v>
      </c>
      <c r="I4565" s="1">
        <v>-57.6312</v>
      </c>
    </row>
    <row r="4566" spans="1:9" x14ac:dyDescent="0.35">
      <c r="A4566" s="3">
        <v>41894</v>
      </c>
      <c r="B4566" s="1" t="s">
        <v>2450</v>
      </c>
      <c r="C4566" s="1" t="s">
        <v>849</v>
      </c>
      <c r="D4566" s="1" t="s">
        <v>158</v>
      </c>
      <c r="E4566" s="1" t="s">
        <v>26</v>
      </c>
      <c r="F4566" s="2" t="s">
        <v>1710</v>
      </c>
      <c r="G4566" s="1">
        <v>100.70399999999999</v>
      </c>
      <c r="H4566" s="1">
        <v>6</v>
      </c>
      <c r="I4566" s="1">
        <v>-1.2587999999999999</v>
      </c>
    </row>
    <row r="4567" spans="1:9" x14ac:dyDescent="0.35">
      <c r="A4567" s="3">
        <v>42806</v>
      </c>
      <c r="B4567" s="1" t="s">
        <v>1569</v>
      </c>
      <c r="C4567" s="1" t="s">
        <v>796</v>
      </c>
      <c r="D4567" s="1" t="s">
        <v>43</v>
      </c>
      <c r="E4567" s="1" t="s">
        <v>37</v>
      </c>
      <c r="F4567" s="2" t="s">
        <v>978</v>
      </c>
      <c r="G4567" s="1">
        <v>45.216000000000001</v>
      </c>
      <c r="H4567" s="1">
        <v>3</v>
      </c>
      <c r="I4567" s="1">
        <v>4.5216000000000003</v>
      </c>
    </row>
    <row r="4568" spans="1:9" x14ac:dyDescent="0.35">
      <c r="A4568" s="3">
        <v>42806</v>
      </c>
      <c r="B4568" s="1" t="s">
        <v>1569</v>
      </c>
      <c r="C4568" s="1" t="s">
        <v>796</v>
      </c>
      <c r="D4568" s="1" t="s">
        <v>43</v>
      </c>
      <c r="E4568" s="1" t="s">
        <v>35</v>
      </c>
      <c r="F4568" s="2" t="s">
        <v>2317</v>
      </c>
      <c r="G4568" s="1">
        <v>28.782</v>
      </c>
      <c r="H4568" s="1">
        <v>6</v>
      </c>
      <c r="I4568" s="1">
        <v>-21.1068</v>
      </c>
    </row>
    <row r="4569" spans="1:9" x14ac:dyDescent="0.35">
      <c r="A4569" s="3">
        <v>42806</v>
      </c>
      <c r="B4569" s="1" t="s">
        <v>1569</v>
      </c>
      <c r="C4569" s="1" t="s">
        <v>796</v>
      </c>
      <c r="D4569" s="1" t="s">
        <v>43</v>
      </c>
      <c r="E4569" s="1" t="s">
        <v>44</v>
      </c>
      <c r="F4569" s="2" t="s">
        <v>1408</v>
      </c>
      <c r="G4569" s="1">
        <v>24.448</v>
      </c>
      <c r="H4569" s="1">
        <v>4</v>
      </c>
      <c r="I4569" s="1">
        <v>8.8623999999999992</v>
      </c>
    </row>
    <row r="4570" spans="1:9" x14ac:dyDescent="0.35">
      <c r="A4570" s="3">
        <v>42227</v>
      </c>
      <c r="B4570" s="1" t="s">
        <v>1964</v>
      </c>
      <c r="C4570" s="1" t="s">
        <v>93</v>
      </c>
      <c r="D4570" s="1" t="s">
        <v>52</v>
      </c>
      <c r="E4570" s="1" t="s">
        <v>35</v>
      </c>
      <c r="F4570" s="2" t="s">
        <v>117</v>
      </c>
      <c r="G4570" s="1">
        <v>10.476000000000001</v>
      </c>
      <c r="H4570" s="1">
        <v>6</v>
      </c>
      <c r="I4570" s="1">
        <v>-17.285399999999999</v>
      </c>
    </row>
    <row r="4571" spans="1:9" x14ac:dyDescent="0.35">
      <c r="A4571" s="3" t="s">
        <v>3571</v>
      </c>
      <c r="B4571" s="1" t="s">
        <v>1359</v>
      </c>
      <c r="C4571" s="1" t="s">
        <v>314</v>
      </c>
      <c r="D4571" s="1" t="s">
        <v>18</v>
      </c>
      <c r="E4571" s="1" t="s">
        <v>29</v>
      </c>
      <c r="F4571" s="2" t="s">
        <v>2645</v>
      </c>
      <c r="G4571" s="1">
        <v>76.14</v>
      </c>
      <c r="H4571" s="1">
        <v>3</v>
      </c>
      <c r="I4571" s="1">
        <v>26.649000000000001</v>
      </c>
    </row>
    <row r="4572" spans="1:9" x14ac:dyDescent="0.35">
      <c r="A4572" s="3" t="s">
        <v>3572</v>
      </c>
      <c r="B4572" s="1" t="s">
        <v>555</v>
      </c>
      <c r="C4572" s="1" t="s">
        <v>2711</v>
      </c>
      <c r="D4572" s="1" t="s">
        <v>1891</v>
      </c>
      <c r="E4572" s="1" t="s">
        <v>31</v>
      </c>
      <c r="F4572" s="2" t="s">
        <v>2763</v>
      </c>
      <c r="G4572" s="1">
        <v>21.24</v>
      </c>
      <c r="H4572" s="1">
        <v>3</v>
      </c>
      <c r="I4572" s="1">
        <v>8.0711999999999993</v>
      </c>
    </row>
    <row r="4573" spans="1:9" x14ac:dyDescent="0.35">
      <c r="A4573" s="3" t="s">
        <v>3572</v>
      </c>
      <c r="B4573" s="1" t="s">
        <v>555</v>
      </c>
      <c r="C4573" s="1" t="s">
        <v>2711</v>
      </c>
      <c r="D4573" s="1" t="s">
        <v>1891</v>
      </c>
      <c r="E4573" s="1" t="s">
        <v>35</v>
      </c>
      <c r="F4573" s="2" t="s">
        <v>2049</v>
      </c>
      <c r="G4573" s="1">
        <v>127.96</v>
      </c>
      <c r="H4573" s="1">
        <v>2</v>
      </c>
      <c r="I4573" s="1">
        <v>60.141199999999998</v>
      </c>
    </row>
    <row r="4574" spans="1:9" x14ac:dyDescent="0.35">
      <c r="A4574" s="3" t="s">
        <v>3563</v>
      </c>
      <c r="B4574" s="1" t="s">
        <v>1581</v>
      </c>
      <c r="C4574" s="1" t="s">
        <v>17</v>
      </c>
      <c r="D4574" s="1" t="s">
        <v>18</v>
      </c>
      <c r="E4574" s="1" t="s">
        <v>579</v>
      </c>
      <c r="F4574" s="2" t="s">
        <v>1437</v>
      </c>
      <c r="G4574" s="1">
        <v>479.98399999999998</v>
      </c>
      <c r="H4574" s="1">
        <v>2</v>
      </c>
      <c r="I4574" s="1">
        <v>89.997</v>
      </c>
    </row>
    <row r="4575" spans="1:9" x14ac:dyDescent="0.35">
      <c r="A4575" s="3">
        <v>42716</v>
      </c>
      <c r="B4575" s="1" t="s">
        <v>1365</v>
      </c>
      <c r="C4575" s="1" t="s">
        <v>167</v>
      </c>
      <c r="D4575" s="1" t="s">
        <v>120</v>
      </c>
      <c r="E4575" s="1" t="s">
        <v>33</v>
      </c>
      <c r="F4575" s="2" t="s">
        <v>957</v>
      </c>
      <c r="G4575" s="1">
        <v>657.93</v>
      </c>
      <c r="H4575" s="1">
        <v>7</v>
      </c>
      <c r="I4575" s="1">
        <v>184.22040000000001</v>
      </c>
    </row>
    <row r="4576" spans="1:9" x14ac:dyDescent="0.35">
      <c r="A4576" s="3">
        <v>42716</v>
      </c>
      <c r="B4576" s="1" t="s">
        <v>1365</v>
      </c>
      <c r="C4576" s="1" t="s">
        <v>167</v>
      </c>
      <c r="D4576" s="1" t="s">
        <v>120</v>
      </c>
      <c r="E4576" s="1" t="s">
        <v>29</v>
      </c>
      <c r="F4576" s="2" t="s">
        <v>1517</v>
      </c>
      <c r="G4576" s="1">
        <v>33.479999999999997</v>
      </c>
      <c r="H4576" s="1">
        <v>4</v>
      </c>
      <c r="I4576" s="1">
        <v>8.7048000000000005</v>
      </c>
    </row>
    <row r="4577" spans="1:9" x14ac:dyDescent="0.35">
      <c r="A4577" s="3">
        <v>42716</v>
      </c>
      <c r="B4577" s="1" t="s">
        <v>1365</v>
      </c>
      <c r="C4577" s="1" t="s">
        <v>167</v>
      </c>
      <c r="D4577" s="1" t="s">
        <v>120</v>
      </c>
      <c r="E4577" s="1" t="s">
        <v>31</v>
      </c>
      <c r="F4577" s="2" t="s">
        <v>608</v>
      </c>
      <c r="G4577" s="1">
        <v>13.9</v>
      </c>
      <c r="H4577" s="1">
        <v>5</v>
      </c>
      <c r="I4577" s="1">
        <v>3.6139999999999999</v>
      </c>
    </row>
    <row r="4578" spans="1:9" x14ac:dyDescent="0.35">
      <c r="A4578" s="3">
        <v>42716</v>
      </c>
      <c r="B4578" s="1" t="s">
        <v>1365</v>
      </c>
      <c r="C4578" s="1" t="s">
        <v>167</v>
      </c>
      <c r="D4578" s="1" t="s">
        <v>120</v>
      </c>
      <c r="E4578" s="1" t="s">
        <v>26</v>
      </c>
      <c r="F4578" s="2" t="s">
        <v>2793</v>
      </c>
      <c r="G4578" s="1">
        <v>26.86</v>
      </c>
      <c r="H4578" s="1">
        <v>2</v>
      </c>
      <c r="I4578" s="1">
        <v>6.7149999999999999</v>
      </c>
    </row>
    <row r="4579" spans="1:9" x14ac:dyDescent="0.35">
      <c r="A4579" s="3">
        <v>41947</v>
      </c>
      <c r="B4579" s="1" t="s">
        <v>1248</v>
      </c>
      <c r="C4579" s="1" t="s">
        <v>2794</v>
      </c>
      <c r="D4579" s="1" t="s">
        <v>2459</v>
      </c>
      <c r="E4579" s="1" t="s">
        <v>35</v>
      </c>
      <c r="F4579" s="2" t="s">
        <v>2023</v>
      </c>
      <c r="G4579" s="1">
        <v>9.5839999999999996</v>
      </c>
      <c r="H4579" s="1">
        <v>1</v>
      </c>
      <c r="I4579" s="1">
        <v>3.3544</v>
      </c>
    </row>
    <row r="4580" spans="1:9" x14ac:dyDescent="0.35">
      <c r="A4580" s="3">
        <v>42253</v>
      </c>
      <c r="B4580" s="1" t="s">
        <v>1208</v>
      </c>
      <c r="C4580" s="1" t="s">
        <v>2782</v>
      </c>
      <c r="D4580" s="1" t="s">
        <v>163</v>
      </c>
      <c r="E4580" s="1" t="s">
        <v>35</v>
      </c>
      <c r="F4580" s="2" t="s">
        <v>805</v>
      </c>
      <c r="G4580" s="1">
        <v>113.1</v>
      </c>
      <c r="H4580" s="1">
        <v>3</v>
      </c>
      <c r="I4580" s="1">
        <v>56.55</v>
      </c>
    </row>
    <row r="4581" spans="1:9" x14ac:dyDescent="0.35">
      <c r="A4581" s="3" t="s">
        <v>3466</v>
      </c>
      <c r="B4581" s="1" t="s">
        <v>1591</v>
      </c>
      <c r="C4581" s="1" t="s">
        <v>135</v>
      </c>
      <c r="D4581" s="1" t="s">
        <v>136</v>
      </c>
      <c r="E4581" s="1" t="s">
        <v>44</v>
      </c>
      <c r="F4581" s="2" t="s">
        <v>2795</v>
      </c>
      <c r="G4581" s="1">
        <v>65.78</v>
      </c>
      <c r="H4581" s="1">
        <v>11</v>
      </c>
      <c r="I4581" s="1">
        <v>32.232199999999999</v>
      </c>
    </row>
    <row r="4582" spans="1:9" x14ac:dyDescent="0.35">
      <c r="A4582" s="3" t="s">
        <v>3573</v>
      </c>
      <c r="B4582" s="1" t="s">
        <v>628</v>
      </c>
      <c r="C4582" s="1" t="s">
        <v>2796</v>
      </c>
      <c r="D4582" s="1" t="s">
        <v>704</v>
      </c>
      <c r="E4582" s="1" t="s">
        <v>81</v>
      </c>
      <c r="F4582" s="2" t="s">
        <v>479</v>
      </c>
      <c r="G4582" s="1">
        <v>239.7</v>
      </c>
      <c r="H4582" s="1">
        <v>6</v>
      </c>
      <c r="I4582" s="1">
        <v>105.468</v>
      </c>
    </row>
    <row r="4583" spans="1:9" x14ac:dyDescent="0.35">
      <c r="A4583" s="3" t="s">
        <v>3287</v>
      </c>
      <c r="B4583" s="1" t="s">
        <v>1450</v>
      </c>
      <c r="C4583" s="1" t="s">
        <v>74</v>
      </c>
      <c r="D4583" s="1" t="s">
        <v>75</v>
      </c>
      <c r="E4583" s="1" t="s">
        <v>29</v>
      </c>
      <c r="F4583" s="2" t="s">
        <v>2797</v>
      </c>
      <c r="G4583" s="1">
        <v>25.632000000000001</v>
      </c>
      <c r="H4583" s="1">
        <v>3</v>
      </c>
      <c r="I4583" s="1">
        <v>3.8448000000000002</v>
      </c>
    </row>
    <row r="4584" spans="1:9" x14ac:dyDescent="0.35">
      <c r="A4584" s="3">
        <v>42649</v>
      </c>
      <c r="B4584" s="1" t="s">
        <v>2446</v>
      </c>
      <c r="C4584" s="1" t="s">
        <v>74</v>
      </c>
      <c r="D4584" s="1" t="s">
        <v>75</v>
      </c>
      <c r="E4584" s="1" t="s">
        <v>19</v>
      </c>
      <c r="F4584" s="2" t="s">
        <v>2741</v>
      </c>
      <c r="G4584" s="1">
        <v>23.616</v>
      </c>
      <c r="H4584" s="1">
        <v>8</v>
      </c>
      <c r="I4584" s="1">
        <v>7.9703999999999997</v>
      </c>
    </row>
    <row r="4585" spans="1:9" x14ac:dyDescent="0.35">
      <c r="A4585" s="3" t="s">
        <v>3278</v>
      </c>
      <c r="B4585" s="1" t="s">
        <v>2798</v>
      </c>
      <c r="C4585" s="1" t="s">
        <v>17</v>
      </c>
      <c r="D4585" s="1" t="s">
        <v>18</v>
      </c>
      <c r="E4585" s="1" t="s">
        <v>31</v>
      </c>
      <c r="F4585" s="2" t="s">
        <v>237</v>
      </c>
      <c r="G4585" s="1">
        <v>8.26</v>
      </c>
      <c r="H4585" s="1">
        <v>2</v>
      </c>
      <c r="I4585" s="1">
        <v>3.7995999999999999</v>
      </c>
    </row>
    <row r="4586" spans="1:9" x14ac:dyDescent="0.35">
      <c r="A4586" s="3">
        <v>42777</v>
      </c>
      <c r="B4586" s="1" t="s">
        <v>2321</v>
      </c>
      <c r="C4586" s="1" t="s">
        <v>2799</v>
      </c>
      <c r="D4586" s="1" t="s">
        <v>18</v>
      </c>
      <c r="E4586" s="1" t="s">
        <v>87</v>
      </c>
      <c r="F4586" s="2" t="s">
        <v>840</v>
      </c>
      <c r="G4586" s="1">
        <v>76.58</v>
      </c>
      <c r="H4586" s="1">
        <v>7</v>
      </c>
      <c r="I4586" s="1">
        <v>38.29</v>
      </c>
    </row>
    <row r="4587" spans="1:9" x14ac:dyDescent="0.35">
      <c r="A4587" s="3">
        <v>42777</v>
      </c>
      <c r="B4587" s="1" t="s">
        <v>2321</v>
      </c>
      <c r="C4587" s="1" t="s">
        <v>2799</v>
      </c>
      <c r="D4587" s="1" t="s">
        <v>18</v>
      </c>
      <c r="E4587" s="1" t="s">
        <v>31</v>
      </c>
      <c r="F4587" s="2" t="s">
        <v>2111</v>
      </c>
      <c r="G4587" s="1">
        <v>8.8000000000000007</v>
      </c>
      <c r="H4587" s="1">
        <v>5</v>
      </c>
      <c r="I4587" s="1">
        <v>4.2240000000000002</v>
      </c>
    </row>
    <row r="4588" spans="1:9" x14ac:dyDescent="0.35">
      <c r="A4588" s="3">
        <v>42777</v>
      </c>
      <c r="B4588" s="1" t="s">
        <v>2321</v>
      </c>
      <c r="C4588" s="1" t="s">
        <v>2799</v>
      </c>
      <c r="D4588" s="1" t="s">
        <v>18</v>
      </c>
      <c r="E4588" s="1" t="s">
        <v>35</v>
      </c>
      <c r="F4588" s="2" t="s">
        <v>2800</v>
      </c>
      <c r="G4588" s="1">
        <v>590.35199999999998</v>
      </c>
      <c r="H4588" s="1">
        <v>6</v>
      </c>
      <c r="I4588" s="1">
        <v>206.6232</v>
      </c>
    </row>
    <row r="4589" spans="1:9" x14ac:dyDescent="0.35">
      <c r="A4589" s="3">
        <v>42777</v>
      </c>
      <c r="B4589" s="1" t="s">
        <v>2321</v>
      </c>
      <c r="C4589" s="1" t="s">
        <v>2799</v>
      </c>
      <c r="D4589" s="1" t="s">
        <v>18</v>
      </c>
      <c r="E4589" s="1" t="s">
        <v>137</v>
      </c>
      <c r="F4589" s="2" t="s">
        <v>1367</v>
      </c>
      <c r="G4589" s="1">
        <v>5.58</v>
      </c>
      <c r="H4589" s="1">
        <v>3</v>
      </c>
      <c r="I4589" s="1">
        <v>0.16739999999999999</v>
      </c>
    </row>
    <row r="4590" spans="1:9" x14ac:dyDescent="0.35">
      <c r="A4590" s="3">
        <v>42777</v>
      </c>
      <c r="B4590" s="1" t="s">
        <v>2321</v>
      </c>
      <c r="C4590" s="1" t="s">
        <v>2799</v>
      </c>
      <c r="D4590" s="1" t="s">
        <v>18</v>
      </c>
      <c r="E4590" s="1" t="s">
        <v>29</v>
      </c>
      <c r="F4590" s="2" t="s">
        <v>2801</v>
      </c>
      <c r="G4590" s="1">
        <v>25.02</v>
      </c>
      <c r="H4590" s="1">
        <v>3</v>
      </c>
      <c r="I4590" s="1">
        <v>10.5084</v>
      </c>
    </row>
    <row r="4591" spans="1:9" x14ac:dyDescent="0.35">
      <c r="A4591" s="3">
        <v>42777</v>
      </c>
      <c r="B4591" s="1" t="s">
        <v>2321</v>
      </c>
      <c r="C4591" s="1" t="s">
        <v>2799</v>
      </c>
      <c r="D4591" s="1" t="s">
        <v>18</v>
      </c>
      <c r="E4591" s="1" t="s">
        <v>26</v>
      </c>
      <c r="F4591" s="2" t="s">
        <v>988</v>
      </c>
      <c r="G4591" s="1">
        <v>452.55</v>
      </c>
      <c r="H4591" s="1">
        <v>7</v>
      </c>
      <c r="I4591" s="1">
        <v>22.627500000000001</v>
      </c>
    </row>
    <row r="4592" spans="1:9" x14ac:dyDescent="0.35">
      <c r="A4592" s="3" t="s">
        <v>3378</v>
      </c>
      <c r="B4592" s="1" t="s">
        <v>1132</v>
      </c>
      <c r="C4592" s="1" t="s">
        <v>17</v>
      </c>
      <c r="D4592" s="1" t="s">
        <v>18</v>
      </c>
      <c r="E4592" s="1" t="s">
        <v>289</v>
      </c>
      <c r="F4592" s="2" t="s">
        <v>2124</v>
      </c>
      <c r="G4592" s="1">
        <v>17.760000000000002</v>
      </c>
      <c r="H4592" s="1">
        <v>2</v>
      </c>
      <c r="I4592" s="1">
        <v>4.9728000000000003</v>
      </c>
    </row>
    <row r="4593" spans="1:9" x14ac:dyDescent="0.35">
      <c r="A4593" s="3" t="s">
        <v>3378</v>
      </c>
      <c r="B4593" s="1" t="s">
        <v>1132</v>
      </c>
      <c r="C4593" s="1" t="s">
        <v>17</v>
      </c>
      <c r="D4593" s="1" t="s">
        <v>18</v>
      </c>
      <c r="E4593" s="1" t="s">
        <v>33</v>
      </c>
      <c r="F4593" s="2" t="s">
        <v>34</v>
      </c>
      <c r="G4593" s="1">
        <v>302.38400000000001</v>
      </c>
      <c r="H4593" s="1">
        <v>2</v>
      </c>
      <c r="I4593" s="1">
        <v>30.238399999999999</v>
      </c>
    </row>
    <row r="4594" spans="1:9" x14ac:dyDescent="0.35">
      <c r="A4594" s="3" t="s">
        <v>3378</v>
      </c>
      <c r="B4594" s="1" t="s">
        <v>1132</v>
      </c>
      <c r="C4594" s="1" t="s">
        <v>17</v>
      </c>
      <c r="D4594" s="1" t="s">
        <v>18</v>
      </c>
      <c r="E4594" s="1" t="s">
        <v>14</v>
      </c>
      <c r="F4594" s="2" t="s">
        <v>2554</v>
      </c>
      <c r="G4594" s="1">
        <v>146.352</v>
      </c>
      <c r="H4594" s="1">
        <v>3</v>
      </c>
      <c r="I4594" s="1">
        <v>-5.4882</v>
      </c>
    </row>
    <row r="4595" spans="1:9" x14ac:dyDescent="0.35">
      <c r="A4595" s="3" t="s">
        <v>3378</v>
      </c>
      <c r="B4595" s="1" t="s">
        <v>1132</v>
      </c>
      <c r="C4595" s="1" t="s">
        <v>17</v>
      </c>
      <c r="D4595" s="1" t="s">
        <v>18</v>
      </c>
      <c r="E4595" s="1" t="s">
        <v>37</v>
      </c>
      <c r="F4595" s="2" t="s">
        <v>2802</v>
      </c>
      <c r="G4595" s="1">
        <v>7.9</v>
      </c>
      <c r="H4595" s="1">
        <v>2</v>
      </c>
      <c r="I4595" s="1">
        <v>2.0539999999999998</v>
      </c>
    </row>
    <row r="4596" spans="1:9" x14ac:dyDescent="0.35">
      <c r="A4596" s="3" t="s">
        <v>3378</v>
      </c>
      <c r="B4596" s="1" t="s">
        <v>1132</v>
      </c>
      <c r="C4596" s="1" t="s">
        <v>17</v>
      </c>
      <c r="D4596" s="1" t="s">
        <v>18</v>
      </c>
      <c r="E4596" s="1" t="s">
        <v>24</v>
      </c>
      <c r="F4596" s="2" t="s">
        <v>440</v>
      </c>
      <c r="G4596" s="1">
        <v>902.71199999999999</v>
      </c>
      <c r="H4596" s="1">
        <v>3</v>
      </c>
      <c r="I4596" s="1">
        <v>33.851700000000001</v>
      </c>
    </row>
    <row r="4597" spans="1:9" x14ac:dyDescent="0.35">
      <c r="A4597" s="3" t="s">
        <v>3378</v>
      </c>
      <c r="B4597" s="1" t="s">
        <v>1132</v>
      </c>
      <c r="C4597" s="1" t="s">
        <v>17</v>
      </c>
      <c r="D4597" s="1" t="s">
        <v>18</v>
      </c>
      <c r="E4597" s="1" t="s">
        <v>31</v>
      </c>
      <c r="F4597" s="2" t="s">
        <v>1136</v>
      </c>
      <c r="G4597" s="1">
        <v>53.97</v>
      </c>
      <c r="H4597" s="1">
        <v>3</v>
      </c>
      <c r="I4597" s="1">
        <v>15.111599999999999</v>
      </c>
    </row>
    <row r="4598" spans="1:9" x14ac:dyDescent="0.35">
      <c r="A4598" s="3">
        <v>42502</v>
      </c>
      <c r="B4598" s="1" t="s">
        <v>2457</v>
      </c>
      <c r="C4598" s="1" t="s">
        <v>48</v>
      </c>
      <c r="D4598" s="1" t="s">
        <v>1328</v>
      </c>
      <c r="E4598" s="1" t="s">
        <v>31</v>
      </c>
      <c r="F4598" s="2" t="s">
        <v>1296</v>
      </c>
      <c r="G4598" s="1">
        <v>33.92</v>
      </c>
      <c r="H4598" s="1">
        <v>8</v>
      </c>
      <c r="I4598" s="1">
        <v>13.2288</v>
      </c>
    </row>
    <row r="4599" spans="1:9" x14ac:dyDescent="0.35">
      <c r="A4599" s="3" t="s">
        <v>3473</v>
      </c>
      <c r="B4599" s="1" t="s">
        <v>1365</v>
      </c>
      <c r="C4599" s="1" t="s">
        <v>1147</v>
      </c>
      <c r="D4599" s="1" t="s">
        <v>57</v>
      </c>
      <c r="E4599" s="1" t="s">
        <v>289</v>
      </c>
      <c r="F4599" s="2" t="s">
        <v>920</v>
      </c>
      <c r="G4599" s="1">
        <v>21.81</v>
      </c>
      <c r="H4599" s="1">
        <v>3</v>
      </c>
      <c r="I4599" s="1">
        <v>5.8887</v>
      </c>
    </row>
    <row r="4600" spans="1:9" x14ac:dyDescent="0.35">
      <c r="A4600" s="3" t="s">
        <v>3473</v>
      </c>
      <c r="B4600" s="1" t="s">
        <v>1365</v>
      </c>
      <c r="C4600" s="1" t="s">
        <v>1147</v>
      </c>
      <c r="D4600" s="1" t="s">
        <v>57</v>
      </c>
      <c r="E4600" s="1" t="s">
        <v>37</v>
      </c>
      <c r="F4600" s="2" t="s">
        <v>2584</v>
      </c>
      <c r="G4600" s="1">
        <v>91.6</v>
      </c>
      <c r="H4600" s="1">
        <v>5</v>
      </c>
      <c r="I4600" s="1">
        <v>26.564</v>
      </c>
    </row>
    <row r="4601" spans="1:9" x14ac:dyDescent="0.35">
      <c r="A4601" s="3" t="s">
        <v>3189</v>
      </c>
      <c r="B4601" s="1" t="s">
        <v>1614</v>
      </c>
      <c r="C4601" s="1" t="s">
        <v>1875</v>
      </c>
      <c r="D4601" s="1" t="s">
        <v>1217</v>
      </c>
      <c r="E4601" s="1" t="s">
        <v>14</v>
      </c>
      <c r="F4601" s="2" t="s">
        <v>946</v>
      </c>
      <c r="G4601" s="1">
        <v>150.97999999999999</v>
      </c>
      <c r="H4601" s="1">
        <v>1</v>
      </c>
      <c r="I4601" s="1">
        <v>43.784199999999998</v>
      </c>
    </row>
    <row r="4602" spans="1:9" x14ac:dyDescent="0.35">
      <c r="A4602" s="3" t="s">
        <v>3189</v>
      </c>
      <c r="B4602" s="1" t="s">
        <v>1614</v>
      </c>
      <c r="C4602" s="1" t="s">
        <v>1875</v>
      </c>
      <c r="D4602" s="1" t="s">
        <v>1217</v>
      </c>
      <c r="E4602" s="1" t="s">
        <v>87</v>
      </c>
      <c r="F4602" s="2" t="s">
        <v>696</v>
      </c>
      <c r="G4602" s="1">
        <v>137.25</v>
      </c>
      <c r="H4602" s="1">
        <v>9</v>
      </c>
      <c r="I4602" s="1">
        <v>63.134999999999998</v>
      </c>
    </row>
    <row r="4603" spans="1:9" x14ac:dyDescent="0.35">
      <c r="A4603" s="3" t="s">
        <v>3189</v>
      </c>
      <c r="B4603" s="1" t="s">
        <v>1614</v>
      </c>
      <c r="C4603" s="1" t="s">
        <v>1875</v>
      </c>
      <c r="D4603" s="1" t="s">
        <v>1217</v>
      </c>
      <c r="E4603" s="1" t="s">
        <v>137</v>
      </c>
      <c r="F4603" s="2" t="s">
        <v>2630</v>
      </c>
      <c r="G4603" s="1">
        <v>11.52</v>
      </c>
      <c r="H4603" s="1">
        <v>4</v>
      </c>
      <c r="I4603" s="1">
        <v>5.4143999999999997</v>
      </c>
    </row>
    <row r="4604" spans="1:9" x14ac:dyDescent="0.35">
      <c r="A4604" s="3" t="s">
        <v>3574</v>
      </c>
      <c r="B4604" s="1" t="s">
        <v>1488</v>
      </c>
      <c r="C4604" s="1" t="s">
        <v>719</v>
      </c>
      <c r="D4604" s="1" t="s">
        <v>43</v>
      </c>
      <c r="E4604" s="1" t="s">
        <v>44</v>
      </c>
      <c r="F4604" s="2" t="s">
        <v>2115</v>
      </c>
      <c r="G4604" s="1">
        <v>18.271999999999998</v>
      </c>
      <c r="H4604" s="1">
        <v>1</v>
      </c>
      <c r="I4604" s="1">
        <v>5.9383999999999997</v>
      </c>
    </row>
    <row r="4605" spans="1:9" x14ac:dyDescent="0.35">
      <c r="A4605" s="3" t="s">
        <v>3574</v>
      </c>
      <c r="B4605" s="1" t="s">
        <v>1488</v>
      </c>
      <c r="C4605" s="1" t="s">
        <v>719</v>
      </c>
      <c r="D4605" s="1" t="s">
        <v>43</v>
      </c>
      <c r="E4605" s="1" t="s">
        <v>44</v>
      </c>
      <c r="F4605" s="2" t="s">
        <v>2803</v>
      </c>
      <c r="G4605" s="1">
        <v>153.72800000000001</v>
      </c>
      <c r="H4605" s="1">
        <v>4</v>
      </c>
      <c r="I4605" s="1">
        <v>53.8048</v>
      </c>
    </row>
    <row r="4606" spans="1:9" x14ac:dyDescent="0.35">
      <c r="A4606" s="3" t="s">
        <v>3574</v>
      </c>
      <c r="B4606" s="1" t="s">
        <v>1488</v>
      </c>
      <c r="C4606" s="1" t="s">
        <v>719</v>
      </c>
      <c r="D4606" s="1" t="s">
        <v>43</v>
      </c>
      <c r="E4606" s="1" t="s">
        <v>87</v>
      </c>
      <c r="F4606" s="2" t="s">
        <v>1159</v>
      </c>
      <c r="G4606" s="1">
        <v>12.224</v>
      </c>
      <c r="H4606" s="1">
        <v>2</v>
      </c>
      <c r="I4606" s="1">
        <v>4.4311999999999996</v>
      </c>
    </row>
    <row r="4607" spans="1:9" x14ac:dyDescent="0.35">
      <c r="A4607" s="3" t="s">
        <v>3574</v>
      </c>
      <c r="B4607" s="1" t="s">
        <v>1488</v>
      </c>
      <c r="C4607" s="1" t="s">
        <v>719</v>
      </c>
      <c r="D4607" s="1" t="s">
        <v>43</v>
      </c>
      <c r="E4607" s="1" t="s">
        <v>81</v>
      </c>
      <c r="F4607" s="2" t="s">
        <v>490</v>
      </c>
      <c r="G4607" s="1">
        <v>167.94399999999999</v>
      </c>
      <c r="H4607" s="1">
        <v>7</v>
      </c>
      <c r="I4607" s="1">
        <v>50.383200000000002</v>
      </c>
    </row>
    <row r="4608" spans="1:9" x14ac:dyDescent="0.35">
      <c r="A4608" s="3" t="s">
        <v>3575</v>
      </c>
      <c r="B4608" s="1" t="s">
        <v>1700</v>
      </c>
      <c r="C4608" s="1" t="s">
        <v>197</v>
      </c>
      <c r="D4608" s="1" t="s">
        <v>136</v>
      </c>
      <c r="E4608" s="1" t="s">
        <v>33</v>
      </c>
      <c r="F4608" s="2" t="s">
        <v>107</v>
      </c>
      <c r="G4608" s="1">
        <v>45.99</v>
      </c>
      <c r="H4608" s="1">
        <v>1</v>
      </c>
      <c r="I4608" s="1">
        <v>13.3371</v>
      </c>
    </row>
    <row r="4609" spans="1:9" x14ac:dyDescent="0.35">
      <c r="A4609" s="3" t="s">
        <v>3575</v>
      </c>
      <c r="B4609" s="1" t="s">
        <v>1700</v>
      </c>
      <c r="C4609" s="1" t="s">
        <v>197</v>
      </c>
      <c r="D4609" s="1" t="s">
        <v>136</v>
      </c>
      <c r="E4609" s="1" t="s">
        <v>26</v>
      </c>
      <c r="F4609" s="2" t="s">
        <v>925</v>
      </c>
      <c r="G4609" s="1">
        <v>535.41</v>
      </c>
      <c r="H4609" s="1">
        <v>3</v>
      </c>
      <c r="I4609" s="1">
        <v>160.62299999999999</v>
      </c>
    </row>
    <row r="4610" spans="1:9" x14ac:dyDescent="0.35">
      <c r="A4610" s="3" t="s">
        <v>3575</v>
      </c>
      <c r="B4610" s="1" t="s">
        <v>1700</v>
      </c>
      <c r="C4610" s="1" t="s">
        <v>197</v>
      </c>
      <c r="D4610" s="1" t="s">
        <v>136</v>
      </c>
      <c r="E4610" s="1" t="s">
        <v>35</v>
      </c>
      <c r="F4610" s="2" t="s">
        <v>953</v>
      </c>
      <c r="G4610" s="1">
        <v>6.0960000000000001</v>
      </c>
      <c r="H4610" s="1">
        <v>2</v>
      </c>
      <c r="I4610" s="1">
        <v>2.0573999999999999</v>
      </c>
    </row>
    <row r="4611" spans="1:9" x14ac:dyDescent="0.35">
      <c r="A4611" s="3" t="s">
        <v>3575</v>
      </c>
      <c r="B4611" s="1" t="s">
        <v>1700</v>
      </c>
      <c r="C4611" s="1" t="s">
        <v>197</v>
      </c>
      <c r="D4611" s="1" t="s">
        <v>136</v>
      </c>
      <c r="E4611" s="1" t="s">
        <v>44</v>
      </c>
      <c r="F4611" s="2" t="s">
        <v>2200</v>
      </c>
      <c r="G4611" s="1">
        <v>45.36</v>
      </c>
      <c r="H4611" s="1">
        <v>7</v>
      </c>
      <c r="I4611" s="1">
        <v>21.7728</v>
      </c>
    </row>
    <row r="4612" spans="1:9" x14ac:dyDescent="0.35">
      <c r="A4612" s="3">
        <v>42989</v>
      </c>
      <c r="B4612" s="1" t="s">
        <v>169</v>
      </c>
      <c r="C4612" s="1" t="s">
        <v>1061</v>
      </c>
      <c r="D4612" s="1" t="s">
        <v>18</v>
      </c>
      <c r="E4612" s="1" t="s">
        <v>29</v>
      </c>
      <c r="F4612" s="2" t="s">
        <v>609</v>
      </c>
      <c r="G4612" s="1">
        <v>47.12</v>
      </c>
      <c r="H4612" s="1">
        <v>8</v>
      </c>
      <c r="I4612" s="1">
        <v>20.732800000000001</v>
      </c>
    </row>
    <row r="4613" spans="1:9" x14ac:dyDescent="0.35">
      <c r="A4613" s="3" t="s">
        <v>3576</v>
      </c>
      <c r="B4613" s="1" t="s">
        <v>1563</v>
      </c>
      <c r="C4613" s="1" t="s">
        <v>1507</v>
      </c>
      <c r="D4613" s="1" t="s">
        <v>704</v>
      </c>
      <c r="E4613" s="1" t="s">
        <v>35</v>
      </c>
      <c r="F4613" s="2" t="s">
        <v>830</v>
      </c>
      <c r="G4613" s="1">
        <v>31.36</v>
      </c>
      <c r="H4613" s="1">
        <v>4</v>
      </c>
      <c r="I4613" s="1">
        <v>15.68</v>
      </c>
    </row>
    <row r="4614" spans="1:9" x14ac:dyDescent="0.35">
      <c r="A4614" s="3" t="s">
        <v>3263</v>
      </c>
      <c r="B4614" s="1" t="s">
        <v>851</v>
      </c>
      <c r="C4614" s="1" t="s">
        <v>719</v>
      </c>
      <c r="D4614" s="1" t="s">
        <v>23</v>
      </c>
      <c r="E4614" s="1" t="s">
        <v>31</v>
      </c>
      <c r="F4614" s="2" t="s">
        <v>735</v>
      </c>
      <c r="G4614" s="1">
        <v>47.616</v>
      </c>
      <c r="H4614" s="1">
        <v>3</v>
      </c>
      <c r="I4614" s="1">
        <v>3.5712000000000002</v>
      </c>
    </row>
    <row r="4615" spans="1:9" x14ac:dyDescent="0.35">
      <c r="A4615" s="3" t="s">
        <v>3263</v>
      </c>
      <c r="B4615" s="1" t="s">
        <v>851</v>
      </c>
      <c r="C4615" s="1" t="s">
        <v>719</v>
      </c>
      <c r="D4615" s="1" t="s">
        <v>23</v>
      </c>
      <c r="E4615" s="1" t="s">
        <v>44</v>
      </c>
      <c r="F4615" s="2" t="s">
        <v>1227</v>
      </c>
      <c r="G4615" s="1">
        <v>23.48</v>
      </c>
      <c r="H4615" s="1">
        <v>5</v>
      </c>
      <c r="I4615" s="1">
        <v>8.218</v>
      </c>
    </row>
    <row r="4616" spans="1:9" x14ac:dyDescent="0.35">
      <c r="A4616" s="3">
        <v>42499</v>
      </c>
      <c r="B4616" s="1" t="s">
        <v>2493</v>
      </c>
      <c r="C4616" s="1" t="s">
        <v>93</v>
      </c>
      <c r="D4616" s="1" t="s">
        <v>52</v>
      </c>
      <c r="E4616" s="1" t="s">
        <v>37</v>
      </c>
      <c r="F4616" s="2" t="s">
        <v>976</v>
      </c>
      <c r="G4616" s="1">
        <v>62.79</v>
      </c>
      <c r="H4616" s="1">
        <v>3</v>
      </c>
      <c r="I4616" s="1">
        <v>-166.39349999999999</v>
      </c>
    </row>
    <row r="4617" spans="1:9" x14ac:dyDescent="0.35">
      <c r="A4617" s="3">
        <v>42499</v>
      </c>
      <c r="B4617" s="1" t="s">
        <v>2493</v>
      </c>
      <c r="C4617" s="1" t="s">
        <v>93</v>
      </c>
      <c r="D4617" s="1" t="s">
        <v>52</v>
      </c>
      <c r="E4617" s="1" t="s">
        <v>137</v>
      </c>
      <c r="F4617" s="2" t="s">
        <v>2375</v>
      </c>
      <c r="G4617" s="1">
        <v>28.44</v>
      </c>
      <c r="H4617" s="1">
        <v>9</v>
      </c>
      <c r="I4617" s="1">
        <v>4.266</v>
      </c>
    </row>
    <row r="4618" spans="1:9" x14ac:dyDescent="0.35">
      <c r="A4618" s="3">
        <v>42103</v>
      </c>
      <c r="B4618" s="1" t="s">
        <v>428</v>
      </c>
      <c r="C4618" s="1" t="s">
        <v>93</v>
      </c>
      <c r="D4618" s="1" t="s">
        <v>52</v>
      </c>
      <c r="E4618" s="1" t="s">
        <v>81</v>
      </c>
      <c r="F4618" s="2" t="s">
        <v>418</v>
      </c>
      <c r="G4618" s="1">
        <v>134.376</v>
      </c>
      <c r="H4618" s="1">
        <v>3</v>
      </c>
      <c r="I4618" s="1">
        <v>6.7187999999999999</v>
      </c>
    </row>
    <row r="4619" spans="1:9" x14ac:dyDescent="0.35">
      <c r="A4619" s="3" t="s">
        <v>3257</v>
      </c>
      <c r="B4619" s="1" t="s">
        <v>1037</v>
      </c>
      <c r="C4619" s="1" t="s">
        <v>1739</v>
      </c>
      <c r="D4619" s="1" t="s">
        <v>592</v>
      </c>
      <c r="E4619" s="1" t="s">
        <v>33</v>
      </c>
      <c r="F4619" s="2" t="s">
        <v>2563</v>
      </c>
      <c r="G4619" s="1">
        <v>589.9</v>
      </c>
      <c r="H4619" s="1">
        <v>2</v>
      </c>
      <c r="I4619" s="1">
        <v>147.47499999999999</v>
      </c>
    </row>
    <row r="4620" spans="1:9" x14ac:dyDescent="0.35">
      <c r="A4620" s="3" t="s">
        <v>3257</v>
      </c>
      <c r="B4620" s="1" t="s">
        <v>1037</v>
      </c>
      <c r="C4620" s="1" t="s">
        <v>1739</v>
      </c>
      <c r="D4620" s="1" t="s">
        <v>592</v>
      </c>
      <c r="E4620" s="1" t="s">
        <v>14</v>
      </c>
      <c r="F4620" s="2" t="s">
        <v>607</v>
      </c>
      <c r="G4620" s="1">
        <v>542.94000000000005</v>
      </c>
      <c r="H4620" s="1">
        <v>3</v>
      </c>
      <c r="I4620" s="1">
        <v>141.1644</v>
      </c>
    </row>
    <row r="4621" spans="1:9" x14ac:dyDescent="0.35">
      <c r="A4621" s="3" t="s">
        <v>3372</v>
      </c>
      <c r="B4621" s="1" t="s">
        <v>360</v>
      </c>
      <c r="C4621" s="1" t="s">
        <v>17</v>
      </c>
      <c r="D4621" s="1" t="s">
        <v>18</v>
      </c>
      <c r="E4621" s="1" t="s">
        <v>579</v>
      </c>
      <c r="F4621" s="2" t="s">
        <v>580</v>
      </c>
      <c r="G4621" s="1">
        <v>2879.9520000000002</v>
      </c>
      <c r="H4621" s="1">
        <v>6</v>
      </c>
      <c r="I4621" s="1">
        <v>1007.9832</v>
      </c>
    </row>
    <row r="4622" spans="1:9" x14ac:dyDescent="0.35">
      <c r="A4622" s="3" t="s">
        <v>3372</v>
      </c>
      <c r="B4622" s="1" t="s">
        <v>360</v>
      </c>
      <c r="C4622" s="1" t="s">
        <v>17</v>
      </c>
      <c r="D4622" s="1" t="s">
        <v>18</v>
      </c>
      <c r="E4622" s="1" t="s">
        <v>35</v>
      </c>
      <c r="F4622" s="2" t="s">
        <v>805</v>
      </c>
      <c r="G4622" s="1">
        <v>90.48</v>
      </c>
      <c r="H4622" s="1">
        <v>3</v>
      </c>
      <c r="I4622" s="1">
        <v>33.93</v>
      </c>
    </row>
    <row r="4623" spans="1:9" x14ac:dyDescent="0.35">
      <c r="A4623" s="3">
        <v>42134</v>
      </c>
      <c r="B4623" s="1" t="s">
        <v>944</v>
      </c>
      <c r="C4623" s="1" t="s">
        <v>261</v>
      </c>
      <c r="D4623" s="1" t="s">
        <v>124</v>
      </c>
      <c r="E4623" s="1" t="s">
        <v>26</v>
      </c>
      <c r="F4623" s="2" t="s">
        <v>374</v>
      </c>
      <c r="G4623" s="1">
        <v>77.55</v>
      </c>
      <c r="H4623" s="1">
        <v>5</v>
      </c>
      <c r="I4623" s="1">
        <v>21.713999999999999</v>
      </c>
    </row>
    <row r="4624" spans="1:9" x14ac:dyDescent="0.35">
      <c r="A4624" s="3">
        <v>42987</v>
      </c>
      <c r="B4624" s="1" t="s">
        <v>21</v>
      </c>
      <c r="C4624" s="1" t="s">
        <v>193</v>
      </c>
      <c r="D4624" s="1" t="s">
        <v>171</v>
      </c>
      <c r="E4624" s="1" t="s">
        <v>289</v>
      </c>
      <c r="F4624" s="2" t="s">
        <v>614</v>
      </c>
      <c r="G4624" s="1">
        <v>8.8320000000000007</v>
      </c>
      <c r="H4624" s="1">
        <v>3</v>
      </c>
      <c r="I4624" s="1">
        <v>-1.9872000000000001</v>
      </c>
    </row>
    <row r="4625" spans="1:9" x14ac:dyDescent="0.35">
      <c r="A4625" s="3">
        <v>42987</v>
      </c>
      <c r="B4625" s="1" t="s">
        <v>21</v>
      </c>
      <c r="C4625" s="1" t="s">
        <v>193</v>
      </c>
      <c r="D4625" s="1" t="s">
        <v>171</v>
      </c>
      <c r="E4625" s="1" t="s">
        <v>44</v>
      </c>
      <c r="F4625" s="2" t="s">
        <v>2053</v>
      </c>
      <c r="G4625" s="1">
        <v>177.536</v>
      </c>
      <c r="H4625" s="1">
        <v>4</v>
      </c>
      <c r="I4625" s="1">
        <v>62.137599999999999</v>
      </c>
    </row>
    <row r="4626" spans="1:9" x14ac:dyDescent="0.35">
      <c r="A4626" s="3">
        <v>42987</v>
      </c>
      <c r="B4626" s="1" t="s">
        <v>21</v>
      </c>
      <c r="C4626" s="1" t="s">
        <v>193</v>
      </c>
      <c r="D4626" s="1" t="s">
        <v>171</v>
      </c>
      <c r="E4626" s="1" t="s">
        <v>26</v>
      </c>
      <c r="F4626" s="2" t="s">
        <v>1315</v>
      </c>
      <c r="G4626" s="1">
        <v>258.48</v>
      </c>
      <c r="H4626" s="1">
        <v>2</v>
      </c>
      <c r="I4626" s="1">
        <v>-3.2309999999999999</v>
      </c>
    </row>
    <row r="4627" spans="1:9" x14ac:dyDescent="0.35">
      <c r="A4627" s="3">
        <v>42987</v>
      </c>
      <c r="B4627" s="1" t="s">
        <v>21</v>
      </c>
      <c r="C4627" s="1" t="s">
        <v>193</v>
      </c>
      <c r="D4627" s="1" t="s">
        <v>171</v>
      </c>
      <c r="E4627" s="1" t="s">
        <v>29</v>
      </c>
      <c r="F4627" s="2" t="s">
        <v>609</v>
      </c>
      <c r="G4627" s="1">
        <v>14.135999999999999</v>
      </c>
      <c r="H4627" s="1">
        <v>3</v>
      </c>
      <c r="I4627" s="1">
        <v>4.2408000000000001</v>
      </c>
    </row>
    <row r="4628" spans="1:9" x14ac:dyDescent="0.35">
      <c r="A4628" s="3" t="s">
        <v>3358</v>
      </c>
      <c r="B4628" s="1" t="s">
        <v>1182</v>
      </c>
      <c r="C4628" s="1" t="s">
        <v>135</v>
      </c>
      <c r="D4628" s="1" t="s">
        <v>136</v>
      </c>
      <c r="E4628" s="1" t="s">
        <v>26</v>
      </c>
      <c r="F4628" s="2" t="s">
        <v>359</v>
      </c>
      <c r="G4628" s="1">
        <v>77.55</v>
      </c>
      <c r="H4628" s="1">
        <v>5</v>
      </c>
      <c r="I4628" s="1">
        <v>20.163</v>
      </c>
    </row>
    <row r="4629" spans="1:9" x14ac:dyDescent="0.35">
      <c r="A4629" s="3" t="s">
        <v>3358</v>
      </c>
      <c r="B4629" s="1" t="s">
        <v>1182</v>
      </c>
      <c r="C4629" s="1" t="s">
        <v>135</v>
      </c>
      <c r="D4629" s="1" t="s">
        <v>136</v>
      </c>
      <c r="E4629" s="1" t="s">
        <v>26</v>
      </c>
      <c r="F4629" s="2" t="s">
        <v>500</v>
      </c>
      <c r="G4629" s="1">
        <v>24.88</v>
      </c>
      <c r="H4629" s="1">
        <v>2</v>
      </c>
      <c r="I4629" s="1">
        <v>6.9664000000000001</v>
      </c>
    </row>
    <row r="4630" spans="1:9" x14ac:dyDescent="0.35">
      <c r="A4630" s="3" t="s">
        <v>3358</v>
      </c>
      <c r="B4630" s="1" t="s">
        <v>1182</v>
      </c>
      <c r="C4630" s="1" t="s">
        <v>135</v>
      </c>
      <c r="D4630" s="1" t="s">
        <v>136</v>
      </c>
      <c r="E4630" s="1" t="s">
        <v>31</v>
      </c>
      <c r="F4630" s="2" t="s">
        <v>2451</v>
      </c>
      <c r="G4630" s="1">
        <v>140.75</v>
      </c>
      <c r="H4630" s="1">
        <v>5</v>
      </c>
      <c r="I4630" s="1">
        <v>39.409999999999997</v>
      </c>
    </row>
    <row r="4631" spans="1:9" x14ac:dyDescent="0.35">
      <c r="A4631" s="3" t="s">
        <v>3358</v>
      </c>
      <c r="B4631" s="1" t="s">
        <v>1182</v>
      </c>
      <c r="C4631" s="1" t="s">
        <v>135</v>
      </c>
      <c r="D4631" s="1" t="s">
        <v>136</v>
      </c>
      <c r="E4631" s="1" t="s">
        <v>26</v>
      </c>
      <c r="F4631" s="2" t="s">
        <v>1311</v>
      </c>
      <c r="G4631" s="1">
        <v>36.630000000000003</v>
      </c>
      <c r="H4631" s="1">
        <v>3</v>
      </c>
      <c r="I4631" s="1">
        <v>9.8901000000000003</v>
      </c>
    </row>
    <row r="4632" spans="1:9" x14ac:dyDescent="0.35">
      <c r="A4632" s="3" t="s">
        <v>3173</v>
      </c>
      <c r="B4632" s="1" t="s">
        <v>1179</v>
      </c>
      <c r="C4632" s="1" t="s">
        <v>2430</v>
      </c>
      <c r="D4632" s="1" t="s">
        <v>120</v>
      </c>
      <c r="E4632" s="1" t="s">
        <v>29</v>
      </c>
      <c r="F4632" s="2" t="s">
        <v>2804</v>
      </c>
      <c r="G4632" s="1">
        <v>17.14</v>
      </c>
      <c r="H4632" s="1">
        <v>2</v>
      </c>
      <c r="I4632" s="1">
        <v>6.1703999999999999</v>
      </c>
    </row>
    <row r="4633" spans="1:9" x14ac:dyDescent="0.35">
      <c r="A4633" s="3">
        <v>42802</v>
      </c>
      <c r="B4633" s="1" t="s">
        <v>906</v>
      </c>
      <c r="C4633" s="1" t="s">
        <v>64</v>
      </c>
      <c r="D4633" s="1" t="s">
        <v>18</v>
      </c>
      <c r="E4633" s="1" t="s">
        <v>19</v>
      </c>
      <c r="F4633" s="2" t="s">
        <v>876</v>
      </c>
      <c r="G4633" s="1">
        <v>51.75</v>
      </c>
      <c r="H4633" s="1">
        <v>5</v>
      </c>
      <c r="I4633" s="1">
        <v>24.84</v>
      </c>
    </row>
    <row r="4634" spans="1:9" x14ac:dyDescent="0.35">
      <c r="A4634" s="3">
        <v>42802</v>
      </c>
      <c r="B4634" s="1" t="s">
        <v>906</v>
      </c>
      <c r="C4634" s="1" t="s">
        <v>64</v>
      </c>
      <c r="D4634" s="1" t="s">
        <v>18</v>
      </c>
      <c r="E4634" s="1" t="s">
        <v>29</v>
      </c>
      <c r="F4634" s="2" t="s">
        <v>863</v>
      </c>
      <c r="G4634" s="1">
        <v>123.96</v>
      </c>
      <c r="H4634" s="1">
        <v>3</v>
      </c>
      <c r="I4634" s="1">
        <v>11.1564</v>
      </c>
    </row>
    <row r="4635" spans="1:9" x14ac:dyDescent="0.35">
      <c r="A4635" s="3" t="s">
        <v>3577</v>
      </c>
      <c r="B4635" s="1" t="s">
        <v>428</v>
      </c>
      <c r="C4635" s="1" t="s">
        <v>64</v>
      </c>
      <c r="D4635" s="1" t="s">
        <v>18</v>
      </c>
      <c r="E4635" s="1" t="s">
        <v>12</v>
      </c>
      <c r="F4635" s="2" t="s">
        <v>2805</v>
      </c>
      <c r="G4635" s="1">
        <v>586.39800000000002</v>
      </c>
      <c r="H4635" s="1">
        <v>6</v>
      </c>
      <c r="I4635" s="1">
        <v>34.494</v>
      </c>
    </row>
    <row r="4636" spans="1:9" x14ac:dyDescent="0.35">
      <c r="A4636" s="3" t="s">
        <v>3577</v>
      </c>
      <c r="B4636" s="1" t="s">
        <v>428</v>
      </c>
      <c r="C4636" s="1" t="s">
        <v>64</v>
      </c>
      <c r="D4636" s="1" t="s">
        <v>18</v>
      </c>
      <c r="E4636" s="1" t="s">
        <v>26</v>
      </c>
      <c r="F4636" s="2" t="s">
        <v>829</v>
      </c>
      <c r="G4636" s="1">
        <v>80.98</v>
      </c>
      <c r="H4636" s="1">
        <v>1</v>
      </c>
      <c r="I4636" s="1">
        <v>3.2391999999999999</v>
      </c>
    </row>
    <row r="4637" spans="1:9" x14ac:dyDescent="0.35">
      <c r="A4637" s="3">
        <v>43072</v>
      </c>
      <c r="B4637" s="1" t="s">
        <v>1807</v>
      </c>
      <c r="C4637" s="1" t="s">
        <v>64</v>
      </c>
      <c r="D4637" s="1" t="s">
        <v>18</v>
      </c>
      <c r="E4637" s="1" t="s">
        <v>26</v>
      </c>
      <c r="F4637" s="2" t="s">
        <v>829</v>
      </c>
      <c r="G4637" s="1">
        <v>242.94</v>
      </c>
      <c r="H4637" s="1">
        <v>3</v>
      </c>
      <c r="I4637" s="1">
        <v>9.7175999999999991</v>
      </c>
    </row>
    <row r="4638" spans="1:9" x14ac:dyDescent="0.35">
      <c r="A4638" s="3" t="s">
        <v>3337</v>
      </c>
      <c r="B4638" s="1" t="s">
        <v>1038</v>
      </c>
      <c r="C4638" s="1" t="s">
        <v>17</v>
      </c>
      <c r="D4638" s="1" t="s">
        <v>18</v>
      </c>
      <c r="E4638" s="1" t="s">
        <v>31</v>
      </c>
      <c r="F4638" s="2" t="s">
        <v>554</v>
      </c>
      <c r="G4638" s="1">
        <v>123.92</v>
      </c>
      <c r="H4638" s="1">
        <v>4</v>
      </c>
      <c r="I4638" s="1">
        <v>33.458399999999997</v>
      </c>
    </row>
    <row r="4639" spans="1:9" x14ac:dyDescent="0.35">
      <c r="A4639" s="3" t="s">
        <v>3337</v>
      </c>
      <c r="B4639" s="1" t="s">
        <v>1038</v>
      </c>
      <c r="C4639" s="1" t="s">
        <v>17</v>
      </c>
      <c r="D4639" s="1" t="s">
        <v>18</v>
      </c>
      <c r="E4639" s="1" t="s">
        <v>31</v>
      </c>
      <c r="F4639" s="2" t="s">
        <v>237</v>
      </c>
      <c r="G4639" s="1">
        <v>12.39</v>
      </c>
      <c r="H4639" s="1">
        <v>3</v>
      </c>
      <c r="I4639" s="1">
        <v>5.6993999999999998</v>
      </c>
    </row>
    <row r="4640" spans="1:9" x14ac:dyDescent="0.35">
      <c r="A4640" s="3" t="s">
        <v>3337</v>
      </c>
      <c r="B4640" s="1" t="s">
        <v>1038</v>
      </c>
      <c r="C4640" s="1" t="s">
        <v>17</v>
      </c>
      <c r="D4640" s="1" t="s">
        <v>18</v>
      </c>
      <c r="E4640" s="1" t="s">
        <v>31</v>
      </c>
      <c r="F4640" s="2" t="s">
        <v>2601</v>
      </c>
      <c r="G4640" s="1">
        <v>47.3</v>
      </c>
      <c r="H4640" s="1">
        <v>2</v>
      </c>
      <c r="I4640" s="1">
        <v>12.298</v>
      </c>
    </row>
    <row r="4641" spans="1:9" x14ac:dyDescent="0.35">
      <c r="A4641" s="3">
        <v>42683</v>
      </c>
      <c r="B4641" s="1" t="s">
        <v>1893</v>
      </c>
      <c r="C4641" s="1" t="s">
        <v>2227</v>
      </c>
      <c r="D4641" s="1" t="s">
        <v>163</v>
      </c>
      <c r="E4641" s="1" t="s">
        <v>579</v>
      </c>
      <c r="F4641" s="2" t="s">
        <v>2806</v>
      </c>
      <c r="G4641" s="1">
        <v>1599.92</v>
      </c>
      <c r="H4641" s="1">
        <v>8</v>
      </c>
      <c r="I4641" s="1">
        <v>751.9624</v>
      </c>
    </row>
    <row r="4642" spans="1:9" x14ac:dyDescent="0.35">
      <c r="A4642" s="3">
        <v>42683</v>
      </c>
      <c r="B4642" s="1" t="s">
        <v>1893</v>
      </c>
      <c r="C4642" s="1" t="s">
        <v>2227</v>
      </c>
      <c r="D4642" s="1" t="s">
        <v>163</v>
      </c>
      <c r="E4642" s="1" t="s">
        <v>87</v>
      </c>
      <c r="F4642" s="2" t="s">
        <v>2454</v>
      </c>
      <c r="G4642" s="1">
        <v>11.09</v>
      </c>
      <c r="H4642" s="1">
        <v>1</v>
      </c>
      <c r="I4642" s="1">
        <v>5.4340999999999999</v>
      </c>
    </row>
    <row r="4643" spans="1:9" x14ac:dyDescent="0.35">
      <c r="A4643" s="3" t="s">
        <v>3214</v>
      </c>
      <c r="B4643" s="1" t="s">
        <v>1642</v>
      </c>
      <c r="C4643" s="1" t="s">
        <v>2167</v>
      </c>
      <c r="D4643" s="1" t="s">
        <v>229</v>
      </c>
      <c r="E4643" s="1" t="s">
        <v>35</v>
      </c>
      <c r="F4643" s="2" t="s">
        <v>808</v>
      </c>
      <c r="G4643" s="1">
        <v>3.1680000000000001</v>
      </c>
      <c r="H4643" s="1">
        <v>4</v>
      </c>
      <c r="I4643" s="1">
        <v>-2.5344000000000002</v>
      </c>
    </row>
    <row r="4644" spans="1:9" x14ac:dyDescent="0.35">
      <c r="A4644" s="3" t="s">
        <v>3214</v>
      </c>
      <c r="B4644" s="1" t="s">
        <v>1642</v>
      </c>
      <c r="C4644" s="1" t="s">
        <v>2167</v>
      </c>
      <c r="D4644" s="1" t="s">
        <v>229</v>
      </c>
      <c r="E4644" s="1" t="s">
        <v>14</v>
      </c>
      <c r="F4644" s="2" t="s">
        <v>2807</v>
      </c>
      <c r="G4644" s="1">
        <v>579.13599999999997</v>
      </c>
      <c r="H4644" s="1">
        <v>4</v>
      </c>
      <c r="I4644" s="1">
        <v>-28.956800000000001</v>
      </c>
    </row>
    <row r="4645" spans="1:9" x14ac:dyDescent="0.35">
      <c r="A4645" s="3">
        <v>42043</v>
      </c>
      <c r="B4645" s="1" t="s">
        <v>1704</v>
      </c>
      <c r="C4645" s="1" t="s">
        <v>47</v>
      </c>
      <c r="D4645" s="1" t="s">
        <v>48</v>
      </c>
      <c r="E4645" s="1" t="s">
        <v>35</v>
      </c>
      <c r="F4645" s="2" t="s">
        <v>2330</v>
      </c>
      <c r="G4645" s="1">
        <v>6.3680000000000003</v>
      </c>
      <c r="H4645" s="1">
        <v>2</v>
      </c>
      <c r="I4645" s="1">
        <v>2.1492</v>
      </c>
    </row>
    <row r="4646" spans="1:9" x14ac:dyDescent="0.35">
      <c r="A4646" s="3">
        <v>42043</v>
      </c>
      <c r="B4646" s="1" t="s">
        <v>1704</v>
      </c>
      <c r="C4646" s="1" t="s">
        <v>47</v>
      </c>
      <c r="D4646" s="1" t="s">
        <v>48</v>
      </c>
      <c r="E4646" s="1" t="s">
        <v>338</v>
      </c>
      <c r="F4646" s="2" t="s">
        <v>2480</v>
      </c>
      <c r="G4646" s="1">
        <v>558.4</v>
      </c>
      <c r="H4646" s="1">
        <v>2</v>
      </c>
      <c r="I4646" s="1">
        <v>41.88</v>
      </c>
    </row>
    <row r="4647" spans="1:9" x14ac:dyDescent="0.35">
      <c r="A4647" s="3">
        <v>42712</v>
      </c>
      <c r="B4647" s="1" t="s">
        <v>2159</v>
      </c>
      <c r="C4647" s="1" t="s">
        <v>135</v>
      </c>
      <c r="D4647" s="1" t="s">
        <v>136</v>
      </c>
      <c r="E4647" s="1" t="s">
        <v>14</v>
      </c>
      <c r="F4647" s="2" t="s">
        <v>745</v>
      </c>
      <c r="G4647" s="1">
        <v>145.76400000000001</v>
      </c>
      <c r="H4647" s="1">
        <v>2</v>
      </c>
      <c r="I4647" s="1">
        <v>-8.0980000000000008</v>
      </c>
    </row>
    <row r="4648" spans="1:9" x14ac:dyDescent="0.35">
      <c r="A4648" s="3" t="s">
        <v>3578</v>
      </c>
      <c r="B4648" s="1" t="s">
        <v>887</v>
      </c>
      <c r="C4648" s="1" t="s">
        <v>693</v>
      </c>
      <c r="D4648" s="1" t="s">
        <v>163</v>
      </c>
      <c r="E4648" s="1" t="s">
        <v>44</v>
      </c>
      <c r="F4648" s="2" t="s">
        <v>1219</v>
      </c>
      <c r="G4648" s="1">
        <v>13.62</v>
      </c>
      <c r="H4648" s="1">
        <v>3</v>
      </c>
      <c r="I4648" s="1">
        <v>6.1289999999999996</v>
      </c>
    </row>
    <row r="4649" spans="1:9" x14ac:dyDescent="0.35">
      <c r="A4649" s="3" t="s">
        <v>3579</v>
      </c>
      <c r="B4649" s="1" t="s">
        <v>2808</v>
      </c>
      <c r="C4649" s="1" t="s">
        <v>135</v>
      </c>
      <c r="D4649" s="1" t="s">
        <v>136</v>
      </c>
      <c r="E4649" s="1" t="s">
        <v>14</v>
      </c>
      <c r="F4649" s="2" t="s">
        <v>2628</v>
      </c>
      <c r="G4649" s="1">
        <v>434.64600000000002</v>
      </c>
      <c r="H4649" s="1">
        <v>3</v>
      </c>
      <c r="I4649" s="1">
        <v>62.782200000000003</v>
      </c>
    </row>
    <row r="4650" spans="1:9" x14ac:dyDescent="0.35">
      <c r="A4650" s="3" t="s">
        <v>3510</v>
      </c>
      <c r="B4650" s="1" t="s">
        <v>68</v>
      </c>
      <c r="C4650" s="1" t="s">
        <v>47</v>
      </c>
      <c r="D4650" s="1" t="s">
        <v>48</v>
      </c>
      <c r="E4650" s="1" t="s">
        <v>44</v>
      </c>
      <c r="F4650" s="2" t="s">
        <v>2809</v>
      </c>
      <c r="G4650" s="1">
        <v>440.19</v>
      </c>
      <c r="H4650" s="1">
        <v>9</v>
      </c>
      <c r="I4650" s="1">
        <v>206.88929999999999</v>
      </c>
    </row>
    <row r="4651" spans="1:9" x14ac:dyDescent="0.35">
      <c r="A4651" s="3" t="s">
        <v>3510</v>
      </c>
      <c r="B4651" s="1" t="s">
        <v>68</v>
      </c>
      <c r="C4651" s="1" t="s">
        <v>47</v>
      </c>
      <c r="D4651" s="1" t="s">
        <v>48</v>
      </c>
      <c r="E4651" s="1" t="s">
        <v>289</v>
      </c>
      <c r="F4651" s="2" t="s">
        <v>902</v>
      </c>
      <c r="G4651" s="1">
        <v>64.400000000000006</v>
      </c>
      <c r="H4651" s="1">
        <v>5</v>
      </c>
      <c r="I4651" s="1">
        <v>1.9319999999999999</v>
      </c>
    </row>
    <row r="4652" spans="1:9" x14ac:dyDescent="0.35">
      <c r="A4652" s="3">
        <v>42951</v>
      </c>
      <c r="B4652" s="1" t="s">
        <v>2052</v>
      </c>
      <c r="C4652" s="1" t="s">
        <v>64</v>
      </c>
      <c r="D4652" s="1" t="s">
        <v>18</v>
      </c>
      <c r="E4652" s="1" t="s">
        <v>44</v>
      </c>
      <c r="F4652" s="2" t="s">
        <v>1966</v>
      </c>
      <c r="G4652" s="1">
        <v>244.55</v>
      </c>
      <c r="H4652" s="1">
        <v>5</v>
      </c>
      <c r="I4652" s="1">
        <v>114.9385</v>
      </c>
    </row>
    <row r="4653" spans="1:9" x14ac:dyDescent="0.35">
      <c r="A4653" s="3">
        <v>42951</v>
      </c>
      <c r="B4653" s="1" t="s">
        <v>2052</v>
      </c>
      <c r="C4653" s="1" t="s">
        <v>64</v>
      </c>
      <c r="D4653" s="1" t="s">
        <v>18</v>
      </c>
      <c r="E4653" s="1" t="s">
        <v>44</v>
      </c>
      <c r="F4653" s="2" t="s">
        <v>2387</v>
      </c>
      <c r="G4653" s="1">
        <v>195.76</v>
      </c>
      <c r="H4653" s="1">
        <v>4</v>
      </c>
      <c r="I4653" s="1">
        <v>97.88</v>
      </c>
    </row>
    <row r="4654" spans="1:9" x14ac:dyDescent="0.35">
      <c r="A4654" s="3" t="s">
        <v>3463</v>
      </c>
      <c r="B4654" s="1" t="s">
        <v>2493</v>
      </c>
      <c r="C4654" s="1" t="s">
        <v>2025</v>
      </c>
      <c r="D4654" s="1" t="s">
        <v>388</v>
      </c>
      <c r="E4654" s="1" t="s">
        <v>44</v>
      </c>
      <c r="F4654" s="2" t="s">
        <v>1706</v>
      </c>
      <c r="G4654" s="1">
        <v>11.76</v>
      </c>
      <c r="H4654" s="1">
        <v>2</v>
      </c>
      <c r="I4654" s="1">
        <v>5.7624000000000004</v>
      </c>
    </row>
    <row r="4655" spans="1:9" x14ac:dyDescent="0.35">
      <c r="A4655" s="3" t="s">
        <v>3463</v>
      </c>
      <c r="B4655" s="1" t="s">
        <v>2493</v>
      </c>
      <c r="C4655" s="1" t="s">
        <v>2025</v>
      </c>
      <c r="D4655" s="1" t="s">
        <v>388</v>
      </c>
      <c r="E4655" s="1" t="s">
        <v>26</v>
      </c>
      <c r="F4655" s="2" t="s">
        <v>2144</v>
      </c>
      <c r="G4655" s="1">
        <v>166.45</v>
      </c>
      <c r="H4655" s="1">
        <v>5</v>
      </c>
      <c r="I4655" s="1">
        <v>39.948</v>
      </c>
    </row>
    <row r="4656" spans="1:9" x14ac:dyDescent="0.35">
      <c r="A4656" s="3" t="s">
        <v>3493</v>
      </c>
      <c r="B4656" s="1" t="s">
        <v>1493</v>
      </c>
      <c r="C4656" s="1" t="s">
        <v>64</v>
      </c>
      <c r="D4656" s="1" t="s">
        <v>18</v>
      </c>
      <c r="E4656" s="1" t="s">
        <v>137</v>
      </c>
      <c r="F4656" s="2" t="s">
        <v>2630</v>
      </c>
      <c r="G4656" s="1">
        <v>2.88</v>
      </c>
      <c r="H4656" s="1">
        <v>1</v>
      </c>
      <c r="I4656" s="1">
        <v>1.3535999999999999</v>
      </c>
    </row>
    <row r="4657" spans="1:9" x14ac:dyDescent="0.35">
      <c r="A4657" s="3">
        <v>41764</v>
      </c>
      <c r="B4657" s="1" t="s">
        <v>1923</v>
      </c>
      <c r="C4657" s="1" t="s">
        <v>1593</v>
      </c>
      <c r="D4657" s="1" t="s">
        <v>106</v>
      </c>
      <c r="E4657" s="1" t="s">
        <v>26</v>
      </c>
      <c r="F4657" s="2" t="s">
        <v>201</v>
      </c>
      <c r="G4657" s="1">
        <v>45.247999999999998</v>
      </c>
      <c r="H4657" s="1">
        <v>2</v>
      </c>
      <c r="I4657" s="1">
        <v>3.9592000000000001</v>
      </c>
    </row>
    <row r="4658" spans="1:9" x14ac:dyDescent="0.35">
      <c r="A4658" s="3">
        <v>42068</v>
      </c>
      <c r="B4658" s="1" t="s">
        <v>2326</v>
      </c>
      <c r="C4658" s="1" t="s">
        <v>74</v>
      </c>
      <c r="D4658" s="1" t="s">
        <v>75</v>
      </c>
      <c r="E4658" s="1" t="s">
        <v>31</v>
      </c>
      <c r="F4658" s="2" t="s">
        <v>1257</v>
      </c>
      <c r="G4658" s="1">
        <v>59.904000000000003</v>
      </c>
      <c r="H4658" s="1">
        <v>2</v>
      </c>
      <c r="I4658" s="1">
        <v>14.2272</v>
      </c>
    </row>
    <row r="4659" spans="1:9" x14ac:dyDescent="0.35">
      <c r="A4659" s="3">
        <v>42068</v>
      </c>
      <c r="B4659" s="1" t="s">
        <v>2326</v>
      </c>
      <c r="C4659" s="1" t="s">
        <v>74</v>
      </c>
      <c r="D4659" s="1" t="s">
        <v>75</v>
      </c>
      <c r="E4659" s="1" t="s">
        <v>37</v>
      </c>
      <c r="F4659" s="2" t="s">
        <v>1165</v>
      </c>
      <c r="G4659" s="1">
        <v>23.696000000000002</v>
      </c>
      <c r="H4659" s="1">
        <v>2</v>
      </c>
      <c r="I4659" s="1">
        <v>6.5164</v>
      </c>
    </row>
    <row r="4660" spans="1:9" x14ac:dyDescent="0.35">
      <c r="A4660" s="3">
        <v>42068</v>
      </c>
      <c r="B4660" s="1" t="s">
        <v>2326</v>
      </c>
      <c r="C4660" s="1" t="s">
        <v>74</v>
      </c>
      <c r="D4660" s="1" t="s">
        <v>75</v>
      </c>
      <c r="E4660" s="1" t="s">
        <v>44</v>
      </c>
      <c r="F4660" s="2" t="s">
        <v>723</v>
      </c>
      <c r="G4660" s="1">
        <v>7.968</v>
      </c>
      <c r="H4660" s="1">
        <v>2</v>
      </c>
      <c r="I4660" s="1">
        <v>2.8883999999999999</v>
      </c>
    </row>
    <row r="4661" spans="1:9" x14ac:dyDescent="0.35">
      <c r="A4661" s="3">
        <v>42068</v>
      </c>
      <c r="B4661" s="1" t="s">
        <v>2326</v>
      </c>
      <c r="C4661" s="1" t="s">
        <v>74</v>
      </c>
      <c r="D4661" s="1" t="s">
        <v>75</v>
      </c>
      <c r="E4661" s="1" t="s">
        <v>37</v>
      </c>
      <c r="F4661" s="2" t="s">
        <v>397</v>
      </c>
      <c r="G4661" s="1">
        <v>18.2</v>
      </c>
      <c r="H4661" s="1">
        <v>7</v>
      </c>
      <c r="I4661" s="1">
        <v>2.0474999999999999</v>
      </c>
    </row>
    <row r="4662" spans="1:9" x14ac:dyDescent="0.35">
      <c r="A4662" s="3">
        <v>42068</v>
      </c>
      <c r="B4662" s="1" t="s">
        <v>2326</v>
      </c>
      <c r="C4662" s="1" t="s">
        <v>74</v>
      </c>
      <c r="D4662" s="1" t="s">
        <v>75</v>
      </c>
      <c r="E4662" s="1" t="s">
        <v>81</v>
      </c>
      <c r="F4662" s="2" t="s">
        <v>2810</v>
      </c>
      <c r="G4662" s="1">
        <v>27.552</v>
      </c>
      <c r="H4662" s="1">
        <v>3</v>
      </c>
      <c r="I4662" s="1">
        <v>-0.34439999999999998</v>
      </c>
    </row>
    <row r="4663" spans="1:9" x14ac:dyDescent="0.35">
      <c r="A4663" s="3">
        <v>42068</v>
      </c>
      <c r="B4663" s="1" t="s">
        <v>2326</v>
      </c>
      <c r="C4663" s="1" t="s">
        <v>74</v>
      </c>
      <c r="D4663" s="1" t="s">
        <v>75</v>
      </c>
      <c r="E4663" s="1" t="s">
        <v>14</v>
      </c>
      <c r="F4663" s="2" t="s">
        <v>459</v>
      </c>
      <c r="G4663" s="1">
        <v>844.11599999999999</v>
      </c>
      <c r="H4663" s="1">
        <v>6</v>
      </c>
      <c r="I4663" s="1">
        <v>-36.176400000000001</v>
      </c>
    </row>
    <row r="4664" spans="1:9" x14ac:dyDescent="0.35">
      <c r="A4664" s="3">
        <v>42068</v>
      </c>
      <c r="B4664" s="1" t="s">
        <v>2326</v>
      </c>
      <c r="C4664" s="1" t="s">
        <v>74</v>
      </c>
      <c r="D4664" s="1" t="s">
        <v>75</v>
      </c>
      <c r="E4664" s="1" t="s">
        <v>26</v>
      </c>
      <c r="F4664" s="2" t="s">
        <v>1529</v>
      </c>
      <c r="G4664" s="1">
        <v>76.751999999999995</v>
      </c>
      <c r="H4664" s="1">
        <v>3</v>
      </c>
      <c r="I4664" s="1">
        <v>-9.5939999999999994</v>
      </c>
    </row>
    <row r="4665" spans="1:9" x14ac:dyDescent="0.35">
      <c r="A4665" s="3" t="s">
        <v>3161</v>
      </c>
      <c r="B4665" s="1" t="s">
        <v>567</v>
      </c>
      <c r="C4665" s="1" t="s">
        <v>719</v>
      </c>
      <c r="D4665" s="1" t="s">
        <v>23</v>
      </c>
      <c r="E4665" s="1" t="s">
        <v>19</v>
      </c>
      <c r="F4665" s="2" t="s">
        <v>971</v>
      </c>
      <c r="G4665" s="1">
        <v>3</v>
      </c>
      <c r="H4665" s="1">
        <v>1</v>
      </c>
      <c r="I4665" s="1">
        <v>1.05</v>
      </c>
    </row>
    <row r="4666" spans="1:9" x14ac:dyDescent="0.35">
      <c r="A4666" s="3" t="s">
        <v>3423</v>
      </c>
      <c r="B4666" s="1" t="s">
        <v>1955</v>
      </c>
      <c r="C4666" s="1" t="s">
        <v>640</v>
      </c>
      <c r="D4666" s="1" t="s">
        <v>23</v>
      </c>
      <c r="E4666" s="1" t="s">
        <v>35</v>
      </c>
      <c r="F4666" s="2" t="s">
        <v>1301</v>
      </c>
      <c r="G4666" s="1">
        <v>7.5060000000000002</v>
      </c>
      <c r="H4666" s="1">
        <v>9</v>
      </c>
      <c r="I4666" s="1">
        <v>-6.0048000000000004</v>
      </c>
    </row>
    <row r="4667" spans="1:9" x14ac:dyDescent="0.35">
      <c r="A4667" s="3" t="s">
        <v>3423</v>
      </c>
      <c r="B4667" s="1" t="s">
        <v>1955</v>
      </c>
      <c r="C4667" s="1" t="s">
        <v>640</v>
      </c>
      <c r="D4667" s="1" t="s">
        <v>23</v>
      </c>
      <c r="E4667" s="1" t="s">
        <v>19</v>
      </c>
      <c r="F4667" s="2" t="s">
        <v>605</v>
      </c>
      <c r="G4667" s="1">
        <v>16.559999999999999</v>
      </c>
      <c r="H4667" s="1">
        <v>2</v>
      </c>
      <c r="I4667" s="1">
        <v>5.7960000000000003</v>
      </c>
    </row>
    <row r="4668" spans="1:9" x14ac:dyDescent="0.35">
      <c r="A4668" s="3">
        <v>42644</v>
      </c>
      <c r="B4668" s="1" t="s">
        <v>68</v>
      </c>
      <c r="C4668" s="1" t="s">
        <v>47</v>
      </c>
      <c r="D4668" s="1" t="s">
        <v>48</v>
      </c>
      <c r="E4668" s="1" t="s">
        <v>29</v>
      </c>
      <c r="F4668" s="2" t="s">
        <v>1499</v>
      </c>
      <c r="G4668" s="1">
        <v>79.92</v>
      </c>
      <c r="H4668" s="1">
        <v>4</v>
      </c>
      <c r="I4668" s="1">
        <v>34.365600000000001</v>
      </c>
    </row>
    <row r="4669" spans="1:9" x14ac:dyDescent="0.35">
      <c r="A4669" s="3">
        <v>42644</v>
      </c>
      <c r="B4669" s="1" t="s">
        <v>68</v>
      </c>
      <c r="C4669" s="1" t="s">
        <v>47</v>
      </c>
      <c r="D4669" s="1" t="s">
        <v>48</v>
      </c>
      <c r="E4669" s="1" t="s">
        <v>81</v>
      </c>
      <c r="F4669" s="2" t="s">
        <v>642</v>
      </c>
      <c r="G4669" s="1">
        <v>69.98</v>
      </c>
      <c r="H4669" s="1">
        <v>2</v>
      </c>
      <c r="I4669" s="1">
        <v>13.296200000000001</v>
      </c>
    </row>
    <row r="4670" spans="1:9" x14ac:dyDescent="0.35">
      <c r="A4670" s="3">
        <v>42891</v>
      </c>
      <c r="B4670" s="1" t="s">
        <v>2110</v>
      </c>
      <c r="C4670" s="1" t="s">
        <v>51</v>
      </c>
      <c r="D4670" s="1" t="s">
        <v>52</v>
      </c>
      <c r="E4670" s="1" t="s">
        <v>35</v>
      </c>
      <c r="F4670" s="2" t="s">
        <v>985</v>
      </c>
      <c r="G4670" s="1">
        <v>11.06</v>
      </c>
      <c r="H4670" s="1">
        <v>10</v>
      </c>
      <c r="I4670" s="1">
        <v>-18.802</v>
      </c>
    </row>
    <row r="4671" spans="1:9" x14ac:dyDescent="0.35">
      <c r="A4671" s="3">
        <v>42891</v>
      </c>
      <c r="B4671" s="1" t="s">
        <v>2110</v>
      </c>
      <c r="C4671" s="1" t="s">
        <v>51</v>
      </c>
      <c r="D4671" s="1" t="s">
        <v>52</v>
      </c>
      <c r="E4671" s="1" t="s">
        <v>12</v>
      </c>
      <c r="F4671" s="2" t="s">
        <v>764</v>
      </c>
      <c r="G4671" s="1">
        <v>623.46479999999997</v>
      </c>
      <c r="H4671" s="1">
        <v>7</v>
      </c>
      <c r="I4671" s="1">
        <v>-119.1918</v>
      </c>
    </row>
    <row r="4672" spans="1:9" x14ac:dyDescent="0.35">
      <c r="A4672" s="3">
        <v>42891</v>
      </c>
      <c r="B4672" s="1" t="s">
        <v>2110</v>
      </c>
      <c r="C4672" s="1" t="s">
        <v>51</v>
      </c>
      <c r="D4672" s="1" t="s">
        <v>52</v>
      </c>
      <c r="E4672" s="1" t="s">
        <v>26</v>
      </c>
      <c r="F4672" s="2" t="s">
        <v>2769</v>
      </c>
      <c r="G4672" s="1">
        <v>772.68</v>
      </c>
      <c r="H4672" s="1">
        <v>5</v>
      </c>
      <c r="I4672" s="1">
        <v>-57.951000000000001</v>
      </c>
    </row>
    <row r="4673" spans="1:9" x14ac:dyDescent="0.35">
      <c r="A4673" s="3" t="s">
        <v>3580</v>
      </c>
      <c r="B4673" s="1" t="s">
        <v>446</v>
      </c>
      <c r="C4673" s="1" t="s">
        <v>429</v>
      </c>
      <c r="D4673" s="1" t="s">
        <v>120</v>
      </c>
      <c r="E4673" s="1" t="s">
        <v>37</v>
      </c>
      <c r="F4673" s="2" t="s">
        <v>1922</v>
      </c>
      <c r="G4673" s="1">
        <v>283.14</v>
      </c>
      <c r="H4673" s="1">
        <v>4</v>
      </c>
      <c r="I4673" s="1">
        <v>72.358000000000004</v>
      </c>
    </row>
    <row r="4674" spans="1:9" x14ac:dyDescent="0.35">
      <c r="A4674" s="3" t="s">
        <v>3580</v>
      </c>
      <c r="B4674" s="1" t="s">
        <v>446</v>
      </c>
      <c r="C4674" s="1" t="s">
        <v>429</v>
      </c>
      <c r="D4674" s="1" t="s">
        <v>120</v>
      </c>
      <c r="E4674" s="1" t="s">
        <v>33</v>
      </c>
      <c r="F4674" s="2" t="s">
        <v>992</v>
      </c>
      <c r="G4674" s="1">
        <v>635.96</v>
      </c>
      <c r="H4674" s="1">
        <v>4</v>
      </c>
      <c r="I4674" s="1">
        <v>165.34960000000001</v>
      </c>
    </row>
    <row r="4675" spans="1:9" x14ac:dyDescent="0.35">
      <c r="A4675" s="3" t="s">
        <v>3580</v>
      </c>
      <c r="B4675" s="1" t="s">
        <v>446</v>
      </c>
      <c r="C4675" s="1" t="s">
        <v>429</v>
      </c>
      <c r="D4675" s="1" t="s">
        <v>120</v>
      </c>
      <c r="E4675" s="1" t="s">
        <v>33</v>
      </c>
      <c r="F4675" s="2" t="s">
        <v>2106</v>
      </c>
      <c r="G4675" s="1">
        <v>118.99</v>
      </c>
      <c r="H4675" s="1">
        <v>1</v>
      </c>
      <c r="I4675" s="1">
        <v>33.3172</v>
      </c>
    </row>
    <row r="4676" spans="1:9" x14ac:dyDescent="0.35">
      <c r="A4676" s="3" t="s">
        <v>3580</v>
      </c>
      <c r="B4676" s="1" t="s">
        <v>446</v>
      </c>
      <c r="C4676" s="1" t="s">
        <v>429</v>
      </c>
      <c r="D4676" s="1" t="s">
        <v>120</v>
      </c>
      <c r="E4676" s="1" t="s">
        <v>29</v>
      </c>
      <c r="F4676" s="2" t="s">
        <v>521</v>
      </c>
      <c r="G4676" s="1">
        <v>272.94</v>
      </c>
      <c r="H4676" s="1">
        <v>3</v>
      </c>
      <c r="I4676" s="1">
        <v>30.023399999999999</v>
      </c>
    </row>
    <row r="4677" spans="1:9" x14ac:dyDescent="0.35">
      <c r="A4677" s="3" t="s">
        <v>3581</v>
      </c>
      <c r="B4677" s="1" t="s">
        <v>59</v>
      </c>
      <c r="C4677" s="1" t="s">
        <v>74</v>
      </c>
      <c r="D4677" s="1" t="s">
        <v>75</v>
      </c>
      <c r="E4677" s="1" t="s">
        <v>29</v>
      </c>
      <c r="F4677" s="2" t="s">
        <v>2393</v>
      </c>
      <c r="G4677" s="1">
        <v>15.007999999999999</v>
      </c>
      <c r="H4677" s="1">
        <v>2</v>
      </c>
      <c r="I4677" s="1">
        <v>1.5007999999999999</v>
      </c>
    </row>
    <row r="4678" spans="1:9" x14ac:dyDescent="0.35">
      <c r="A4678" s="3" t="s">
        <v>3267</v>
      </c>
      <c r="B4678" s="1" t="s">
        <v>2304</v>
      </c>
      <c r="C4678" s="1" t="s">
        <v>2811</v>
      </c>
      <c r="D4678" s="1" t="s">
        <v>61</v>
      </c>
      <c r="E4678" s="1" t="s">
        <v>35</v>
      </c>
      <c r="F4678" s="2" t="s">
        <v>2216</v>
      </c>
      <c r="G4678" s="1">
        <v>33.088000000000001</v>
      </c>
      <c r="H4678" s="1">
        <v>4</v>
      </c>
      <c r="I4678" s="1">
        <v>11.167199999999999</v>
      </c>
    </row>
    <row r="4679" spans="1:9" x14ac:dyDescent="0.35">
      <c r="A4679" s="3" t="s">
        <v>3267</v>
      </c>
      <c r="B4679" s="1" t="s">
        <v>2304</v>
      </c>
      <c r="C4679" s="1" t="s">
        <v>2811</v>
      </c>
      <c r="D4679" s="1" t="s">
        <v>61</v>
      </c>
      <c r="E4679" s="1" t="s">
        <v>26</v>
      </c>
      <c r="F4679" s="2" t="s">
        <v>829</v>
      </c>
      <c r="G4679" s="1">
        <v>80.98</v>
      </c>
      <c r="H4679" s="1">
        <v>1</v>
      </c>
      <c r="I4679" s="1">
        <v>3.2391999999999999</v>
      </c>
    </row>
    <row r="4680" spans="1:9" x14ac:dyDescent="0.35">
      <c r="A4680" s="3" t="s">
        <v>3267</v>
      </c>
      <c r="B4680" s="1" t="s">
        <v>2304</v>
      </c>
      <c r="C4680" s="1" t="s">
        <v>2811</v>
      </c>
      <c r="D4680" s="1" t="s">
        <v>61</v>
      </c>
      <c r="E4680" s="1" t="s">
        <v>81</v>
      </c>
      <c r="F4680" s="2" t="s">
        <v>2812</v>
      </c>
      <c r="G4680" s="1">
        <v>82.8</v>
      </c>
      <c r="H4680" s="1">
        <v>12</v>
      </c>
      <c r="I4680" s="1">
        <v>6.6239999999999997</v>
      </c>
    </row>
    <row r="4681" spans="1:9" x14ac:dyDescent="0.35">
      <c r="A4681" s="3" t="s">
        <v>3267</v>
      </c>
      <c r="B4681" s="1" t="s">
        <v>2304</v>
      </c>
      <c r="C4681" s="1" t="s">
        <v>2811</v>
      </c>
      <c r="D4681" s="1" t="s">
        <v>61</v>
      </c>
      <c r="E4681" s="1" t="s">
        <v>26</v>
      </c>
      <c r="F4681" s="2" t="s">
        <v>1191</v>
      </c>
      <c r="G4681" s="1">
        <v>21.36</v>
      </c>
      <c r="H4681" s="1">
        <v>2</v>
      </c>
      <c r="I4681" s="1">
        <v>5.7671999999999999</v>
      </c>
    </row>
    <row r="4682" spans="1:9" x14ac:dyDescent="0.35">
      <c r="A4682" s="3" t="s">
        <v>3267</v>
      </c>
      <c r="B4682" s="1" t="s">
        <v>2304</v>
      </c>
      <c r="C4682" s="1" t="s">
        <v>2811</v>
      </c>
      <c r="D4682" s="1" t="s">
        <v>61</v>
      </c>
      <c r="E4682" s="1" t="s">
        <v>35</v>
      </c>
      <c r="F4682" s="2" t="s">
        <v>2603</v>
      </c>
      <c r="G4682" s="1">
        <v>62.048000000000002</v>
      </c>
      <c r="H4682" s="1">
        <v>2</v>
      </c>
      <c r="I4682" s="1">
        <v>20.165600000000001</v>
      </c>
    </row>
    <row r="4683" spans="1:9" x14ac:dyDescent="0.35">
      <c r="A4683" s="3" t="s">
        <v>3582</v>
      </c>
      <c r="B4683" s="1" t="s">
        <v>2463</v>
      </c>
      <c r="C4683" s="1" t="s">
        <v>734</v>
      </c>
      <c r="D4683" s="1" t="s">
        <v>136</v>
      </c>
      <c r="E4683" s="1" t="s">
        <v>137</v>
      </c>
      <c r="F4683" s="2" t="s">
        <v>2189</v>
      </c>
      <c r="G4683" s="1">
        <v>29.61</v>
      </c>
      <c r="H4683" s="1">
        <v>9</v>
      </c>
      <c r="I4683" s="1">
        <v>13.3245</v>
      </c>
    </row>
    <row r="4684" spans="1:9" x14ac:dyDescent="0.35">
      <c r="A4684" s="3">
        <v>42381</v>
      </c>
      <c r="B4684" s="1" t="s">
        <v>648</v>
      </c>
      <c r="C4684" s="1" t="s">
        <v>1912</v>
      </c>
      <c r="D4684" s="1" t="s">
        <v>43</v>
      </c>
      <c r="E4684" s="1" t="s">
        <v>33</v>
      </c>
      <c r="F4684" s="2" t="s">
        <v>2000</v>
      </c>
      <c r="G4684" s="1">
        <v>863.928</v>
      </c>
      <c r="H4684" s="1">
        <v>9</v>
      </c>
      <c r="I4684" s="1">
        <v>86.392799999999994</v>
      </c>
    </row>
    <row r="4685" spans="1:9" x14ac:dyDescent="0.35">
      <c r="A4685" s="3" t="s">
        <v>3170</v>
      </c>
      <c r="B4685" s="1" t="s">
        <v>1226</v>
      </c>
      <c r="C4685" s="1" t="s">
        <v>74</v>
      </c>
      <c r="D4685" s="1" t="s">
        <v>75</v>
      </c>
      <c r="E4685" s="1" t="s">
        <v>24</v>
      </c>
      <c r="F4685" s="2" t="s">
        <v>2544</v>
      </c>
      <c r="G4685" s="1">
        <v>241.92</v>
      </c>
      <c r="H4685" s="1">
        <v>4</v>
      </c>
      <c r="I4685" s="1">
        <v>-56.448</v>
      </c>
    </row>
    <row r="4686" spans="1:9" x14ac:dyDescent="0.35">
      <c r="A4686" s="3" t="s">
        <v>3170</v>
      </c>
      <c r="B4686" s="1" t="s">
        <v>1226</v>
      </c>
      <c r="C4686" s="1" t="s">
        <v>74</v>
      </c>
      <c r="D4686" s="1" t="s">
        <v>75</v>
      </c>
      <c r="E4686" s="1" t="s">
        <v>12</v>
      </c>
      <c r="F4686" s="2" t="s">
        <v>2718</v>
      </c>
      <c r="G4686" s="1">
        <v>163.88</v>
      </c>
      <c r="H4686" s="1">
        <v>4</v>
      </c>
      <c r="I4686" s="1">
        <v>-81.94</v>
      </c>
    </row>
    <row r="4687" spans="1:9" x14ac:dyDescent="0.35">
      <c r="A4687" s="3" t="s">
        <v>3170</v>
      </c>
      <c r="B4687" s="1" t="s">
        <v>1226</v>
      </c>
      <c r="C4687" s="1" t="s">
        <v>74</v>
      </c>
      <c r="D4687" s="1" t="s">
        <v>75</v>
      </c>
      <c r="E4687" s="1" t="s">
        <v>35</v>
      </c>
      <c r="F4687" s="2" t="s">
        <v>1215</v>
      </c>
      <c r="G4687" s="1">
        <v>3.4860000000000002</v>
      </c>
      <c r="H4687" s="1">
        <v>2</v>
      </c>
      <c r="I4687" s="1">
        <v>-2.7888000000000002</v>
      </c>
    </row>
    <row r="4688" spans="1:9" x14ac:dyDescent="0.35">
      <c r="A4688" s="3" t="s">
        <v>3170</v>
      </c>
      <c r="B4688" s="1" t="s">
        <v>1226</v>
      </c>
      <c r="C4688" s="1" t="s">
        <v>74</v>
      </c>
      <c r="D4688" s="1" t="s">
        <v>75</v>
      </c>
      <c r="E4688" s="1" t="s">
        <v>137</v>
      </c>
      <c r="F4688" s="2" t="s">
        <v>1629</v>
      </c>
      <c r="G4688" s="1">
        <v>10.584</v>
      </c>
      <c r="H4688" s="1">
        <v>7</v>
      </c>
      <c r="I4688" s="1">
        <v>-2.3814000000000002</v>
      </c>
    </row>
    <row r="4689" spans="1:9" x14ac:dyDescent="0.35">
      <c r="A4689" s="3" t="s">
        <v>3411</v>
      </c>
      <c r="B4689" s="1" t="s">
        <v>1224</v>
      </c>
      <c r="C4689" s="1" t="s">
        <v>693</v>
      </c>
      <c r="D4689" s="1" t="s">
        <v>129</v>
      </c>
      <c r="E4689" s="1" t="s">
        <v>33</v>
      </c>
      <c r="F4689" s="2" t="s">
        <v>2813</v>
      </c>
      <c r="G4689" s="1">
        <v>440.91</v>
      </c>
      <c r="H4689" s="1">
        <v>9</v>
      </c>
      <c r="I4689" s="1">
        <v>123.45480000000001</v>
      </c>
    </row>
    <row r="4690" spans="1:9" x14ac:dyDescent="0.35">
      <c r="A4690" s="3" t="s">
        <v>3565</v>
      </c>
      <c r="B4690" s="1" t="s">
        <v>2415</v>
      </c>
      <c r="C4690" s="1" t="s">
        <v>1114</v>
      </c>
      <c r="D4690" s="1" t="s">
        <v>75</v>
      </c>
      <c r="E4690" s="1" t="s">
        <v>35</v>
      </c>
      <c r="F4690" s="2" t="s">
        <v>90</v>
      </c>
      <c r="G4690" s="1">
        <v>5.7149999999999999</v>
      </c>
      <c r="H4690" s="1">
        <v>5</v>
      </c>
      <c r="I4690" s="1">
        <v>-4.7625000000000002</v>
      </c>
    </row>
    <row r="4691" spans="1:9" x14ac:dyDescent="0.35">
      <c r="A4691" s="3" t="s">
        <v>3340</v>
      </c>
      <c r="B4691" s="1" t="s">
        <v>2022</v>
      </c>
      <c r="C4691" s="1" t="s">
        <v>621</v>
      </c>
      <c r="D4691" s="1" t="s">
        <v>158</v>
      </c>
      <c r="E4691" s="1" t="s">
        <v>29</v>
      </c>
      <c r="F4691" s="2" t="s">
        <v>2342</v>
      </c>
      <c r="G4691" s="1">
        <v>51.968000000000004</v>
      </c>
      <c r="H4691" s="1">
        <v>2</v>
      </c>
      <c r="I4691" s="1">
        <v>10.393599999999999</v>
      </c>
    </row>
    <row r="4692" spans="1:9" x14ac:dyDescent="0.35">
      <c r="A4692" s="3" t="s">
        <v>3340</v>
      </c>
      <c r="B4692" s="1" t="s">
        <v>2022</v>
      </c>
      <c r="C4692" s="1" t="s">
        <v>621</v>
      </c>
      <c r="D4692" s="1" t="s">
        <v>158</v>
      </c>
      <c r="E4692" s="1" t="s">
        <v>81</v>
      </c>
      <c r="F4692" s="2" t="s">
        <v>490</v>
      </c>
      <c r="G4692" s="1">
        <v>71.975999999999999</v>
      </c>
      <c r="H4692" s="1">
        <v>3</v>
      </c>
      <c r="I4692" s="1">
        <v>21.5928</v>
      </c>
    </row>
    <row r="4693" spans="1:9" x14ac:dyDescent="0.35">
      <c r="A4693" s="3" t="s">
        <v>3340</v>
      </c>
      <c r="B4693" s="1" t="s">
        <v>2022</v>
      </c>
      <c r="C4693" s="1" t="s">
        <v>621</v>
      </c>
      <c r="D4693" s="1" t="s">
        <v>158</v>
      </c>
      <c r="E4693" s="1" t="s">
        <v>14</v>
      </c>
      <c r="F4693" s="2" t="s">
        <v>434</v>
      </c>
      <c r="G4693" s="1">
        <v>242.352</v>
      </c>
      <c r="H4693" s="1">
        <v>3</v>
      </c>
      <c r="I4693" s="1">
        <v>-42.4116</v>
      </c>
    </row>
    <row r="4694" spans="1:9" x14ac:dyDescent="0.35">
      <c r="A4694" s="3" t="s">
        <v>3340</v>
      </c>
      <c r="B4694" s="1" t="s">
        <v>2022</v>
      </c>
      <c r="C4694" s="1" t="s">
        <v>621</v>
      </c>
      <c r="D4694" s="1" t="s">
        <v>158</v>
      </c>
      <c r="E4694" s="1" t="s">
        <v>44</v>
      </c>
      <c r="F4694" s="2" t="s">
        <v>2053</v>
      </c>
      <c r="G4694" s="1">
        <v>221.92</v>
      </c>
      <c r="H4694" s="1">
        <v>5</v>
      </c>
      <c r="I4694" s="1">
        <v>77.671999999999997</v>
      </c>
    </row>
    <row r="4695" spans="1:9" x14ac:dyDescent="0.35">
      <c r="A4695" s="3" t="s">
        <v>3340</v>
      </c>
      <c r="B4695" s="1" t="s">
        <v>2022</v>
      </c>
      <c r="C4695" s="1" t="s">
        <v>621</v>
      </c>
      <c r="D4695" s="1" t="s">
        <v>158</v>
      </c>
      <c r="E4695" s="1" t="s">
        <v>44</v>
      </c>
      <c r="F4695" s="2" t="s">
        <v>2385</v>
      </c>
      <c r="G4695" s="1">
        <v>8.4480000000000004</v>
      </c>
      <c r="H4695" s="1">
        <v>2</v>
      </c>
      <c r="I4695" s="1">
        <v>2.64</v>
      </c>
    </row>
    <row r="4696" spans="1:9" x14ac:dyDescent="0.35">
      <c r="A4696" s="3" t="s">
        <v>3583</v>
      </c>
      <c r="B4696" s="1" t="s">
        <v>968</v>
      </c>
      <c r="C4696" s="1" t="s">
        <v>429</v>
      </c>
      <c r="D4696" s="1" t="s">
        <v>120</v>
      </c>
      <c r="E4696" s="1" t="s">
        <v>35</v>
      </c>
      <c r="F4696" s="2" t="s">
        <v>1333</v>
      </c>
      <c r="G4696" s="1">
        <v>29.52</v>
      </c>
      <c r="H4696" s="1">
        <v>4</v>
      </c>
      <c r="I4696" s="1">
        <v>14.4648</v>
      </c>
    </row>
    <row r="4697" spans="1:9" x14ac:dyDescent="0.35">
      <c r="A4697" s="3" t="s">
        <v>3583</v>
      </c>
      <c r="B4697" s="1" t="s">
        <v>968</v>
      </c>
      <c r="C4697" s="1" t="s">
        <v>429</v>
      </c>
      <c r="D4697" s="1" t="s">
        <v>120</v>
      </c>
      <c r="E4697" s="1" t="s">
        <v>14</v>
      </c>
      <c r="F4697" s="2" t="s">
        <v>1560</v>
      </c>
      <c r="G4697" s="1">
        <v>302.94</v>
      </c>
      <c r="H4697" s="1">
        <v>3</v>
      </c>
      <c r="I4697" s="1">
        <v>48.470399999999998</v>
      </c>
    </row>
    <row r="4698" spans="1:9" x14ac:dyDescent="0.35">
      <c r="A4698" s="3" t="s">
        <v>3583</v>
      </c>
      <c r="B4698" s="1" t="s">
        <v>968</v>
      </c>
      <c r="C4698" s="1" t="s">
        <v>429</v>
      </c>
      <c r="D4698" s="1" t="s">
        <v>120</v>
      </c>
      <c r="E4698" s="1" t="s">
        <v>14</v>
      </c>
      <c r="F4698" s="2" t="s">
        <v>2422</v>
      </c>
      <c r="G4698" s="1">
        <v>142.36000000000001</v>
      </c>
      <c r="H4698" s="1">
        <v>2</v>
      </c>
      <c r="I4698" s="1">
        <v>38.437199999999997</v>
      </c>
    </row>
    <row r="4699" spans="1:9" x14ac:dyDescent="0.35">
      <c r="A4699" s="3" t="s">
        <v>3583</v>
      </c>
      <c r="B4699" s="1" t="s">
        <v>968</v>
      </c>
      <c r="C4699" s="1" t="s">
        <v>429</v>
      </c>
      <c r="D4699" s="1" t="s">
        <v>120</v>
      </c>
      <c r="E4699" s="1" t="s">
        <v>14</v>
      </c>
      <c r="F4699" s="2" t="s">
        <v>348</v>
      </c>
      <c r="G4699" s="1">
        <v>546.66</v>
      </c>
      <c r="H4699" s="1">
        <v>9</v>
      </c>
      <c r="I4699" s="1">
        <v>136.66499999999999</v>
      </c>
    </row>
    <row r="4700" spans="1:9" x14ac:dyDescent="0.35">
      <c r="A4700" s="3" t="s">
        <v>3583</v>
      </c>
      <c r="B4700" s="1" t="s">
        <v>968</v>
      </c>
      <c r="C4700" s="1" t="s">
        <v>429</v>
      </c>
      <c r="D4700" s="1" t="s">
        <v>120</v>
      </c>
      <c r="E4700" s="1" t="s">
        <v>29</v>
      </c>
      <c r="F4700" s="2" t="s">
        <v>2414</v>
      </c>
      <c r="G4700" s="1">
        <v>212.13</v>
      </c>
      <c r="H4700" s="1">
        <v>3</v>
      </c>
      <c r="I4700" s="1">
        <v>14.8491</v>
      </c>
    </row>
    <row r="4701" spans="1:9" x14ac:dyDescent="0.35">
      <c r="A4701" s="3">
        <v>43044</v>
      </c>
      <c r="B4701" s="1" t="s">
        <v>1625</v>
      </c>
      <c r="C4701" s="1" t="s">
        <v>588</v>
      </c>
      <c r="D4701" s="1" t="s">
        <v>52</v>
      </c>
      <c r="E4701" s="1" t="s">
        <v>31</v>
      </c>
      <c r="F4701" s="2" t="s">
        <v>2677</v>
      </c>
      <c r="G4701" s="1">
        <v>5.2480000000000002</v>
      </c>
      <c r="H4701" s="1">
        <v>2</v>
      </c>
      <c r="I4701" s="1">
        <v>0.59040000000000004</v>
      </c>
    </row>
    <row r="4702" spans="1:9" x14ac:dyDescent="0.35">
      <c r="A4702" s="3">
        <v>43044</v>
      </c>
      <c r="B4702" s="1" t="s">
        <v>1625</v>
      </c>
      <c r="C4702" s="1" t="s">
        <v>588</v>
      </c>
      <c r="D4702" s="1" t="s">
        <v>52</v>
      </c>
      <c r="E4702" s="1" t="s">
        <v>26</v>
      </c>
      <c r="F4702" s="2" t="s">
        <v>486</v>
      </c>
      <c r="G4702" s="1">
        <v>74.415999999999997</v>
      </c>
      <c r="H4702" s="1">
        <v>2</v>
      </c>
      <c r="I4702" s="1">
        <v>-14.8832</v>
      </c>
    </row>
    <row r="4703" spans="1:9" x14ac:dyDescent="0.35">
      <c r="A4703" s="3">
        <v>43044</v>
      </c>
      <c r="B4703" s="1" t="s">
        <v>1625</v>
      </c>
      <c r="C4703" s="1" t="s">
        <v>588</v>
      </c>
      <c r="D4703" s="1" t="s">
        <v>52</v>
      </c>
      <c r="E4703" s="1" t="s">
        <v>44</v>
      </c>
      <c r="F4703" s="2" t="s">
        <v>1109</v>
      </c>
      <c r="G4703" s="1">
        <v>6.8479999999999999</v>
      </c>
      <c r="H4703" s="1">
        <v>2</v>
      </c>
      <c r="I4703" s="1">
        <v>2.14</v>
      </c>
    </row>
    <row r="4704" spans="1:9" x14ac:dyDescent="0.35">
      <c r="A4704" s="3">
        <v>43044</v>
      </c>
      <c r="B4704" s="1" t="s">
        <v>1625</v>
      </c>
      <c r="C4704" s="1" t="s">
        <v>588</v>
      </c>
      <c r="D4704" s="1" t="s">
        <v>52</v>
      </c>
      <c r="E4704" s="1" t="s">
        <v>29</v>
      </c>
      <c r="F4704" s="2" t="s">
        <v>566</v>
      </c>
      <c r="G4704" s="1">
        <v>7.9960000000000004</v>
      </c>
      <c r="H4704" s="1">
        <v>1</v>
      </c>
      <c r="I4704" s="1">
        <v>-6.9965000000000002</v>
      </c>
    </row>
    <row r="4705" spans="1:9" x14ac:dyDescent="0.35">
      <c r="A4705" s="3" t="s">
        <v>3411</v>
      </c>
      <c r="B4705" s="1" t="s">
        <v>2555</v>
      </c>
      <c r="C4705" s="1" t="s">
        <v>93</v>
      </c>
      <c r="D4705" s="1" t="s">
        <v>52</v>
      </c>
      <c r="E4705" s="1" t="s">
        <v>37</v>
      </c>
      <c r="F4705" s="2" t="s">
        <v>1857</v>
      </c>
      <c r="G4705" s="1">
        <v>8.7119999999999997</v>
      </c>
      <c r="H4705" s="1">
        <v>2</v>
      </c>
      <c r="I4705" s="1">
        <v>-19.602</v>
      </c>
    </row>
    <row r="4706" spans="1:9" x14ac:dyDescent="0.35">
      <c r="A4706" s="3" t="s">
        <v>3584</v>
      </c>
      <c r="B4706" s="1" t="s">
        <v>620</v>
      </c>
      <c r="C4706" s="1" t="s">
        <v>2814</v>
      </c>
      <c r="D4706" s="1" t="s">
        <v>368</v>
      </c>
      <c r="E4706" s="1" t="s">
        <v>289</v>
      </c>
      <c r="F4706" s="2" t="s">
        <v>1158</v>
      </c>
      <c r="G4706" s="1">
        <v>65.17</v>
      </c>
      <c r="H4706" s="1">
        <v>7</v>
      </c>
      <c r="I4706" s="1">
        <v>18.8993</v>
      </c>
    </row>
    <row r="4707" spans="1:9" x14ac:dyDescent="0.35">
      <c r="A4707" s="3" t="s">
        <v>3584</v>
      </c>
      <c r="B4707" s="1" t="s">
        <v>620</v>
      </c>
      <c r="C4707" s="1" t="s">
        <v>2814</v>
      </c>
      <c r="D4707" s="1" t="s">
        <v>368</v>
      </c>
      <c r="E4707" s="1" t="s">
        <v>19</v>
      </c>
      <c r="F4707" s="2" t="s">
        <v>323</v>
      </c>
      <c r="G4707" s="1">
        <v>14.62</v>
      </c>
      <c r="H4707" s="1">
        <v>2</v>
      </c>
      <c r="I4707" s="1">
        <v>6.8714000000000004</v>
      </c>
    </row>
    <row r="4708" spans="1:9" x14ac:dyDescent="0.35">
      <c r="A4708" s="3" t="s">
        <v>3584</v>
      </c>
      <c r="B4708" s="1" t="s">
        <v>620</v>
      </c>
      <c r="C4708" s="1" t="s">
        <v>2814</v>
      </c>
      <c r="D4708" s="1" t="s">
        <v>368</v>
      </c>
      <c r="E4708" s="1" t="s">
        <v>29</v>
      </c>
      <c r="F4708" s="2" t="s">
        <v>1342</v>
      </c>
      <c r="G4708" s="1">
        <v>173.24</v>
      </c>
      <c r="H4708" s="1">
        <v>4</v>
      </c>
      <c r="I4708" s="1">
        <v>17.324000000000002</v>
      </c>
    </row>
    <row r="4709" spans="1:9" x14ac:dyDescent="0.35">
      <c r="A4709" s="3" t="s">
        <v>3230</v>
      </c>
      <c r="B4709" s="1" t="s">
        <v>2071</v>
      </c>
      <c r="C4709" s="1" t="s">
        <v>17</v>
      </c>
      <c r="D4709" s="1" t="s">
        <v>18</v>
      </c>
      <c r="E4709" s="1" t="s">
        <v>35</v>
      </c>
      <c r="F4709" s="2" t="s">
        <v>1971</v>
      </c>
      <c r="G4709" s="1">
        <v>895.92</v>
      </c>
      <c r="H4709" s="1">
        <v>5</v>
      </c>
      <c r="I4709" s="1">
        <v>302.37299999999999</v>
      </c>
    </row>
    <row r="4710" spans="1:9" x14ac:dyDescent="0.35">
      <c r="A4710" s="3" t="s">
        <v>3230</v>
      </c>
      <c r="B4710" s="1" t="s">
        <v>2071</v>
      </c>
      <c r="C4710" s="1" t="s">
        <v>17</v>
      </c>
      <c r="D4710" s="1" t="s">
        <v>18</v>
      </c>
      <c r="E4710" s="1" t="s">
        <v>26</v>
      </c>
      <c r="F4710" s="2" t="s">
        <v>274</v>
      </c>
      <c r="G4710" s="1">
        <v>130.71</v>
      </c>
      <c r="H4710" s="1">
        <v>3</v>
      </c>
      <c r="I4710" s="1">
        <v>39.213000000000001</v>
      </c>
    </row>
    <row r="4711" spans="1:9" x14ac:dyDescent="0.35">
      <c r="A4711" s="3" t="s">
        <v>3230</v>
      </c>
      <c r="B4711" s="1" t="s">
        <v>2071</v>
      </c>
      <c r="C4711" s="1" t="s">
        <v>17</v>
      </c>
      <c r="D4711" s="1" t="s">
        <v>18</v>
      </c>
      <c r="E4711" s="1" t="s">
        <v>31</v>
      </c>
      <c r="F4711" s="2" t="s">
        <v>1382</v>
      </c>
      <c r="G4711" s="1">
        <v>11.68</v>
      </c>
      <c r="H4711" s="1">
        <v>2</v>
      </c>
      <c r="I4711" s="1">
        <v>3.0367999999999999</v>
      </c>
    </row>
    <row r="4712" spans="1:9" x14ac:dyDescent="0.35">
      <c r="A4712" s="3" t="s">
        <v>3230</v>
      </c>
      <c r="B4712" s="1" t="s">
        <v>2071</v>
      </c>
      <c r="C4712" s="1" t="s">
        <v>17</v>
      </c>
      <c r="D4712" s="1" t="s">
        <v>18</v>
      </c>
      <c r="E4712" s="1" t="s">
        <v>81</v>
      </c>
      <c r="F4712" s="2" t="s">
        <v>1980</v>
      </c>
      <c r="G4712" s="1">
        <v>62.31</v>
      </c>
      <c r="H4712" s="1">
        <v>3</v>
      </c>
      <c r="I4712" s="1">
        <v>22.4316</v>
      </c>
    </row>
    <row r="4713" spans="1:9" x14ac:dyDescent="0.35">
      <c r="A4713" s="3" t="s">
        <v>3585</v>
      </c>
      <c r="B4713" s="1" t="s">
        <v>504</v>
      </c>
      <c r="C4713" s="1" t="s">
        <v>74</v>
      </c>
      <c r="D4713" s="1" t="s">
        <v>75</v>
      </c>
      <c r="E4713" s="1" t="s">
        <v>35</v>
      </c>
      <c r="F4713" s="2" t="s">
        <v>1362</v>
      </c>
      <c r="G4713" s="1">
        <v>0.85199999999999998</v>
      </c>
      <c r="H4713" s="1">
        <v>1</v>
      </c>
      <c r="I4713" s="1">
        <v>-0.59640000000000004</v>
      </c>
    </row>
    <row r="4714" spans="1:9" x14ac:dyDescent="0.35">
      <c r="A4714" s="3" t="s">
        <v>3210</v>
      </c>
      <c r="B4714" s="1" t="s">
        <v>2636</v>
      </c>
      <c r="C4714" s="1" t="s">
        <v>785</v>
      </c>
      <c r="D4714" s="1" t="s">
        <v>52</v>
      </c>
      <c r="E4714" s="1" t="s">
        <v>44</v>
      </c>
      <c r="F4714" s="2" t="s">
        <v>1389</v>
      </c>
      <c r="G4714" s="1">
        <v>36.287999999999997</v>
      </c>
      <c r="H4714" s="1">
        <v>7</v>
      </c>
      <c r="I4714" s="1">
        <v>12.700799999999999</v>
      </c>
    </row>
    <row r="4715" spans="1:9" x14ac:dyDescent="0.35">
      <c r="A4715" s="3" t="s">
        <v>3210</v>
      </c>
      <c r="B4715" s="1" t="s">
        <v>2636</v>
      </c>
      <c r="C4715" s="1" t="s">
        <v>785</v>
      </c>
      <c r="D4715" s="1" t="s">
        <v>52</v>
      </c>
      <c r="E4715" s="1" t="s">
        <v>29</v>
      </c>
      <c r="F4715" s="2" t="s">
        <v>2414</v>
      </c>
      <c r="G4715" s="1">
        <v>56.567999999999998</v>
      </c>
      <c r="H4715" s="1">
        <v>2</v>
      </c>
      <c r="I4715" s="1">
        <v>-74.952600000000004</v>
      </c>
    </row>
    <row r="4716" spans="1:9" x14ac:dyDescent="0.35">
      <c r="A4716" s="3" t="s">
        <v>3270</v>
      </c>
      <c r="B4716" s="1" t="s">
        <v>1641</v>
      </c>
      <c r="C4716" s="1" t="s">
        <v>211</v>
      </c>
      <c r="D4716" s="1" t="s">
        <v>212</v>
      </c>
      <c r="E4716" s="1" t="s">
        <v>33</v>
      </c>
      <c r="F4716" s="2" t="s">
        <v>2483</v>
      </c>
      <c r="G4716" s="1">
        <v>344.70400000000001</v>
      </c>
      <c r="H4716" s="1">
        <v>2</v>
      </c>
      <c r="I4716" s="1">
        <v>38.779200000000003</v>
      </c>
    </row>
    <row r="4717" spans="1:9" x14ac:dyDescent="0.35">
      <c r="A4717" s="3">
        <v>42343</v>
      </c>
      <c r="B4717" s="1" t="s">
        <v>1448</v>
      </c>
      <c r="C4717" s="1" t="s">
        <v>697</v>
      </c>
      <c r="D4717" s="1" t="s">
        <v>229</v>
      </c>
      <c r="E4717" s="1" t="s">
        <v>33</v>
      </c>
      <c r="F4717" s="2" t="s">
        <v>1788</v>
      </c>
      <c r="G4717" s="1">
        <v>201.584</v>
      </c>
      <c r="H4717" s="1">
        <v>2</v>
      </c>
      <c r="I4717" s="1">
        <v>20.1584</v>
      </c>
    </row>
    <row r="4718" spans="1:9" x14ac:dyDescent="0.35">
      <c r="A4718" s="3">
        <v>42806</v>
      </c>
      <c r="B4718" s="1" t="s">
        <v>1701</v>
      </c>
      <c r="C4718" s="1" t="s">
        <v>47</v>
      </c>
      <c r="D4718" s="1" t="s">
        <v>48</v>
      </c>
      <c r="E4718" s="1" t="s">
        <v>24</v>
      </c>
      <c r="F4718" s="2" t="s">
        <v>1633</v>
      </c>
      <c r="G4718" s="1">
        <v>521.96</v>
      </c>
      <c r="H4718" s="1">
        <v>2</v>
      </c>
      <c r="I4718" s="1">
        <v>88.733199999999997</v>
      </c>
    </row>
    <row r="4719" spans="1:9" x14ac:dyDescent="0.35">
      <c r="A4719" s="3">
        <v>42350</v>
      </c>
      <c r="B4719" s="1" t="s">
        <v>327</v>
      </c>
      <c r="C4719" s="1" t="s">
        <v>1875</v>
      </c>
      <c r="D4719" s="1" t="s">
        <v>1217</v>
      </c>
      <c r="E4719" s="1" t="s">
        <v>31</v>
      </c>
      <c r="F4719" s="2" t="s">
        <v>812</v>
      </c>
      <c r="G4719" s="1">
        <v>8.2200000000000006</v>
      </c>
      <c r="H4719" s="1">
        <v>3</v>
      </c>
      <c r="I4719" s="1">
        <v>2.2193999999999998</v>
      </c>
    </row>
    <row r="4720" spans="1:9" x14ac:dyDescent="0.35">
      <c r="A4720" s="3">
        <v>42287</v>
      </c>
      <c r="B4720" s="1" t="s">
        <v>959</v>
      </c>
      <c r="C4720" s="1" t="s">
        <v>64</v>
      </c>
      <c r="D4720" s="1" t="s">
        <v>18</v>
      </c>
      <c r="E4720" s="1" t="s">
        <v>44</v>
      </c>
      <c r="F4720" s="2" t="s">
        <v>912</v>
      </c>
      <c r="G4720" s="1">
        <v>45.36</v>
      </c>
      <c r="H4720" s="1">
        <v>7</v>
      </c>
      <c r="I4720" s="1">
        <v>21.7728</v>
      </c>
    </row>
    <row r="4721" spans="1:9" x14ac:dyDescent="0.35">
      <c r="A4721" s="3" t="s">
        <v>3157</v>
      </c>
      <c r="B4721" s="1" t="s">
        <v>1334</v>
      </c>
      <c r="C4721" s="1" t="s">
        <v>17</v>
      </c>
      <c r="D4721" s="1" t="s">
        <v>18</v>
      </c>
      <c r="E4721" s="1" t="s">
        <v>26</v>
      </c>
      <c r="F4721" s="2" t="s">
        <v>526</v>
      </c>
      <c r="G4721" s="1">
        <v>947.17</v>
      </c>
      <c r="H4721" s="1">
        <v>7</v>
      </c>
      <c r="I4721" s="1">
        <v>9.4717000000000002</v>
      </c>
    </row>
    <row r="4722" spans="1:9" x14ac:dyDescent="0.35">
      <c r="A4722" s="3" t="s">
        <v>3157</v>
      </c>
      <c r="B4722" s="1" t="s">
        <v>1334</v>
      </c>
      <c r="C4722" s="1" t="s">
        <v>17</v>
      </c>
      <c r="D4722" s="1" t="s">
        <v>18</v>
      </c>
      <c r="E4722" s="1" t="s">
        <v>44</v>
      </c>
      <c r="F4722" s="2" t="s">
        <v>2815</v>
      </c>
      <c r="G4722" s="1">
        <v>61.96</v>
      </c>
      <c r="H4722" s="1">
        <v>2</v>
      </c>
      <c r="I4722" s="1">
        <v>27.882000000000001</v>
      </c>
    </row>
    <row r="4723" spans="1:9" x14ac:dyDescent="0.35">
      <c r="A4723" s="3">
        <v>41826</v>
      </c>
      <c r="B4723" s="1" t="s">
        <v>2816</v>
      </c>
      <c r="C4723" s="1" t="s">
        <v>228</v>
      </c>
      <c r="D4723" s="1" t="s">
        <v>106</v>
      </c>
      <c r="E4723" s="1" t="s">
        <v>24</v>
      </c>
      <c r="F4723" s="2" t="s">
        <v>680</v>
      </c>
      <c r="G4723" s="1">
        <v>268.935</v>
      </c>
      <c r="H4723" s="1">
        <v>3</v>
      </c>
      <c r="I4723" s="1">
        <v>-209.76929999999999</v>
      </c>
    </row>
    <row r="4724" spans="1:9" x14ac:dyDescent="0.35">
      <c r="A4724" s="3">
        <v>42744</v>
      </c>
      <c r="B4724" s="1" t="s">
        <v>1048</v>
      </c>
      <c r="C4724" s="1" t="s">
        <v>47</v>
      </c>
      <c r="D4724" s="1" t="s">
        <v>48</v>
      </c>
      <c r="E4724" s="1" t="s">
        <v>31</v>
      </c>
      <c r="F4724" s="2" t="s">
        <v>1329</v>
      </c>
      <c r="G4724" s="1">
        <v>7.58</v>
      </c>
      <c r="H4724" s="1">
        <v>1</v>
      </c>
      <c r="I4724" s="1">
        <v>2.9561999999999999</v>
      </c>
    </row>
    <row r="4725" spans="1:9" x14ac:dyDescent="0.35">
      <c r="A4725" s="3" t="s">
        <v>3586</v>
      </c>
      <c r="B4725" s="1" t="s">
        <v>883</v>
      </c>
      <c r="C4725" s="1" t="s">
        <v>2817</v>
      </c>
      <c r="D4725" s="1" t="s">
        <v>604</v>
      </c>
      <c r="E4725" s="1" t="s">
        <v>19</v>
      </c>
      <c r="F4725" s="2" t="s">
        <v>931</v>
      </c>
      <c r="G4725" s="1">
        <v>14.73</v>
      </c>
      <c r="H4725" s="1">
        <v>3</v>
      </c>
      <c r="I4725" s="1">
        <v>7.2176999999999998</v>
      </c>
    </row>
    <row r="4726" spans="1:9" x14ac:dyDescent="0.35">
      <c r="A4726" s="3">
        <v>42685</v>
      </c>
      <c r="B4726" s="1" t="s">
        <v>2522</v>
      </c>
      <c r="C4726" s="1" t="s">
        <v>1961</v>
      </c>
      <c r="D4726" s="1" t="s">
        <v>23</v>
      </c>
      <c r="E4726" s="1" t="s">
        <v>35</v>
      </c>
      <c r="F4726" s="2" t="s">
        <v>209</v>
      </c>
      <c r="G4726" s="1">
        <v>9.8879999999999999</v>
      </c>
      <c r="H4726" s="1">
        <v>2</v>
      </c>
      <c r="I4726" s="1">
        <v>-6.9215999999999998</v>
      </c>
    </row>
    <row r="4727" spans="1:9" x14ac:dyDescent="0.35">
      <c r="A4727" s="3">
        <v>42685</v>
      </c>
      <c r="B4727" s="1" t="s">
        <v>2522</v>
      </c>
      <c r="C4727" s="1" t="s">
        <v>1961</v>
      </c>
      <c r="D4727" s="1" t="s">
        <v>23</v>
      </c>
      <c r="E4727" s="1" t="s">
        <v>37</v>
      </c>
      <c r="F4727" s="2" t="s">
        <v>299</v>
      </c>
      <c r="G4727" s="1">
        <v>671.54399999999998</v>
      </c>
      <c r="H4727" s="1">
        <v>3</v>
      </c>
      <c r="I4727" s="1">
        <v>50.3658</v>
      </c>
    </row>
    <row r="4728" spans="1:9" x14ac:dyDescent="0.35">
      <c r="A4728" s="3" t="s">
        <v>3211</v>
      </c>
      <c r="B4728" s="1" t="s">
        <v>1733</v>
      </c>
      <c r="C4728" s="1" t="s">
        <v>135</v>
      </c>
      <c r="D4728" s="1" t="s">
        <v>136</v>
      </c>
      <c r="E4728" s="1" t="s">
        <v>26</v>
      </c>
      <c r="F4728" s="2" t="s">
        <v>2254</v>
      </c>
      <c r="G4728" s="1">
        <v>1117.92</v>
      </c>
      <c r="H4728" s="1">
        <v>4</v>
      </c>
      <c r="I4728" s="1">
        <v>55.896000000000001</v>
      </c>
    </row>
    <row r="4729" spans="1:9" x14ac:dyDescent="0.35">
      <c r="A4729" s="3" t="s">
        <v>3211</v>
      </c>
      <c r="B4729" s="1" t="s">
        <v>1733</v>
      </c>
      <c r="C4729" s="1" t="s">
        <v>135</v>
      </c>
      <c r="D4729" s="1" t="s">
        <v>136</v>
      </c>
      <c r="E4729" s="1" t="s">
        <v>12</v>
      </c>
      <c r="F4729" s="2" t="s">
        <v>1869</v>
      </c>
      <c r="G4729" s="1">
        <v>275.952</v>
      </c>
      <c r="H4729" s="1">
        <v>3</v>
      </c>
      <c r="I4729" s="1">
        <v>-37.943399999999997</v>
      </c>
    </row>
    <row r="4730" spans="1:9" x14ac:dyDescent="0.35">
      <c r="A4730" s="3">
        <v>41831</v>
      </c>
      <c r="B4730" s="1" t="s">
        <v>122</v>
      </c>
      <c r="C4730" s="1" t="s">
        <v>64</v>
      </c>
      <c r="D4730" s="1" t="s">
        <v>18</v>
      </c>
      <c r="E4730" s="1" t="s">
        <v>35</v>
      </c>
      <c r="F4730" s="2" t="s">
        <v>1237</v>
      </c>
      <c r="G4730" s="1">
        <v>123.14400000000001</v>
      </c>
      <c r="H4730" s="1">
        <v>7</v>
      </c>
      <c r="I4730" s="1">
        <v>46.179000000000002</v>
      </c>
    </row>
    <row r="4731" spans="1:9" x14ac:dyDescent="0.35">
      <c r="A4731" s="3" t="s">
        <v>3428</v>
      </c>
      <c r="B4731" s="1" t="s">
        <v>2158</v>
      </c>
      <c r="C4731" s="1" t="s">
        <v>399</v>
      </c>
      <c r="D4731" s="1" t="s">
        <v>52</v>
      </c>
      <c r="E4731" s="1" t="s">
        <v>81</v>
      </c>
      <c r="F4731" s="2" t="s">
        <v>2818</v>
      </c>
      <c r="G4731" s="1">
        <v>15.576000000000001</v>
      </c>
      <c r="H4731" s="1">
        <v>3</v>
      </c>
      <c r="I4731" s="1">
        <v>3.3098999999999998</v>
      </c>
    </row>
    <row r="4732" spans="1:9" x14ac:dyDescent="0.35">
      <c r="A4732" s="3" t="s">
        <v>3506</v>
      </c>
      <c r="B4732" s="1" t="s">
        <v>2081</v>
      </c>
      <c r="C4732" s="1" t="s">
        <v>461</v>
      </c>
      <c r="D4732" s="1" t="s">
        <v>18</v>
      </c>
      <c r="E4732" s="1" t="s">
        <v>44</v>
      </c>
      <c r="F4732" s="2" t="s">
        <v>285</v>
      </c>
      <c r="G4732" s="1">
        <v>212.64</v>
      </c>
      <c r="H4732" s="1">
        <v>6</v>
      </c>
      <c r="I4732" s="1">
        <v>99.940799999999996</v>
      </c>
    </row>
    <row r="4733" spans="1:9" x14ac:dyDescent="0.35">
      <c r="A4733" s="3" t="s">
        <v>3506</v>
      </c>
      <c r="B4733" s="1" t="s">
        <v>2081</v>
      </c>
      <c r="C4733" s="1" t="s">
        <v>461</v>
      </c>
      <c r="D4733" s="1" t="s">
        <v>18</v>
      </c>
      <c r="E4733" s="1" t="s">
        <v>44</v>
      </c>
      <c r="F4733" s="2" t="s">
        <v>1880</v>
      </c>
      <c r="G4733" s="1">
        <v>9.8699999999999992</v>
      </c>
      <c r="H4733" s="1">
        <v>3</v>
      </c>
      <c r="I4733" s="1">
        <v>4.5401999999999996</v>
      </c>
    </row>
    <row r="4734" spans="1:9" x14ac:dyDescent="0.35">
      <c r="A4734" s="3" t="s">
        <v>3506</v>
      </c>
      <c r="B4734" s="1" t="s">
        <v>2081</v>
      </c>
      <c r="C4734" s="1" t="s">
        <v>461</v>
      </c>
      <c r="D4734" s="1" t="s">
        <v>18</v>
      </c>
      <c r="E4734" s="1" t="s">
        <v>81</v>
      </c>
      <c r="F4734" s="2" t="s">
        <v>1566</v>
      </c>
      <c r="G4734" s="1">
        <v>53.25</v>
      </c>
      <c r="H4734" s="1">
        <v>3</v>
      </c>
      <c r="I4734" s="1">
        <v>20.767499999999998</v>
      </c>
    </row>
    <row r="4735" spans="1:9" x14ac:dyDescent="0.35">
      <c r="A4735" s="3" t="s">
        <v>3506</v>
      </c>
      <c r="B4735" s="1" t="s">
        <v>2081</v>
      </c>
      <c r="C4735" s="1" t="s">
        <v>461</v>
      </c>
      <c r="D4735" s="1" t="s">
        <v>18</v>
      </c>
      <c r="E4735" s="1" t="s">
        <v>29</v>
      </c>
      <c r="F4735" s="2" t="s">
        <v>2486</v>
      </c>
      <c r="G4735" s="1">
        <v>19.920000000000002</v>
      </c>
      <c r="H4735" s="1">
        <v>3</v>
      </c>
      <c r="I4735" s="1">
        <v>9.5616000000000003</v>
      </c>
    </row>
    <row r="4736" spans="1:9" x14ac:dyDescent="0.35">
      <c r="A4736" s="3">
        <v>42555</v>
      </c>
      <c r="B4736" s="1" t="s">
        <v>473</v>
      </c>
      <c r="C4736" s="1" t="s">
        <v>135</v>
      </c>
      <c r="D4736" s="1" t="s">
        <v>136</v>
      </c>
      <c r="E4736" s="1" t="s">
        <v>14</v>
      </c>
      <c r="F4736" s="2" t="s">
        <v>15</v>
      </c>
      <c r="G4736" s="1">
        <v>658.74599999999998</v>
      </c>
      <c r="H4736" s="1">
        <v>3</v>
      </c>
      <c r="I4736" s="1">
        <v>146.38800000000001</v>
      </c>
    </row>
    <row r="4737" spans="1:9" x14ac:dyDescent="0.35">
      <c r="A4737" s="3" t="s">
        <v>3435</v>
      </c>
      <c r="B4737" s="1" t="s">
        <v>1399</v>
      </c>
      <c r="C4737" s="1" t="s">
        <v>2794</v>
      </c>
      <c r="D4737" s="1" t="s">
        <v>2134</v>
      </c>
      <c r="E4737" s="1" t="s">
        <v>35</v>
      </c>
      <c r="F4737" s="2" t="s">
        <v>1548</v>
      </c>
      <c r="G4737" s="1">
        <v>8.26</v>
      </c>
      <c r="H4737" s="1">
        <v>2</v>
      </c>
      <c r="I4737" s="1">
        <v>3.8822000000000001</v>
      </c>
    </row>
    <row r="4738" spans="1:9" x14ac:dyDescent="0.35">
      <c r="A4738" s="3" t="s">
        <v>3435</v>
      </c>
      <c r="B4738" s="1" t="s">
        <v>1399</v>
      </c>
      <c r="C4738" s="1" t="s">
        <v>2794</v>
      </c>
      <c r="D4738" s="1" t="s">
        <v>2134</v>
      </c>
      <c r="E4738" s="1" t="s">
        <v>35</v>
      </c>
      <c r="F4738" s="2" t="s">
        <v>940</v>
      </c>
      <c r="G4738" s="1">
        <v>29.84</v>
      </c>
      <c r="H4738" s="1">
        <v>2</v>
      </c>
      <c r="I4738" s="1">
        <v>13.428000000000001</v>
      </c>
    </row>
    <row r="4739" spans="1:9" x14ac:dyDescent="0.35">
      <c r="A4739" s="3" t="s">
        <v>3435</v>
      </c>
      <c r="B4739" s="1" t="s">
        <v>1399</v>
      </c>
      <c r="C4739" s="1" t="s">
        <v>2794</v>
      </c>
      <c r="D4739" s="1" t="s">
        <v>2134</v>
      </c>
      <c r="E4739" s="1" t="s">
        <v>81</v>
      </c>
      <c r="F4739" s="2" t="s">
        <v>328</v>
      </c>
      <c r="G4739" s="1">
        <v>67.98</v>
      </c>
      <c r="H4739" s="1">
        <v>2</v>
      </c>
      <c r="I4739" s="1">
        <v>14.9556</v>
      </c>
    </row>
    <row r="4740" spans="1:9" x14ac:dyDescent="0.35">
      <c r="A4740" s="3" t="s">
        <v>3518</v>
      </c>
      <c r="B4740" s="1" t="s">
        <v>616</v>
      </c>
      <c r="C4740" s="1" t="s">
        <v>559</v>
      </c>
      <c r="D4740" s="1" t="s">
        <v>18</v>
      </c>
      <c r="E4740" s="1" t="s">
        <v>19</v>
      </c>
      <c r="F4740" s="2" t="s">
        <v>1026</v>
      </c>
      <c r="G4740" s="1">
        <v>61.06</v>
      </c>
      <c r="H4740" s="1">
        <v>2</v>
      </c>
      <c r="I4740" s="1">
        <v>28.087599999999998</v>
      </c>
    </row>
    <row r="4741" spans="1:9" x14ac:dyDescent="0.35">
      <c r="A4741" s="3" t="s">
        <v>3518</v>
      </c>
      <c r="B4741" s="1" t="s">
        <v>616</v>
      </c>
      <c r="C4741" s="1" t="s">
        <v>559</v>
      </c>
      <c r="D4741" s="1" t="s">
        <v>18</v>
      </c>
      <c r="E4741" s="1" t="s">
        <v>24</v>
      </c>
      <c r="F4741" s="2" t="s">
        <v>1634</v>
      </c>
      <c r="G4741" s="1">
        <v>35.543999999999997</v>
      </c>
      <c r="H4741" s="1">
        <v>1</v>
      </c>
      <c r="I4741" s="1">
        <v>-0.88859999999999995</v>
      </c>
    </row>
    <row r="4742" spans="1:9" x14ac:dyDescent="0.35">
      <c r="A4742" s="3">
        <v>43080</v>
      </c>
      <c r="B4742" s="1" t="s">
        <v>1415</v>
      </c>
      <c r="C4742" s="1" t="s">
        <v>47</v>
      </c>
      <c r="D4742" s="1" t="s">
        <v>48</v>
      </c>
      <c r="E4742" s="1" t="s">
        <v>19</v>
      </c>
      <c r="F4742" s="2" t="s">
        <v>1200</v>
      </c>
      <c r="G4742" s="1">
        <v>9.9600000000000009</v>
      </c>
      <c r="H4742" s="1">
        <v>2</v>
      </c>
      <c r="I4742" s="1">
        <v>4.5815999999999999</v>
      </c>
    </row>
    <row r="4743" spans="1:9" x14ac:dyDescent="0.35">
      <c r="A4743" s="3">
        <v>43080</v>
      </c>
      <c r="B4743" s="1" t="s">
        <v>1415</v>
      </c>
      <c r="C4743" s="1" t="s">
        <v>47</v>
      </c>
      <c r="D4743" s="1" t="s">
        <v>48</v>
      </c>
      <c r="E4743" s="1" t="s">
        <v>31</v>
      </c>
      <c r="F4743" s="2" t="s">
        <v>2188</v>
      </c>
      <c r="G4743" s="1">
        <v>9.2100000000000009</v>
      </c>
      <c r="H4743" s="1">
        <v>3</v>
      </c>
      <c r="I4743" s="1">
        <v>2.3025000000000002</v>
      </c>
    </row>
    <row r="4744" spans="1:9" x14ac:dyDescent="0.35">
      <c r="A4744" s="3">
        <v>43080</v>
      </c>
      <c r="B4744" s="1" t="s">
        <v>1415</v>
      </c>
      <c r="C4744" s="1" t="s">
        <v>47</v>
      </c>
      <c r="D4744" s="1" t="s">
        <v>48</v>
      </c>
      <c r="E4744" s="1" t="s">
        <v>289</v>
      </c>
      <c r="F4744" s="2" t="s">
        <v>1158</v>
      </c>
      <c r="G4744" s="1">
        <v>27.93</v>
      </c>
      <c r="H4744" s="1">
        <v>3</v>
      </c>
      <c r="I4744" s="1">
        <v>8.0997000000000003</v>
      </c>
    </row>
    <row r="4745" spans="1:9" x14ac:dyDescent="0.35">
      <c r="A4745" s="3">
        <v>42858</v>
      </c>
      <c r="B4745" s="1" t="s">
        <v>610</v>
      </c>
      <c r="C4745" s="1" t="s">
        <v>197</v>
      </c>
      <c r="D4745" s="1" t="s">
        <v>115</v>
      </c>
      <c r="E4745" s="1" t="s">
        <v>137</v>
      </c>
      <c r="F4745" s="2" t="s">
        <v>2375</v>
      </c>
      <c r="G4745" s="1">
        <v>7.9</v>
      </c>
      <c r="H4745" s="1">
        <v>2</v>
      </c>
      <c r="I4745" s="1">
        <v>2.528</v>
      </c>
    </row>
    <row r="4746" spans="1:9" x14ac:dyDescent="0.35">
      <c r="A4746" s="3">
        <v>42858</v>
      </c>
      <c r="B4746" s="1" t="s">
        <v>610</v>
      </c>
      <c r="C4746" s="1" t="s">
        <v>197</v>
      </c>
      <c r="D4746" s="1" t="s">
        <v>115</v>
      </c>
      <c r="E4746" s="1" t="s">
        <v>26</v>
      </c>
      <c r="F4746" s="2" t="s">
        <v>1877</v>
      </c>
      <c r="G4746" s="1">
        <v>221.16</v>
      </c>
      <c r="H4746" s="1">
        <v>4</v>
      </c>
      <c r="I4746" s="1">
        <v>57.501600000000003</v>
      </c>
    </row>
    <row r="4747" spans="1:9" x14ac:dyDescent="0.35">
      <c r="A4747" s="3">
        <v>42858</v>
      </c>
      <c r="B4747" s="1" t="s">
        <v>610</v>
      </c>
      <c r="C4747" s="1" t="s">
        <v>197</v>
      </c>
      <c r="D4747" s="1" t="s">
        <v>115</v>
      </c>
      <c r="E4747" s="1" t="s">
        <v>35</v>
      </c>
      <c r="F4747" s="2" t="s">
        <v>1167</v>
      </c>
      <c r="G4747" s="1">
        <v>127.96</v>
      </c>
      <c r="H4747" s="1">
        <v>2</v>
      </c>
      <c r="I4747" s="1">
        <v>62.700400000000002</v>
      </c>
    </row>
    <row r="4748" spans="1:9" x14ac:dyDescent="0.35">
      <c r="A4748" s="3">
        <v>42858</v>
      </c>
      <c r="B4748" s="1" t="s">
        <v>610</v>
      </c>
      <c r="C4748" s="1" t="s">
        <v>197</v>
      </c>
      <c r="D4748" s="1" t="s">
        <v>115</v>
      </c>
      <c r="E4748" s="1" t="s">
        <v>35</v>
      </c>
      <c r="F4748" s="2" t="s">
        <v>1363</v>
      </c>
      <c r="G4748" s="1">
        <v>18.690000000000001</v>
      </c>
      <c r="H4748" s="1">
        <v>3</v>
      </c>
      <c r="I4748" s="1">
        <v>9.1580999999999992</v>
      </c>
    </row>
    <row r="4749" spans="1:9" x14ac:dyDescent="0.35">
      <c r="A4749" s="3">
        <v>42432</v>
      </c>
      <c r="B4749" s="1" t="s">
        <v>1366</v>
      </c>
      <c r="C4749" s="1" t="s">
        <v>64</v>
      </c>
      <c r="D4749" s="1" t="s">
        <v>18</v>
      </c>
      <c r="E4749" s="1" t="s">
        <v>289</v>
      </c>
      <c r="F4749" s="2" t="s">
        <v>2610</v>
      </c>
      <c r="G4749" s="1">
        <v>25.35</v>
      </c>
      <c r="H4749" s="1">
        <v>3</v>
      </c>
      <c r="I4749" s="1">
        <v>7.6050000000000004</v>
      </c>
    </row>
    <row r="4750" spans="1:9" x14ac:dyDescent="0.35">
      <c r="A4750" s="3">
        <v>42432</v>
      </c>
      <c r="B4750" s="1" t="s">
        <v>1366</v>
      </c>
      <c r="C4750" s="1" t="s">
        <v>64</v>
      </c>
      <c r="D4750" s="1" t="s">
        <v>18</v>
      </c>
      <c r="E4750" s="1" t="s">
        <v>29</v>
      </c>
      <c r="F4750" s="2" t="s">
        <v>2545</v>
      </c>
      <c r="G4750" s="1">
        <v>35.28</v>
      </c>
      <c r="H4750" s="1">
        <v>3</v>
      </c>
      <c r="I4750" s="1">
        <v>11.995200000000001</v>
      </c>
    </row>
    <row r="4751" spans="1:9" x14ac:dyDescent="0.35">
      <c r="A4751" s="3" t="s">
        <v>3587</v>
      </c>
      <c r="B4751" s="1" t="s">
        <v>1101</v>
      </c>
      <c r="C4751" s="1" t="s">
        <v>47</v>
      </c>
      <c r="D4751" s="1" t="s">
        <v>48</v>
      </c>
      <c r="E4751" s="1" t="s">
        <v>44</v>
      </c>
      <c r="F4751" s="2" t="s">
        <v>865</v>
      </c>
      <c r="G4751" s="1">
        <v>33.4</v>
      </c>
      <c r="H4751" s="1">
        <v>5</v>
      </c>
      <c r="I4751" s="1">
        <v>16.032</v>
      </c>
    </row>
    <row r="4752" spans="1:9" x14ac:dyDescent="0.35">
      <c r="A4752" s="3">
        <v>42561</v>
      </c>
      <c r="B4752" s="1" t="s">
        <v>1414</v>
      </c>
      <c r="C4752" s="1" t="s">
        <v>1944</v>
      </c>
      <c r="D4752" s="1" t="s">
        <v>48</v>
      </c>
      <c r="E4752" s="1" t="s">
        <v>338</v>
      </c>
      <c r="F4752" s="2" t="s">
        <v>2480</v>
      </c>
      <c r="G4752" s="1">
        <v>837.6</v>
      </c>
      <c r="H4752" s="1">
        <v>3</v>
      </c>
      <c r="I4752" s="1">
        <v>62.82</v>
      </c>
    </row>
    <row r="4753" spans="1:9" x14ac:dyDescent="0.35">
      <c r="A4753" s="3">
        <v>42625</v>
      </c>
      <c r="B4753" s="1" t="s">
        <v>77</v>
      </c>
      <c r="C4753" s="1" t="s">
        <v>306</v>
      </c>
      <c r="D4753" s="1" t="s">
        <v>171</v>
      </c>
      <c r="E4753" s="1" t="s">
        <v>33</v>
      </c>
      <c r="F4753" s="2" t="s">
        <v>1767</v>
      </c>
      <c r="G4753" s="1">
        <v>40.68</v>
      </c>
      <c r="H4753" s="1">
        <v>3</v>
      </c>
      <c r="I4753" s="1">
        <v>-9.1530000000000005</v>
      </c>
    </row>
    <row r="4754" spans="1:9" x14ac:dyDescent="0.35">
      <c r="A4754" s="3" t="s">
        <v>3256</v>
      </c>
      <c r="B4754" s="1" t="s">
        <v>1123</v>
      </c>
      <c r="C4754" s="1" t="s">
        <v>167</v>
      </c>
      <c r="D4754" s="1" t="s">
        <v>171</v>
      </c>
      <c r="E4754" s="1" t="s">
        <v>14</v>
      </c>
      <c r="F4754" s="2" t="s">
        <v>960</v>
      </c>
      <c r="G4754" s="1">
        <v>209.56800000000001</v>
      </c>
      <c r="H4754" s="1">
        <v>2</v>
      </c>
      <c r="I4754" s="1">
        <v>-23.5764</v>
      </c>
    </row>
    <row r="4755" spans="1:9" x14ac:dyDescent="0.35">
      <c r="A4755" s="3">
        <v>42350</v>
      </c>
      <c r="B4755" s="1" t="s">
        <v>421</v>
      </c>
      <c r="C4755" s="1" t="s">
        <v>588</v>
      </c>
      <c r="D4755" s="1" t="s">
        <v>52</v>
      </c>
      <c r="E4755" s="1" t="s">
        <v>81</v>
      </c>
      <c r="F4755" s="2" t="s">
        <v>2819</v>
      </c>
      <c r="G4755" s="1">
        <v>22.367999999999999</v>
      </c>
      <c r="H4755" s="1">
        <v>4</v>
      </c>
      <c r="I4755" s="1">
        <v>6.4307999999999996</v>
      </c>
    </row>
    <row r="4756" spans="1:9" x14ac:dyDescent="0.35">
      <c r="A4756" s="3">
        <v>42796</v>
      </c>
      <c r="B4756" s="1" t="s">
        <v>2226</v>
      </c>
      <c r="C4756" s="1" t="s">
        <v>640</v>
      </c>
      <c r="D4756" s="1" t="s">
        <v>23</v>
      </c>
      <c r="E4756" s="1" t="s">
        <v>35</v>
      </c>
      <c r="F4756" s="2" t="s">
        <v>1103</v>
      </c>
      <c r="G4756" s="1">
        <v>3.8820000000000001</v>
      </c>
      <c r="H4756" s="1">
        <v>2</v>
      </c>
      <c r="I4756" s="1">
        <v>-2.5880000000000001</v>
      </c>
    </row>
    <row r="4757" spans="1:9" x14ac:dyDescent="0.35">
      <c r="A4757" s="3">
        <v>42796</v>
      </c>
      <c r="B4757" s="1" t="s">
        <v>2226</v>
      </c>
      <c r="C4757" s="1" t="s">
        <v>640</v>
      </c>
      <c r="D4757" s="1" t="s">
        <v>23</v>
      </c>
      <c r="E4757" s="1" t="s">
        <v>44</v>
      </c>
      <c r="F4757" s="2" t="s">
        <v>2820</v>
      </c>
      <c r="G4757" s="1">
        <v>115.29600000000001</v>
      </c>
      <c r="H4757" s="1">
        <v>3</v>
      </c>
      <c r="I4757" s="1">
        <v>40.3536</v>
      </c>
    </row>
    <row r="4758" spans="1:9" x14ac:dyDescent="0.35">
      <c r="A4758" s="3" t="s">
        <v>3525</v>
      </c>
      <c r="B4758" s="1" t="s">
        <v>77</v>
      </c>
      <c r="C4758" s="1" t="s">
        <v>74</v>
      </c>
      <c r="D4758" s="1" t="s">
        <v>75</v>
      </c>
      <c r="E4758" s="1" t="s">
        <v>35</v>
      </c>
      <c r="F4758" s="2" t="s">
        <v>2178</v>
      </c>
      <c r="G4758" s="1">
        <v>1.9079999999999999</v>
      </c>
      <c r="H4758" s="1">
        <v>2</v>
      </c>
      <c r="I4758" s="1">
        <v>-1.5264</v>
      </c>
    </row>
    <row r="4759" spans="1:9" x14ac:dyDescent="0.35">
      <c r="A4759" s="3" t="s">
        <v>3255</v>
      </c>
      <c r="B4759" s="1" t="s">
        <v>2457</v>
      </c>
      <c r="C4759" s="1" t="s">
        <v>2799</v>
      </c>
      <c r="D4759" s="1" t="s">
        <v>106</v>
      </c>
      <c r="E4759" s="1" t="s">
        <v>35</v>
      </c>
      <c r="F4759" s="2" t="s">
        <v>1027</v>
      </c>
      <c r="G4759" s="1">
        <v>43.372</v>
      </c>
      <c r="H4759" s="1">
        <v>7</v>
      </c>
      <c r="I4759" s="1">
        <v>-69.395200000000003</v>
      </c>
    </row>
    <row r="4760" spans="1:9" x14ac:dyDescent="0.35">
      <c r="A4760" s="3">
        <v>41709</v>
      </c>
      <c r="B4760" s="1" t="s">
        <v>2199</v>
      </c>
      <c r="C4760" s="1" t="s">
        <v>135</v>
      </c>
      <c r="D4760" s="1" t="s">
        <v>136</v>
      </c>
      <c r="E4760" s="1" t="s">
        <v>33</v>
      </c>
      <c r="F4760" s="2" t="s">
        <v>847</v>
      </c>
      <c r="G4760" s="1">
        <v>783.96</v>
      </c>
      <c r="H4760" s="1">
        <v>4</v>
      </c>
      <c r="I4760" s="1">
        <v>219.50880000000001</v>
      </c>
    </row>
    <row r="4761" spans="1:9" x14ac:dyDescent="0.35">
      <c r="A4761" s="3">
        <v>41709</v>
      </c>
      <c r="B4761" s="1" t="s">
        <v>2199</v>
      </c>
      <c r="C4761" s="1" t="s">
        <v>135</v>
      </c>
      <c r="D4761" s="1" t="s">
        <v>136</v>
      </c>
      <c r="E4761" s="1" t="s">
        <v>35</v>
      </c>
      <c r="F4761" s="2" t="s">
        <v>1670</v>
      </c>
      <c r="G4761" s="1">
        <v>48.896000000000001</v>
      </c>
      <c r="H4761" s="1">
        <v>2</v>
      </c>
      <c r="I4761" s="1">
        <v>18.335999999999999</v>
      </c>
    </row>
    <row r="4762" spans="1:9" x14ac:dyDescent="0.35">
      <c r="A4762" s="3">
        <v>41709</v>
      </c>
      <c r="B4762" s="1" t="s">
        <v>2199</v>
      </c>
      <c r="C4762" s="1" t="s">
        <v>135</v>
      </c>
      <c r="D4762" s="1" t="s">
        <v>136</v>
      </c>
      <c r="E4762" s="1" t="s">
        <v>35</v>
      </c>
      <c r="F4762" s="2" t="s">
        <v>1209</v>
      </c>
      <c r="G4762" s="1">
        <v>7.8559999999999999</v>
      </c>
      <c r="H4762" s="1">
        <v>2</v>
      </c>
      <c r="I4762" s="1">
        <v>2.8477999999999999</v>
      </c>
    </row>
    <row r="4763" spans="1:9" x14ac:dyDescent="0.35">
      <c r="A4763" s="3" t="s">
        <v>3507</v>
      </c>
      <c r="B4763" s="1" t="s">
        <v>1110</v>
      </c>
      <c r="C4763" s="1" t="s">
        <v>249</v>
      </c>
      <c r="D4763" s="1" t="s">
        <v>250</v>
      </c>
      <c r="E4763" s="1" t="s">
        <v>19</v>
      </c>
      <c r="F4763" s="2" t="s">
        <v>2741</v>
      </c>
      <c r="G4763" s="1">
        <v>5.9039999999999999</v>
      </c>
      <c r="H4763" s="1">
        <v>2</v>
      </c>
      <c r="I4763" s="1">
        <v>1.9925999999999999</v>
      </c>
    </row>
    <row r="4764" spans="1:9" x14ac:dyDescent="0.35">
      <c r="A4764" s="3" t="s">
        <v>3507</v>
      </c>
      <c r="B4764" s="1" t="s">
        <v>1110</v>
      </c>
      <c r="C4764" s="1" t="s">
        <v>249</v>
      </c>
      <c r="D4764" s="1" t="s">
        <v>250</v>
      </c>
      <c r="E4764" s="1" t="s">
        <v>289</v>
      </c>
      <c r="F4764" s="2" t="s">
        <v>2075</v>
      </c>
      <c r="G4764" s="1">
        <v>13.712</v>
      </c>
      <c r="H4764" s="1">
        <v>2</v>
      </c>
      <c r="I4764" s="1">
        <v>1.0284</v>
      </c>
    </row>
    <row r="4765" spans="1:9" x14ac:dyDescent="0.35">
      <c r="A4765" s="3" t="s">
        <v>3362</v>
      </c>
      <c r="B4765" s="1" t="s">
        <v>2816</v>
      </c>
      <c r="C4765" s="1" t="s">
        <v>2632</v>
      </c>
      <c r="D4765" s="1" t="s">
        <v>18</v>
      </c>
      <c r="E4765" s="1" t="s">
        <v>87</v>
      </c>
      <c r="F4765" s="2" t="s">
        <v>2821</v>
      </c>
      <c r="G4765" s="1">
        <v>182.94</v>
      </c>
      <c r="H4765" s="1">
        <v>3</v>
      </c>
      <c r="I4765" s="1">
        <v>85.981800000000007</v>
      </c>
    </row>
    <row r="4766" spans="1:9" x14ac:dyDescent="0.35">
      <c r="A4766" s="3" t="s">
        <v>3207</v>
      </c>
      <c r="B4766" s="1" t="s">
        <v>1155</v>
      </c>
      <c r="C4766" s="1" t="s">
        <v>64</v>
      </c>
      <c r="D4766" s="1" t="s">
        <v>18</v>
      </c>
      <c r="E4766" s="1" t="s">
        <v>31</v>
      </c>
      <c r="F4766" s="2" t="s">
        <v>1547</v>
      </c>
      <c r="G4766" s="1">
        <v>27.76</v>
      </c>
      <c r="H4766" s="1">
        <v>4</v>
      </c>
      <c r="I4766" s="1">
        <v>9.9936000000000007</v>
      </c>
    </row>
    <row r="4767" spans="1:9" x14ac:dyDescent="0.35">
      <c r="A4767" s="3" t="s">
        <v>3588</v>
      </c>
      <c r="B4767" s="1" t="s">
        <v>1740</v>
      </c>
      <c r="C4767" s="1" t="s">
        <v>135</v>
      </c>
      <c r="D4767" s="1" t="s">
        <v>136</v>
      </c>
      <c r="E4767" s="1" t="s">
        <v>31</v>
      </c>
      <c r="F4767" s="2" t="s">
        <v>1783</v>
      </c>
      <c r="G4767" s="1">
        <v>25.99</v>
      </c>
      <c r="H4767" s="1">
        <v>1</v>
      </c>
      <c r="I4767" s="1">
        <v>7.5370999999999997</v>
      </c>
    </row>
    <row r="4768" spans="1:9" x14ac:dyDescent="0.35">
      <c r="A4768" s="3">
        <v>42250</v>
      </c>
      <c r="B4768" s="1" t="s">
        <v>1351</v>
      </c>
      <c r="C4768" s="1" t="s">
        <v>336</v>
      </c>
      <c r="D4768" s="1" t="s">
        <v>52</v>
      </c>
      <c r="E4768" s="1" t="s">
        <v>81</v>
      </c>
      <c r="F4768" s="2" t="s">
        <v>1249</v>
      </c>
      <c r="G4768" s="1">
        <v>113.52</v>
      </c>
      <c r="H4768" s="1">
        <v>5</v>
      </c>
      <c r="I4768" s="1">
        <v>29.798999999999999</v>
      </c>
    </row>
    <row r="4769" spans="1:9" x14ac:dyDescent="0.35">
      <c r="A4769" s="3">
        <v>42250</v>
      </c>
      <c r="B4769" s="1" t="s">
        <v>1351</v>
      </c>
      <c r="C4769" s="1" t="s">
        <v>336</v>
      </c>
      <c r="D4769" s="1" t="s">
        <v>52</v>
      </c>
      <c r="E4769" s="1" t="s">
        <v>33</v>
      </c>
      <c r="F4769" s="2" t="s">
        <v>1969</v>
      </c>
      <c r="G4769" s="1">
        <v>359.88</v>
      </c>
      <c r="H4769" s="1">
        <v>3</v>
      </c>
      <c r="I4769" s="1">
        <v>22.4925</v>
      </c>
    </row>
    <row r="4770" spans="1:9" x14ac:dyDescent="0.35">
      <c r="A4770" s="3">
        <v>42772</v>
      </c>
      <c r="B4770" s="1" t="s">
        <v>2822</v>
      </c>
      <c r="C4770" s="1" t="s">
        <v>719</v>
      </c>
      <c r="D4770" s="1" t="s">
        <v>43</v>
      </c>
      <c r="E4770" s="1" t="s">
        <v>44</v>
      </c>
      <c r="F4770" s="2" t="s">
        <v>2646</v>
      </c>
      <c r="G4770" s="1">
        <v>25.344000000000001</v>
      </c>
      <c r="H4770" s="1">
        <v>4</v>
      </c>
      <c r="I4770" s="1">
        <v>9.1872000000000007</v>
      </c>
    </row>
    <row r="4771" spans="1:9" x14ac:dyDescent="0.35">
      <c r="A4771" s="3" t="s">
        <v>3287</v>
      </c>
      <c r="B4771" s="1" t="s">
        <v>975</v>
      </c>
      <c r="C4771" s="1" t="s">
        <v>64</v>
      </c>
      <c r="D4771" s="1" t="s">
        <v>18</v>
      </c>
      <c r="E4771" s="1" t="s">
        <v>35</v>
      </c>
      <c r="F4771" s="2" t="s">
        <v>1045</v>
      </c>
      <c r="G4771" s="1">
        <v>11.952</v>
      </c>
      <c r="H4771" s="1">
        <v>3</v>
      </c>
      <c r="I4771" s="1">
        <v>4.1832000000000003</v>
      </c>
    </row>
    <row r="4772" spans="1:9" x14ac:dyDescent="0.35">
      <c r="A4772" s="3" t="s">
        <v>3287</v>
      </c>
      <c r="B4772" s="1" t="s">
        <v>975</v>
      </c>
      <c r="C4772" s="1" t="s">
        <v>64</v>
      </c>
      <c r="D4772" s="1" t="s">
        <v>18</v>
      </c>
      <c r="E4772" s="1" t="s">
        <v>289</v>
      </c>
      <c r="F4772" s="2" t="s">
        <v>2823</v>
      </c>
      <c r="G4772" s="1">
        <v>6.24</v>
      </c>
      <c r="H4772" s="1">
        <v>3</v>
      </c>
      <c r="I4772" s="1">
        <v>1.8720000000000001</v>
      </c>
    </row>
    <row r="4773" spans="1:9" x14ac:dyDescent="0.35">
      <c r="A4773" s="3" t="s">
        <v>3516</v>
      </c>
      <c r="B4773" s="1" t="s">
        <v>1955</v>
      </c>
      <c r="C4773" s="1" t="s">
        <v>2824</v>
      </c>
      <c r="D4773" s="1" t="s">
        <v>158</v>
      </c>
      <c r="E4773" s="1" t="s">
        <v>33</v>
      </c>
      <c r="F4773" s="2" t="s">
        <v>103</v>
      </c>
      <c r="G4773" s="1">
        <v>742.33600000000001</v>
      </c>
      <c r="H4773" s="1">
        <v>8</v>
      </c>
      <c r="I4773" s="1">
        <v>83.512799999999999</v>
      </c>
    </row>
    <row r="4774" spans="1:9" x14ac:dyDescent="0.35">
      <c r="A4774" s="3" t="s">
        <v>3172</v>
      </c>
      <c r="B4774" s="1" t="s">
        <v>810</v>
      </c>
      <c r="C4774" s="1" t="s">
        <v>154</v>
      </c>
      <c r="D4774" s="1" t="s">
        <v>106</v>
      </c>
      <c r="E4774" s="1" t="s">
        <v>29</v>
      </c>
      <c r="F4774" s="2" t="s">
        <v>2270</v>
      </c>
      <c r="G4774" s="1">
        <v>6.4640000000000004</v>
      </c>
      <c r="H4774" s="1">
        <v>1</v>
      </c>
      <c r="I4774" s="1">
        <v>-4.04</v>
      </c>
    </row>
    <row r="4775" spans="1:9" x14ac:dyDescent="0.35">
      <c r="A4775" s="3" t="s">
        <v>3172</v>
      </c>
      <c r="B4775" s="1" t="s">
        <v>810</v>
      </c>
      <c r="C4775" s="1" t="s">
        <v>154</v>
      </c>
      <c r="D4775" s="1" t="s">
        <v>106</v>
      </c>
      <c r="E4775" s="1" t="s">
        <v>19</v>
      </c>
      <c r="F4775" s="2" t="s">
        <v>1287</v>
      </c>
      <c r="G4775" s="1">
        <v>11.52</v>
      </c>
      <c r="H4775" s="1">
        <v>5</v>
      </c>
      <c r="I4775" s="1">
        <v>4.1760000000000002</v>
      </c>
    </row>
    <row r="4776" spans="1:9" x14ac:dyDescent="0.35">
      <c r="A4776" s="3" t="s">
        <v>3172</v>
      </c>
      <c r="B4776" s="1" t="s">
        <v>810</v>
      </c>
      <c r="C4776" s="1" t="s">
        <v>154</v>
      </c>
      <c r="D4776" s="1" t="s">
        <v>106</v>
      </c>
      <c r="E4776" s="1" t="s">
        <v>33</v>
      </c>
      <c r="F4776" s="2" t="s">
        <v>1473</v>
      </c>
      <c r="G4776" s="1">
        <v>222.38399999999999</v>
      </c>
      <c r="H4776" s="1">
        <v>2</v>
      </c>
      <c r="I4776" s="1">
        <v>16.678799999999999</v>
      </c>
    </row>
    <row r="4777" spans="1:9" x14ac:dyDescent="0.35">
      <c r="A4777" s="3" t="s">
        <v>3283</v>
      </c>
      <c r="B4777" s="1" t="s">
        <v>2716</v>
      </c>
      <c r="C4777" s="1" t="s">
        <v>1449</v>
      </c>
      <c r="D4777" s="1" t="s">
        <v>18</v>
      </c>
      <c r="E4777" s="1" t="s">
        <v>31</v>
      </c>
      <c r="F4777" s="2" t="s">
        <v>1382</v>
      </c>
      <c r="G4777" s="1">
        <v>23.36</v>
      </c>
      <c r="H4777" s="1">
        <v>4</v>
      </c>
      <c r="I4777" s="1">
        <v>6.0735999999999999</v>
      </c>
    </row>
    <row r="4778" spans="1:9" x14ac:dyDescent="0.35">
      <c r="A4778" s="3" t="s">
        <v>3589</v>
      </c>
      <c r="B4778" s="1" t="s">
        <v>1182</v>
      </c>
      <c r="C4778" s="1" t="s">
        <v>559</v>
      </c>
      <c r="D4778" s="1" t="s">
        <v>136</v>
      </c>
      <c r="E4778" s="1" t="s">
        <v>19</v>
      </c>
      <c r="F4778" s="2" t="s">
        <v>1462</v>
      </c>
      <c r="G4778" s="1">
        <v>8.67</v>
      </c>
      <c r="H4778" s="1">
        <v>3</v>
      </c>
      <c r="I4778" s="1">
        <v>4.0749000000000004</v>
      </c>
    </row>
    <row r="4779" spans="1:9" x14ac:dyDescent="0.35">
      <c r="A4779" s="3" t="s">
        <v>3589</v>
      </c>
      <c r="B4779" s="1" t="s">
        <v>1182</v>
      </c>
      <c r="C4779" s="1" t="s">
        <v>559</v>
      </c>
      <c r="D4779" s="1" t="s">
        <v>136</v>
      </c>
      <c r="E4779" s="1" t="s">
        <v>289</v>
      </c>
      <c r="F4779" s="2" t="s">
        <v>2075</v>
      </c>
      <c r="G4779" s="1">
        <v>25.71</v>
      </c>
      <c r="H4779" s="1">
        <v>3</v>
      </c>
      <c r="I4779" s="1">
        <v>6.6845999999999997</v>
      </c>
    </row>
    <row r="4780" spans="1:9" x14ac:dyDescent="0.35">
      <c r="A4780" s="3">
        <v>42927</v>
      </c>
      <c r="B4780" s="1" t="s">
        <v>55</v>
      </c>
      <c r="C4780" s="1" t="s">
        <v>303</v>
      </c>
      <c r="D4780" s="1" t="s">
        <v>124</v>
      </c>
      <c r="E4780" s="1" t="s">
        <v>37</v>
      </c>
      <c r="F4780" s="2" t="s">
        <v>631</v>
      </c>
      <c r="G4780" s="1">
        <v>100.94</v>
      </c>
      <c r="H4780" s="1">
        <v>7</v>
      </c>
      <c r="I4780" s="1">
        <v>33.310200000000002</v>
      </c>
    </row>
    <row r="4781" spans="1:9" x14ac:dyDescent="0.35">
      <c r="A4781" s="3">
        <v>41858</v>
      </c>
      <c r="B4781" s="1" t="s">
        <v>2380</v>
      </c>
      <c r="C4781" s="1" t="s">
        <v>1494</v>
      </c>
      <c r="D4781" s="1" t="s">
        <v>136</v>
      </c>
      <c r="E4781" s="1" t="s">
        <v>14</v>
      </c>
      <c r="F4781" s="2" t="s">
        <v>856</v>
      </c>
      <c r="G4781" s="1">
        <v>63.881999999999998</v>
      </c>
      <c r="H4781" s="1">
        <v>1</v>
      </c>
      <c r="I4781" s="1">
        <v>10.647</v>
      </c>
    </row>
    <row r="4782" spans="1:9" x14ac:dyDescent="0.35">
      <c r="A4782" s="3">
        <v>41831</v>
      </c>
      <c r="B4782" s="1" t="s">
        <v>260</v>
      </c>
      <c r="C4782" s="1" t="s">
        <v>93</v>
      </c>
      <c r="D4782" s="1" t="s">
        <v>52</v>
      </c>
      <c r="E4782" s="1" t="s">
        <v>14</v>
      </c>
      <c r="F4782" s="2" t="s">
        <v>2358</v>
      </c>
      <c r="G4782" s="1">
        <v>683.14400000000001</v>
      </c>
      <c r="H4782" s="1">
        <v>4</v>
      </c>
      <c r="I4782" s="1">
        <v>0</v>
      </c>
    </row>
    <row r="4783" spans="1:9" x14ac:dyDescent="0.35">
      <c r="A4783" s="3">
        <v>41831</v>
      </c>
      <c r="B4783" s="1" t="s">
        <v>260</v>
      </c>
      <c r="C4783" s="1" t="s">
        <v>93</v>
      </c>
      <c r="D4783" s="1" t="s">
        <v>52</v>
      </c>
      <c r="E4783" s="1" t="s">
        <v>35</v>
      </c>
      <c r="F4783" s="2" t="s">
        <v>2825</v>
      </c>
      <c r="G4783" s="1">
        <v>1.476</v>
      </c>
      <c r="H4783" s="1">
        <v>3</v>
      </c>
      <c r="I4783" s="1">
        <v>-2.214</v>
      </c>
    </row>
    <row r="4784" spans="1:9" x14ac:dyDescent="0.35">
      <c r="A4784" s="3">
        <v>41831</v>
      </c>
      <c r="B4784" s="1" t="s">
        <v>260</v>
      </c>
      <c r="C4784" s="1" t="s">
        <v>93</v>
      </c>
      <c r="D4784" s="1" t="s">
        <v>52</v>
      </c>
      <c r="E4784" s="1" t="s">
        <v>289</v>
      </c>
      <c r="F4784" s="2" t="s">
        <v>920</v>
      </c>
      <c r="G4784" s="1">
        <v>40.712000000000003</v>
      </c>
      <c r="H4784" s="1">
        <v>7</v>
      </c>
      <c r="I4784" s="1">
        <v>3.5623</v>
      </c>
    </row>
    <row r="4785" spans="1:9" x14ac:dyDescent="0.35">
      <c r="A4785" s="3" t="s">
        <v>3590</v>
      </c>
      <c r="B4785" s="1" t="s">
        <v>2431</v>
      </c>
      <c r="C4785" s="1" t="s">
        <v>2711</v>
      </c>
      <c r="D4785" s="1" t="s">
        <v>1891</v>
      </c>
      <c r="E4785" s="1" t="s">
        <v>44</v>
      </c>
      <c r="F4785" s="2" t="s">
        <v>1621</v>
      </c>
      <c r="G4785" s="1">
        <v>279.89999999999998</v>
      </c>
      <c r="H4785" s="1">
        <v>5</v>
      </c>
      <c r="I4785" s="1">
        <v>137.15100000000001</v>
      </c>
    </row>
    <row r="4786" spans="1:9" x14ac:dyDescent="0.35">
      <c r="A4786" s="3">
        <v>42320</v>
      </c>
      <c r="B4786" s="1" t="s">
        <v>46</v>
      </c>
      <c r="C4786" s="1" t="s">
        <v>518</v>
      </c>
      <c r="D4786" s="1" t="s">
        <v>229</v>
      </c>
      <c r="E4786" s="1" t="s">
        <v>31</v>
      </c>
      <c r="F4786" s="2" t="s">
        <v>2240</v>
      </c>
      <c r="G4786" s="1">
        <v>13.12</v>
      </c>
      <c r="H4786" s="1">
        <v>5</v>
      </c>
      <c r="I4786" s="1">
        <v>1.1479999999999999</v>
      </c>
    </row>
    <row r="4787" spans="1:9" x14ac:dyDescent="0.35">
      <c r="A4787" s="3">
        <v>42320</v>
      </c>
      <c r="B4787" s="1" t="s">
        <v>46</v>
      </c>
      <c r="C4787" s="1" t="s">
        <v>518</v>
      </c>
      <c r="D4787" s="1" t="s">
        <v>229</v>
      </c>
      <c r="E4787" s="1" t="s">
        <v>12</v>
      </c>
      <c r="F4787" s="2" t="s">
        <v>2265</v>
      </c>
      <c r="G4787" s="1">
        <v>69.575999999999993</v>
      </c>
      <c r="H4787" s="1">
        <v>4</v>
      </c>
      <c r="I4787" s="1">
        <v>-143.79040000000001</v>
      </c>
    </row>
    <row r="4788" spans="1:9" x14ac:dyDescent="0.35">
      <c r="A4788" s="3">
        <v>42320</v>
      </c>
      <c r="B4788" s="1" t="s">
        <v>46</v>
      </c>
      <c r="C4788" s="1" t="s">
        <v>518</v>
      </c>
      <c r="D4788" s="1" t="s">
        <v>229</v>
      </c>
      <c r="E4788" s="1" t="s">
        <v>31</v>
      </c>
      <c r="F4788" s="2" t="s">
        <v>1404</v>
      </c>
      <c r="G4788" s="1">
        <v>4.2240000000000002</v>
      </c>
      <c r="H4788" s="1">
        <v>3</v>
      </c>
      <c r="I4788" s="1">
        <v>0.47520000000000001</v>
      </c>
    </row>
    <row r="4789" spans="1:9" x14ac:dyDescent="0.35">
      <c r="A4789" s="3">
        <v>42320</v>
      </c>
      <c r="B4789" s="1" t="s">
        <v>46</v>
      </c>
      <c r="C4789" s="1" t="s">
        <v>518</v>
      </c>
      <c r="D4789" s="1" t="s">
        <v>229</v>
      </c>
      <c r="E4789" s="1" t="s">
        <v>81</v>
      </c>
      <c r="F4789" s="2" t="s">
        <v>2826</v>
      </c>
      <c r="G4789" s="1">
        <v>58.08</v>
      </c>
      <c r="H4789" s="1">
        <v>4</v>
      </c>
      <c r="I4789" s="1">
        <v>-6.5339999999999998</v>
      </c>
    </row>
    <row r="4790" spans="1:9" x14ac:dyDescent="0.35">
      <c r="A4790" s="3">
        <v>42320</v>
      </c>
      <c r="B4790" s="1" t="s">
        <v>46</v>
      </c>
      <c r="C4790" s="1" t="s">
        <v>518</v>
      </c>
      <c r="D4790" s="1" t="s">
        <v>229</v>
      </c>
      <c r="E4790" s="1" t="s">
        <v>29</v>
      </c>
      <c r="F4790" s="2" t="s">
        <v>1727</v>
      </c>
      <c r="G4790" s="1">
        <v>52.415999999999997</v>
      </c>
      <c r="H4790" s="1">
        <v>9</v>
      </c>
      <c r="I4790" s="1">
        <v>15.069599999999999</v>
      </c>
    </row>
    <row r="4791" spans="1:9" x14ac:dyDescent="0.35">
      <c r="A4791" s="3">
        <v>42320</v>
      </c>
      <c r="B4791" s="1" t="s">
        <v>46</v>
      </c>
      <c r="C4791" s="1" t="s">
        <v>518</v>
      </c>
      <c r="D4791" s="1" t="s">
        <v>229</v>
      </c>
      <c r="E4791" s="1" t="s">
        <v>29</v>
      </c>
      <c r="F4791" s="2" t="s">
        <v>1677</v>
      </c>
      <c r="G4791" s="1">
        <v>54.92</v>
      </c>
      <c r="H4791" s="1">
        <v>5</v>
      </c>
      <c r="I4791" s="1">
        <v>10.984</v>
      </c>
    </row>
    <row r="4792" spans="1:9" x14ac:dyDescent="0.35">
      <c r="A4792" s="3">
        <v>42320</v>
      </c>
      <c r="B4792" s="1" t="s">
        <v>46</v>
      </c>
      <c r="C4792" s="1" t="s">
        <v>518</v>
      </c>
      <c r="D4792" s="1" t="s">
        <v>229</v>
      </c>
      <c r="E4792" s="1" t="s">
        <v>24</v>
      </c>
      <c r="F4792" s="2" t="s">
        <v>2221</v>
      </c>
      <c r="G4792" s="1">
        <v>364.95</v>
      </c>
      <c r="H4792" s="1">
        <v>5</v>
      </c>
      <c r="I4792" s="1">
        <v>-248.166</v>
      </c>
    </row>
    <row r="4793" spans="1:9" x14ac:dyDescent="0.35">
      <c r="A4793" s="3">
        <v>42320</v>
      </c>
      <c r="B4793" s="1" t="s">
        <v>46</v>
      </c>
      <c r="C4793" s="1" t="s">
        <v>518</v>
      </c>
      <c r="D4793" s="1" t="s">
        <v>229</v>
      </c>
      <c r="E4793" s="1" t="s">
        <v>44</v>
      </c>
      <c r="F4793" s="2" t="s">
        <v>2827</v>
      </c>
      <c r="G4793" s="1">
        <v>85.055999999999997</v>
      </c>
      <c r="H4793" s="1">
        <v>3</v>
      </c>
      <c r="I4793" s="1">
        <v>28.706399999999999</v>
      </c>
    </row>
    <row r="4794" spans="1:9" x14ac:dyDescent="0.35">
      <c r="A4794" s="3">
        <v>42320</v>
      </c>
      <c r="B4794" s="1" t="s">
        <v>46</v>
      </c>
      <c r="C4794" s="1" t="s">
        <v>518</v>
      </c>
      <c r="D4794" s="1" t="s">
        <v>229</v>
      </c>
      <c r="E4794" s="1" t="s">
        <v>44</v>
      </c>
      <c r="F4794" s="2" t="s">
        <v>222</v>
      </c>
      <c r="G4794" s="1">
        <v>27.696000000000002</v>
      </c>
      <c r="H4794" s="1">
        <v>3</v>
      </c>
      <c r="I4794" s="1">
        <v>9.6936</v>
      </c>
    </row>
    <row r="4795" spans="1:9" x14ac:dyDescent="0.35">
      <c r="A4795" s="3" t="s">
        <v>3591</v>
      </c>
      <c r="B4795" s="1" t="s">
        <v>1822</v>
      </c>
      <c r="C4795" s="1" t="s">
        <v>135</v>
      </c>
      <c r="D4795" s="1" t="s">
        <v>136</v>
      </c>
      <c r="E4795" s="1" t="s">
        <v>44</v>
      </c>
      <c r="F4795" s="2" t="s">
        <v>1528</v>
      </c>
      <c r="G4795" s="1">
        <v>24.96</v>
      </c>
      <c r="H4795" s="1">
        <v>4</v>
      </c>
      <c r="I4795" s="1">
        <v>11.231999999999999</v>
      </c>
    </row>
    <row r="4796" spans="1:9" x14ac:dyDescent="0.35">
      <c r="A4796" s="3" t="s">
        <v>3592</v>
      </c>
      <c r="B4796" s="1" t="s">
        <v>2828</v>
      </c>
      <c r="C4796" s="1" t="s">
        <v>17</v>
      </c>
      <c r="D4796" s="1" t="s">
        <v>18</v>
      </c>
      <c r="E4796" s="1" t="s">
        <v>29</v>
      </c>
      <c r="F4796" s="2" t="s">
        <v>2691</v>
      </c>
      <c r="G4796" s="1">
        <v>43.13</v>
      </c>
      <c r="H4796" s="1">
        <v>1</v>
      </c>
      <c r="I4796" s="1">
        <v>18.114599999999999</v>
      </c>
    </row>
    <row r="4797" spans="1:9" x14ac:dyDescent="0.35">
      <c r="A4797" s="3" t="s">
        <v>3376</v>
      </c>
      <c r="B4797" s="1" t="s">
        <v>935</v>
      </c>
      <c r="C4797" s="1" t="s">
        <v>2829</v>
      </c>
      <c r="D4797" s="1" t="s">
        <v>604</v>
      </c>
      <c r="E4797" s="1" t="s">
        <v>35</v>
      </c>
      <c r="F4797" s="2" t="s">
        <v>1096</v>
      </c>
      <c r="G4797" s="1">
        <v>5.64</v>
      </c>
      <c r="H4797" s="1">
        <v>3</v>
      </c>
      <c r="I4797" s="1">
        <v>2.7071999999999998</v>
      </c>
    </row>
    <row r="4798" spans="1:9" x14ac:dyDescent="0.35">
      <c r="A4798" s="3" t="s">
        <v>3593</v>
      </c>
      <c r="B4798" s="1" t="s">
        <v>611</v>
      </c>
      <c r="C4798" s="1" t="s">
        <v>719</v>
      </c>
      <c r="D4798" s="1" t="s">
        <v>23</v>
      </c>
      <c r="E4798" s="1" t="s">
        <v>35</v>
      </c>
      <c r="F4798" s="2" t="s">
        <v>2049</v>
      </c>
      <c r="G4798" s="1">
        <v>57.582000000000001</v>
      </c>
      <c r="H4798" s="1">
        <v>3</v>
      </c>
      <c r="I4798" s="1">
        <v>-44.1462</v>
      </c>
    </row>
    <row r="4799" spans="1:9" x14ac:dyDescent="0.35">
      <c r="A4799" s="3" t="s">
        <v>3593</v>
      </c>
      <c r="B4799" s="1" t="s">
        <v>611</v>
      </c>
      <c r="C4799" s="1" t="s">
        <v>719</v>
      </c>
      <c r="D4799" s="1" t="s">
        <v>23</v>
      </c>
      <c r="E4799" s="1" t="s">
        <v>44</v>
      </c>
      <c r="F4799" s="2" t="s">
        <v>2229</v>
      </c>
      <c r="G4799" s="1">
        <v>31.103999999999999</v>
      </c>
      <c r="H4799" s="1">
        <v>6</v>
      </c>
      <c r="I4799" s="1">
        <v>10.8864</v>
      </c>
    </row>
    <row r="4800" spans="1:9" x14ac:dyDescent="0.35">
      <c r="A4800" s="3" t="s">
        <v>3593</v>
      </c>
      <c r="B4800" s="1" t="s">
        <v>611</v>
      </c>
      <c r="C4800" s="1" t="s">
        <v>719</v>
      </c>
      <c r="D4800" s="1" t="s">
        <v>23</v>
      </c>
      <c r="E4800" s="1" t="s">
        <v>29</v>
      </c>
      <c r="F4800" s="2" t="s">
        <v>2661</v>
      </c>
      <c r="G4800" s="1">
        <v>30.192</v>
      </c>
      <c r="H4800" s="1">
        <v>3</v>
      </c>
      <c r="I4800" s="1">
        <v>8.3027999999999995</v>
      </c>
    </row>
    <row r="4801" spans="1:9" x14ac:dyDescent="0.35">
      <c r="A4801" s="3" t="s">
        <v>3593</v>
      </c>
      <c r="B4801" s="1" t="s">
        <v>611</v>
      </c>
      <c r="C4801" s="1" t="s">
        <v>719</v>
      </c>
      <c r="D4801" s="1" t="s">
        <v>23</v>
      </c>
      <c r="E4801" s="1" t="s">
        <v>33</v>
      </c>
      <c r="F4801" s="2" t="s">
        <v>126</v>
      </c>
      <c r="G4801" s="1">
        <v>43.6</v>
      </c>
      <c r="H4801" s="1">
        <v>5</v>
      </c>
      <c r="I4801" s="1">
        <v>4.3600000000000003</v>
      </c>
    </row>
    <row r="4802" spans="1:9" x14ac:dyDescent="0.35">
      <c r="A4802" s="3" t="s">
        <v>3593</v>
      </c>
      <c r="B4802" s="1" t="s">
        <v>611</v>
      </c>
      <c r="C4802" s="1" t="s">
        <v>719</v>
      </c>
      <c r="D4802" s="1" t="s">
        <v>23</v>
      </c>
      <c r="E4802" s="1" t="s">
        <v>31</v>
      </c>
      <c r="F4802" s="2" t="s">
        <v>2830</v>
      </c>
      <c r="G4802" s="1">
        <v>4.7679999999999998</v>
      </c>
      <c r="H4802" s="1">
        <v>2</v>
      </c>
      <c r="I4802" s="1">
        <v>0.41720000000000002</v>
      </c>
    </row>
    <row r="4803" spans="1:9" x14ac:dyDescent="0.35">
      <c r="A4803" s="3" t="s">
        <v>3593</v>
      </c>
      <c r="B4803" s="1" t="s">
        <v>611</v>
      </c>
      <c r="C4803" s="1" t="s">
        <v>719</v>
      </c>
      <c r="D4803" s="1" t="s">
        <v>23</v>
      </c>
      <c r="E4803" s="1" t="s">
        <v>35</v>
      </c>
      <c r="F4803" s="2" t="s">
        <v>334</v>
      </c>
      <c r="G4803" s="1">
        <v>10.38</v>
      </c>
      <c r="H4803" s="1">
        <v>2</v>
      </c>
      <c r="I4803" s="1">
        <v>-7.6120000000000001</v>
      </c>
    </row>
    <row r="4804" spans="1:9" x14ac:dyDescent="0.35">
      <c r="A4804" s="3" t="s">
        <v>3593</v>
      </c>
      <c r="B4804" s="1" t="s">
        <v>611</v>
      </c>
      <c r="C4804" s="1" t="s">
        <v>719</v>
      </c>
      <c r="D4804" s="1" t="s">
        <v>23</v>
      </c>
      <c r="E4804" s="1" t="s">
        <v>35</v>
      </c>
      <c r="F4804" s="2" t="s">
        <v>184</v>
      </c>
      <c r="G4804" s="1">
        <v>13.391999999999999</v>
      </c>
      <c r="H4804" s="1">
        <v>8</v>
      </c>
      <c r="I4804" s="1">
        <v>-9.8208000000000002</v>
      </c>
    </row>
    <row r="4805" spans="1:9" x14ac:dyDescent="0.35">
      <c r="A4805" s="3" t="s">
        <v>3594</v>
      </c>
      <c r="B4805" s="1" t="s">
        <v>2567</v>
      </c>
      <c r="C4805" s="1" t="s">
        <v>74</v>
      </c>
      <c r="D4805" s="1" t="s">
        <v>75</v>
      </c>
      <c r="E4805" s="1" t="s">
        <v>33</v>
      </c>
      <c r="F4805" s="2" t="s">
        <v>1338</v>
      </c>
      <c r="G4805" s="1">
        <v>39.594000000000001</v>
      </c>
      <c r="H4805" s="1">
        <v>1</v>
      </c>
      <c r="I4805" s="1">
        <v>-7.2588999999999997</v>
      </c>
    </row>
    <row r="4806" spans="1:9" x14ac:dyDescent="0.35">
      <c r="A4806" s="3" t="s">
        <v>3594</v>
      </c>
      <c r="B4806" s="1" t="s">
        <v>2567</v>
      </c>
      <c r="C4806" s="1" t="s">
        <v>74</v>
      </c>
      <c r="D4806" s="1" t="s">
        <v>75</v>
      </c>
      <c r="E4806" s="1" t="s">
        <v>29</v>
      </c>
      <c r="F4806" s="2" t="s">
        <v>2175</v>
      </c>
      <c r="G4806" s="1">
        <v>91.007999999999996</v>
      </c>
      <c r="H4806" s="1">
        <v>9</v>
      </c>
      <c r="I4806" s="1">
        <v>19.339200000000002</v>
      </c>
    </row>
    <row r="4807" spans="1:9" x14ac:dyDescent="0.35">
      <c r="A4807" s="3" t="s">
        <v>3145</v>
      </c>
      <c r="B4807" s="1" t="s">
        <v>646</v>
      </c>
      <c r="C4807" s="1" t="s">
        <v>17</v>
      </c>
      <c r="D4807" s="1" t="s">
        <v>18</v>
      </c>
      <c r="E4807" s="1" t="s">
        <v>44</v>
      </c>
      <c r="F4807" s="2" t="s">
        <v>1126</v>
      </c>
      <c r="G4807" s="1">
        <v>37.94</v>
      </c>
      <c r="H4807" s="1">
        <v>2</v>
      </c>
      <c r="I4807" s="1">
        <v>18.211200000000002</v>
      </c>
    </row>
    <row r="4808" spans="1:9" x14ac:dyDescent="0.35">
      <c r="A4808" s="3" t="s">
        <v>3145</v>
      </c>
      <c r="B4808" s="1" t="s">
        <v>646</v>
      </c>
      <c r="C4808" s="1" t="s">
        <v>17</v>
      </c>
      <c r="D4808" s="1" t="s">
        <v>18</v>
      </c>
      <c r="E4808" s="1" t="s">
        <v>44</v>
      </c>
      <c r="F4808" s="2" t="s">
        <v>2409</v>
      </c>
      <c r="G4808" s="1">
        <v>42.8</v>
      </c>
      <c r="H4808" s="1">
        <v>10</v>
      </c>
      <c r="I4808" s="1">
        <v>19.260000000000002</v>
      </c>
    </row>
    <row r="4809" spans="1:9" x14ac:dyDescent="0.35">
      <c r="A4809" s="3" t="s">
        <v>3145</v>
      </c>
      <c r="B4809" s="1" t="s">
        <v>646</v>
      </c>
      <c r="C4809" s="1" t="s">
        <v>17</v>
      </c>
      <c r="D4809" s="1" t="s">
        <v>18</v>
      </c>
      <c r="E4809" s="1" t="s">
        <v>26</v>
      </c>
      <c r="F4809" s="2" t="s">
        <v>1064</v>
      </c>
      <c r="G4809" s="1">
        <v>33.630000000000003</v>
      </c>
      <c r="H4809" s="1">
        <v>3</v>
      </c>
      <c r="I4809" s="1">
        <v>10.089</v>
      </c>
    </row>
    <row r="4810" spans="1:9" x14ac:dyDescent="0.35">
      <c r="A4810" s="3" t="s">
        <v>3437</v>
      </c>
      <c r="B4810" s="1" t="s">
        <v>1896</v>
      </c>
      <c r="C4810" s="1" t="s">
        <v>74</v>
      </c>
      <c r="D4810" s="1" t="s">
        <v>75</v>
      </c>
      <c r="E4810" s="1" t="s">
        <v>87</v>
      </c>
      <c r="F4810" s="2" t="s">
        <v>2063</v>
      </c>
      <c r="G4810" s="1">
        <v>62.808</v>
      </c>
      <c r="H4810" s="1">
        <v>3</v>
      </c>
      <c r="I4810" s="1">
        <v>21.197700000000001</v>
      </c>
    </row>
    <row r="4811" spans="1:9" x14ac:dyDescent="0.35">
      <c r="A4811" s="3" t="s">
        <v>3152</v>
      </c>
      <c r="B4811" s="1" t="s">
        <v>2463</v>
      </c>
      <c r="C4811" s="1" t="s">
        <v>2442</v>
      </c>
      <c r="D4811" s="1" t="s">
        <v>57</v>
      </c>
      <c r="E4811" s="1" t="s">
        <v>44</v>
      </c>
      <c r="F4811" s="2" t="s">
        <v>2809</v>
      </c>
      <c r="G4811" s="1">
        <v>195.64</v>
      </c>
      <c r="H4811" s="1">
        <v>4</v>
      </c>
      <c r="I4811" s="1">
        <v>91.950800000000001</v>
      </c>
    </row>
    <row r="4812" spans="1:9" x14ac:dyDescent="0.35">
      <c r="A4812" s="3" t="s">
        <v>3152</v>
      </c>
      <c r="B4812" s="1" t="s">
        <v>2463</v>
      </c>
      <c r="C4812" s="1" t="s">
        <v>2442</v>
      </c>
      <c r="D4812" s="1" t="s">
        <v>57</v>
      </c>
      <c r="E4812" s="1" t="s">
        <v>33</v>
      </c>
      <c r="F4812" s="2" t="s">
        <v>1975</v>
      </c>
      <c r="G4812" s="1">
        <v>239.9</v>
      </c>
      <c r="H4812" s="1">
        <v>2</v>
      </c>
      <c r="I4812" s="1">
        <v>71.97</v>
      </c>
    </row>
    <row r="4813" spans="1:9" x14ac:dyDescent="0.35">
      <c r="A4813" s="3" t="s">
        <v>3564</v>
      </c>
      <c r="B4813" s="1" t="s">
        <v>2482</v>
      </c>
      <c r="C4813" s="1" t="s">
        <v>74</v>
      </c>
      <c r="D4813" s="1" t="s">
        <v>75</v>
      </c>
      <c r="E4813" s="1" t="s">
        <v>14</v>
      </c>
      <c r="F4813" s="2" t="s">
        <v>607</v>
      </c>
      <c r="G4813" s="1">
        <v>380.05799999999999</v>
      </c>
      <c r="H4813" s="1">
        <v>3</v>
      </c>
      <c r="I4813" s="1">
        <v>-21.717600000000001</v>
      </c>
    </row>
    <row r="4814" spans="1:9" x14ac:dyDescent="0.35">
      <c r="A4814" s="3" t="s">
        <v>3564</v>
      </c>
      <c r="B4814" s="1" t="s">
        <v>2482</v>
      </c>
      <c r="C4814" s="1" t="s">
        <v>74</v>
      </c>
      <c r="D4814" s="1" t="s">
        <v>75</v>
      </c>
      <c r="E4814" s="1" t="s">
        <v>579</v>
      </c>
      <c r="F4814" s="2" t="s">
        <v>678</v>
      </c>
      <c r="G4814" s="1">
        <v>1199.9760000000001</v>
      </c>
      <c r="H4814" s="1">
        <v>4</v>
      </c>
      <c r="I4814" s="1">
        <v>179.99639999999999</v>
      </c>
    </row>
    <row r="4815" spans="1:9" x14ac:dyDescent="0.35">
      <c r="A4815" s="3" t="s">
        <v>3564</v>
      </c>
      <c r="B4815" s="1" t="s">
        <v>2482</v>
      </c>
      <c r="C4815" s="1" t="s">
        <v>74</v>
      </c>
      <c r="D4815" s="1" t="s">
        <v>75</v>
      </c>
      <c r="E4815" s="1" t="s">
        <v>29</v>
      </c>
      <c r="F4815" s="2" t="s">
        <v>2831</v>
      </c>
      <c r="G4815" s="1">
        <v>48.576000000000001</v>
      </c>
      <c r="H4815" s="1">
        <v>3</v>
      </c>
      <c r="I4815" s="1">
        <v>9.7151999999999994</v>
      </c>
    </row>
    <row r="4816" spans="1:9" x14ac:dyDescent="0.35">
      <c r="A4816" s="3">
        <v>42587</v>
      </c>
      <c r="B4816" s="1" t="s">
        <v>2073</v>
      </c>
      <c r="C4816" s="1" t="s">
        <v>17</v>
      </c>
      <c r="D4816" s="1" t="s">
        <v>18</v>
      </c>
      <c r="E4816" s="1" t="s">
        <v>44</v>
      </c>
      <c r="F4816" s="2" t="s">
        <v>326</v>
      </c>
      <c r="G4816" s="1">
        <v>17.940000000000001</v>
      </c>
      <c r="H4816" s="1">
        <v>3</v>
      </c>
      <c r="I4816" s="1">
        <v>8.0730000000000004</v>
      </c>
    </row>
    <row r="4817" spans="1:9" x14ac:dyDescent="0.35">
      <c r="A4817" s="3" t="s">
        <v>3176</v>
      </c>
      <c r="B4817" s="1" t="s">
        <v>2674</v>
      </c>
      <c r="C4817" s="1" t="s">
        <v>74</v>
      </c>
      <c r="D4817" s="1" t="s">
        <v>75</v>
      </c>
      <c r="E4817" s="1" t="s">
        <v>44</v>
      </c>
      <c r="F4817" s="2" t="s">
        <v>462</v>
      </c>
      <c r="G4817" s="1">
        <v>18.263999999999999</v>
      </c>
      <c r="H4817" s="1">
        <v>3</v>
      </c>
      <c r="I4817" s="1">
        <v>6.1641000000000004</v>
      </c>
    </row>
    <row r="4818" spans="1:9" x14ac:dyDescent="0.35">
      <c r="A4818" s="3" t="s">
        <v>3176</v>
      </c>
      <c r="B4818" s="1" t="s">
        <v>2674</v>
      </c>
      <c r="C4818" s="1" t="s">
        <v>74</v>
      </c>
      <c r="D4818" s="1" t="s">
        <v>75</v>
      </c>
      <c r="E4818" s="1" t="s">
        <v>37</v>
      </c>
      <c r="F4818" s="2" t="s">
        <v>2760</v>
      </c>
      <c r="G4818" s="1">
        <v>34.655999999999999</v>
      </c>
      <c r="H4818" s="1">
        <v>2</v>
      </c>
      <c r="I4818" s="1">
        <v>5.6315999999999997</v>
      </c>
    </row>
    <row r="4819" spans="1:9" x14ac:dyDescent="0.35">
      <c r="A4819" s="3" t="s">
        <v>3176</v>
      </c>
      <c r="B4819" s="1" t="s">
        <v>2674</v>
      </c>
      <c r="C4819" s="1" t="s">
        <v>74</v>
      </c>
      <c r="D4819" s="1" t="s">
        <v>75</v>
      </c>
      <c r="E4819" s="1" t="s">
        <v>37</v>
      </c>
      <c r="F4819" s="2" t="s">
        <v>963</v>
      </c>
      <c r="G4819" s="1">
        <v>81.552000000000007</v>
      </c>
      <c r="H4819" s="1">
        <v>2</v>
      </c>
      <c r="I4819" s="1">
        <v>8.1552000000000007</v>
      </c>
    </row>
    <row r="4820" spans="1:9" x14ac:dyDescent="0.35">
      <c r="A4820" s="3" t="s">
        <v>3176</v>
      </c>
      <c r="B4820" s="1" t="s">
        <v>2674</v>
      </c>
      <c r="C4820" s="1" t="s">
        <v>74</v>
      </c>
      <c r="D4820" s="1" t="s">
        <v>75</v>
      </c>
      <c r="E4820" s="1" t="s">
        <v>26</v>
      </c>
      <c r="F4820" s="2" t="s">
        <v>1757</v>
      </c>
      <c r="G4820" s="1">
        <v>227.136</v>
      </c>
      <c r="H4820" s="1">
        <v>4</v>
      </c>
      <c r="I4820" s="1">
        <v>-42.588000000000001</v>
      </c>
    </row>
    <row r="4821" spans="1:9" x14ac:dyDescent="0.35">
      <c r="A4821" s="3">
        <v>42953</v>
      </c>
      <c r="B4821" s="1" t="s">
        <v>2832</v>
      </c>
      <c r="C4821" s="1" t="s">
        <v>1243</v>
      </c>
      <c r="D4821" s="1" t="s">
        <v>368</v>
      </c>
      <c r="E4821" s="1" t="s">
        <v>35</v>
      </c>
      <c r="F4821" s="2" t="s">
        <v>2495</v>
      </c>
      <c r="G4821" s="1">
        <v>10.36</v>
      </c>
      <c r="H4821" s="1">
        <v>2</v>
      </c>
      <c r="I4821" s="1">
        <v>5.0763999999999996</v>
      </c>
    </row>
    <row r="4822" spans="1:9" x14ac:dyDescent="0.35">
      <c r="A4822" s="3">
        <v>42189</v>
      </c>
      <c r="B4822" s="1" t="s">
        <v>2660</v>
      </c>
      <c r="C4822" s="1" t="s">
        <v>336</v>
      </c>
      <c r="D4822" s="1" t="s">
        <v>52</v>
      </c>
      <c r="E4822" s="1" t="s">
        <v>37</v>
      </c>
      <c r="F4822" s="2" t="s">
        <v>2257</v>
      </c>
      <c r="G4822" s="1">
        <v>463.24799999999999</v>
      </c>
      <c r="H4822" s="1">
        <v>8</v>
      </c>
      <c r="I4822" s="1">
        <v>-1181.2824000000001</v>
      </c>
    </row>
    <row r="4823" spans="1:9" x14ac:dyDescent="0.35">
      <c r="A4823" s="3">
        <v>42189</v>
      </c>
      <c r="B4823" s="1" t="s">
        <v>2660</v>
      </c>
      <c r="C4823" s="1" t="s">
        <v>336</v>
      </c>
      <c r="D4823" s="1" t="s">
        <v>52</v>
      </c>
      <c r="E4823" s="1" t="s">
        <v>81</v>
      </c>
      <c r="F4823" s="2" t="s">
        <v>1154</v>
      </c>
      <c r="G4823" s="1">
        <v>383.952</v>
      </c>
      <c r="H4823" s="1">
        <v>6</v>
      </c>
      <c r="I4823" s="1">
        <v>47.994</v>
      </c>
    </row>
    <row r="4824" spans="1:9" x14ac:dyDescent="0.35">
      <c r="A4824" s="3">
        <v>42650</v>
      </c>
      <c r="B4824" s="1" t="s">
        <v>512</v>
      </c>
      <c r="C4824" s="1" t="s">
        <v>2833</v>
      </c>
      <c r="D4824" s="1" t="s">
        <v>158</v>
      </c>
      <c r="E4824" s="1" t="s">
        <v>35</v>
      </c>
      <c r="F4824" s="2" t="s">
        <v>806</v>
      </c>
      <c r="G4824" s="1">
        <v>44.856000000000002</v>
      </c>
      <c r="H4824" s="1">
        <v>6</v>
      </c>
      <c r="I4824" s="1">
        <v>-35.884799999999998</v>
      </c>
    </row>
    <row r="4825" spans="1:9" x14ac:dyDescent="0.35">
      <c r="A4825" s="3" t="s">
        <v>3323</v>
      </c>
      <c r="B4825" s="1" t="s">
        <v>921</v>
      </c>
      <c r="C4825" s="1" t="s">
        <v>249</v>
      </c>
      <c r="D4825" s="1" t="s">
        <v>250</v>
      </c>
      <c r="E4825" s="1" t="s">
        <v>338</v>
      </c>
      <c r="F4825" s="2" t="s">
        <v>2834</v>
      </c>
      <c r="G4825" s="1">
        <v>30.344999999999999</v>
      </c>
      <c r="H4825" s="1">
        <v>7</v>
      </c>
      <c r="I4825" s="1">
        <v>-24.276</v>
      </c>
    </row>
    <row r="4826" spans="1:9" x14ac:dyDescent="0.35">
      <c r="A4826" s="3" t="s">
        <v>3323</v>
      </c>
      <c r="B4826" s="1" t="s">
        <v>921</v>
      </c>
      <c r="C4826" s="1" t="s">
        <v>249</v>
      </c>
      <c r="D4826" s="1" t="s">
        <v>250</v>
      </c>
      <c r="E4826" s="1" t="s">
        <v>14</v>
      </c>
      <c r="F4826" s="2" t="s">
        <v>348</v>
      </c>
      <c r="G4826" s="1">
        <v>127.554</v>
      </c>
      <c r="H4826" s="1">
        <v>3</v>
      </c>
      <c r="I4826" s="1">
        <v>-9.1110000000000007</v>
      </c>
    </row>
    <row r="4827" spans="1:9" x14ac:dyDescent="0.35">
      <c r="A4827" s="3" t="s">
        <v>3323</v>
      </c>
      <c r="B4827" s="1" t="s">
        <v>921</v>
      </c>
      <c r="C4827" s="1" t="s">
        <v>249</v>
      </c>
      <c r="D4827" s="1" t="s">
        <v>250</v>
      </c>
      <c r="E4827" s="1" t="s">
        <v>29</v>
      </c>
      <c r="F4827" s="2" t="s">
        <v>2342</v>
      </c>
      <c r="G4827" s="1">
        <v>77.951999999999998</v>
      </c>
      <c r="H4827" s="1">
        <v>3</v>
      </c>
      <c r="I4827" s="1">
        <v>15.590400000000001</v>
      </c>
    </row>
    <row r="4828" spans="1:9" x14ac:dyDescent="0.35">
      <c r="A4828" s="3">
        <v>43080</v>
      </c>
      <c r="B4828" s="1" t="s">
        <v>1881</v>
      </c>
      <c r="C4828" s="1" t="s">
        <v>17</v>
      </c>
      <c r="D4828" s="1" t="s">
        <v>18</v>
      </c>
      <c r="E4828" s="1" t="s">
        <v>35</v>
      </c>
      <c r="F4828" s="2" t="s">
        <v>472</v>
      </c>
      <c r="G4828" s="1">
        <v>14.016</v>
      </c>
      <c r="H4828" s="1">
        <v>4</v>
      </c>
      <c r="I4828" s="1">
        <v>4.9055999999999997</v>
      </c>
    </row>
    <row r="4829" spans="1:9" x14ac:dyDescent="0.35">
      <c r="A4829" s="3">
        <v>41650</v>
      </c>
      <c r="B4829" s="1" t="s">
        <v>2561</v>
      </c>
      <c r="C4829" s="1" t="s">
        <v>693</v>
      </c>
      <c r="D4829" s="1" t="s">
        <v>11</v>
      </c>
      <c r="E4829" s="1" t="s">
        <v>26</v>
      </c>
      <c r="F4829" s="2" t="s">
        <v>1929</v>
      </c>
      <c r="G4829" s="1">
        <v>69.52</v>
      </c>
      <c r="H4829" s="1">
        <v>2</v>
      </c>
      <c r="I4829" s="1">
        <v>19.465599999999998</v>
      </c>
    </row>
    <row r="4830" spans="1:9" x14ac:dyDescent="0.35">
      <c r="A4830" s="3">
        <v>41650</v>
      </c>
      <c r="B4830" s="1" t="s">
        <v>2561</v>
      </c>
      <c r="C4830" s="1" t="s">
        <v>693</v>
      </c>
      <c r="D4830" s="1" t="s">
        <v>11</v>
      </c>
      <c r="E4830" s="1" t="s">
        <v>31</v>
      </c>
      <c r="F4830" s="2" t="s">
        <v>1467</v>
      </c>
      <c r="G4830" s="1">
        <v>5.64</v>
      </c>
      <c r="H4830" s="1">
        <v>3</v>
      </c>
      <c r="I4830" s="1">
        <v>1.6355999999999999</v>
      </c>
    </row>
    <row r="4831" spans="1:9" x14ac:dyDescent="0.35">
      <c r="A4831" s="3" t="s">
        <v>3595</v>
      </c>
      <c r="B4831" s="1" t="s">
        <v>2258</v>
      </c>
      <c r="C4831" s="1" t="s">
        <v>135</v>
      </c>
      <c r="D4831" s="1" t="s">
        <v>136</v>
      </c>
      <c r="E4831" s="1" t="s">
        <v>35</v>
      </c>
      <c r="F4831" s="2" t="s">
        <v>2002</v>
      </c>
      <c r="G4831" s="1">
        <v>13.776</v>
      </c>
      <c r="H4831" s="1">
        <v>3</v>
      </c>
      <c r="I4831" s="1">
        <v>4.4771999999999998</v>
      </c>
    </row>
    <row r="4832" spans="1:9" x14ac:dyDescent="0.35">
      <c r="A4832" s="3">
        <v>41831</v>
      </c>
      <c r="B4832" s="1" t="s">
        <v>1225</v>
      </c>
      <c r="C4832" s="1" t="s">
        <v>2835</v>
      </c>
      <c r="D4832" s="1" t="s">
        <v>57</v>
      </c>
      <c r="E4832" s="1" t="s">
        <v>37</v>
      </c>
      <c r="F4832" s="2" t="s">
        <v>2252</v>
      </c>
      <c r="G4832" s="1">
        <v>245.88</v>
      </c>
      <c r="H4832" s="1">
        <v>6</v>
      </c>
      <c r="I4832" s="1">
        <v>68.846400000000003</v>
      </c>
    </row>
    <row r="4833" spans="1:9" x14ac:dyDescent="0.35">
      <c r="A4833" s="3">
        <v>41831</v>
      </c>
      <c r="B4833" s="1" t="s">
        <v>1225</v>
      </c>
      <c r="C4833" s="1" t="s">
        <v>2835</v>
      </c>
      <c r="D4833" s="1" t="s">
        <v>57</v>
      </c>
      <c r="E4833" s="1" t="s">
        <v>26</v>
      </c>
      <c r="F4833" s="2" t="s">
        <v>1311</v>
      </c>
      <c r="G4833" s="1">
        <v>36.630000000000003</v>
      </c>
      <c r="H4833" s="1">
        <v>3</v>
      </c>
      <c r="I4833" s="1">
        <v>9.8901000000000003</v>
      </c>
    </row>
    <row r="4834" spans="1:9" x14ac:dyDescent="0.35">
      <c r="A4834" s="3">
        <v>41831</v>
      </c>
      <c r="B4834" s="1" t="s">
        <v>1225</v>
      </c>
      <c r="C4834" s="1" t="s">
        <v>2835</v>
      </c>
      <c r="D4834" s="1" t="s">
        <v>57</v>
      </c>
      <c r="E4834" s="1" t="s">
        <v>26</v>
      </c>
      <c r="F4834" s="2" t="s">
        <v>1697</v>
      </c>
      <c r="G4834" s="1">
        <v>22.58</v>
      </c>
      <c r="H4834" s="1">
        <v>2</v>
      </c>
      <c r="I4834" s="1">
        <v>5.8708</v>
      </c>
    </row>
    <row r="4835" spans="1:9" x14ac:dyDescent="0.35">
      <c r="A4835" s="3">
        <v>41831</v>
      </c>
      <c r="B4835" s="1" t="s">
        <v>1225</v>
      </c>
      <c r="C4835" s="1" t="s">
        <v>2835</v>
      </c>
      <c r="D4835" s="1" t="s">
        <v>57</v>
      </c>
      <c r="E4835" s="1" t="s">
        <v>35</v>
      </c>
      <c r="F4835" s="2" t="s">
        <v>1548</v>
      </c>
      <c r="G4835" s="1">
        <v>12.39</v>
      </c>
      <c r="H4835" s="1">
        <v>3</v>
      </c>
      <c r="I4835" s="1">
        <v>5.8232999999999997</v>
      </c>
    </row>
    <row r="4836" spans="1:9" x14ac:dyDescent="0.35">
      <c r="A4836" s="3">
        <v>42865</v>
      </c>
      <c r="B4836" s="1" t="s">
        <v>1733</v>
      </c>
      <c r="C4836" s="1" t="s">
        <v>64</v>
      </c>
      <c r="D4836" s="1" t="s">
        <v>18</v>
      </c>
      <c r="E4836" s="1" t="s">
        <v>35</v>
      </c>
      <c r="F4836" s="2" t="s">
        <v>2030</v>
      </c>
      <c r="G4836" s="1">
        <v>39.92</v>
      </c>
      <c r="H4836" s="1">
        <v>5</v>
      </c>
      <c r="I4836" s="1">
        <v>13.473000000000001</v>
      </c>
    </row>
    <row r="4837" spans="1:9" x14ac:dyDescent="0.35">
      <c r="A4837" s="3">
        <v>42865</v>
      </c>
      <c r="B4837" s="1" t="s">
        <v>1733</v>
      </c>
      <c r="C4837" s="1" t="s">
        <v>64</v>
      </c>
      <c r="D4837" s="1" t="s">
        <v>18</v>
      </c>
      <c r="E4837" s="1" t="s">
        <v>44</v>
      </c>
      <c r="F4837" s="2" t="s">
        <v>2192</v>
      </c>
      <c r="G4837" s="1">
        <v>61.96</v>
      </c>
      <c r="H4837" s="1">
        <v>2</v>
      </c>
      <c r="I4837" s="1">
        <v>27.882000000000001</v>
      </c>
    </row>
    <row r="4838" spans="1:9" x14ac:dyDescent="0.35">
      <c r="A4838" s="3">
        <v>42865</v>
      </c>
      <c r="B4838" s="1" t="s">
        <v>1733</v>
      </c>
      <c r="C4838" s="1" t="s">
        <v>64</v>
      </c>
      <c r="D4838" s="1" t="s">
        <v>18</v>
      </c>
      <c r="E4838" s="1" t="s">
        <v>35</v>
      </c>
      <c r="F4838" s="2" t="s">
        <v>1363</v>
      </c>
      <c r="G4838" s="1">
        <v>19.936</v>
      </c>
      <c r="H4838" s="1">
        <v>4</v>
      </c>
      <c r="I4838" s="1">
        <v>7.2267999999999999</v>
      </c>
    </row>
    <row r="4839" spans="1:9" x14ac:dyDescent="0.35">
      <c r="A4839" s="3">
        <v>42741</v>
      </c>
      <c r="B4839" s="1" t="s">
        <v>2348</v>
      </c>
      <c r="C4839" s="1" t="s">
        <v>422</v>
      </c>
      <c r="D4839" s="1" t="s">
        <v>250</v>
      </c>
      <c r="E4839" s="1" t="s">
        <v>35</v>
      </c>
      <c r="F4839" s="2" t="s">
        <v>1452</v>
      </c>
      <c r="G4839" s="1">
        <v>3.798</v>
      </c>
      <c r="H4839" s="1">
        <v>2</v>
      </c>
      <c r="I4839" s="1">
        <v>-2.6585999999999999</v>
      </c>
    </row>
    <row r="4840" spans="1:9" x14ac:dyDescent="0.35">
      <c r="A4840" s="3">
        <v>42741</v>
      </c>
      <c r="B4840" s="1" t="s">
        <v>2348</v>
      </c>
      <c r="C4840" s="1" t="s">
        <v>422</v>
      </c>
      <c r="D4840" s="1" t="s">
        <v>250</v>
      </c>
      <c r="E4840" s="1" t="s">
        <v>44</v>
      </c>
      <c r="F4840" s="2" t="s">
        <v>1475</v>
      </c>
      <c r="G4840" s="1">
        <v>27.744</v>
      </c>
      <c r="H4840" s="1">
        <v>6</v>
      </c>
      <c r="I4840" s="1">
        <v>10.0572</v>
      </c>
    </row>
    <row r="4841" spans="1:9" x14ac:dyDescent="0.35">
      <c r="A4841" s="3">
        <v>42741</v>
      </c>
      <c r="B4841" s="1" t="s">
        <v>2348</v>
      </c>
      <c r="C4841" s="1" t="s">
        <v>422</v>
      </c>
      <c r="D4841" s="1" t="s">
        <v>250</v>
      </c>
      <c r="E4841" s="1" t="s">
        <v>33</v>
      </c>
      <c r="F4841" s="2" t="s">
        <v>408</v>
      </c>
      <c r="G4841" s="1">
        <v>158.376</v>
      </c>
      <c r="H4841" s="1">
        <v>4</v>
      </c>
      <c r="I4841" s="1">
        <v>-34.314799999999998</v>
      </c>
    </row>
    <row r="4842" spans="1:9" x14ac:dyDescent="0.35">
      <c r="A4842" s="3" t="s">
        <v>3256</v>
      </c>
      <c r="B4842" s="1" t="s">
        <v>1242</v>
      </c>
      <c r="C4842" s="1" t="s">
        <v>10</v>
      </c>
      <c r="D4842" s="1" t="s">
        <v>11</v>
      </c>
      <c r="E4842" s="1" t="s">
        <v>29</v>
      </c>
      <c r="F4842" s="2" t="s">
        <v>215</v>
      </c>
      <c r="G4842" s="1">
        <v>27.58</v>
      </c>
      <c r="H4842" s="1">
        <v>2</v>
      </c>
      <c r="I4842" s="1">
        <v>11.583600000000001</v>
      </c>
    </row>
    <row r="4843" spans="1:9" x14ac:dyDescent="0.35">
      <c r="A4843" s="3" t="s">
        <v>3356</v>
      </c>
      <c r="B4843" s="1" t="s">
        <v>1407</v>
      </c>
      <c r="C4843" s="1" t="s">
        <v>1924</v>
      </c>
      <c r="D4843" s="1" t="s">
        <v>250</v>
      </c>
      <c r="E4843" s="1" t="s">
        <v>35</v>
      </c>
      <c r="F4843" s="2" t="s">
        <v>2476</v>
      </c>
      <c r="G4843" s="1">
        <v>5.5529999999999999</v>
      </c>
      <c r="H4843" s="1">
        <v>3</v>
      </c>
      <c r="I4843" s="1">
        <v>-4.0721999999999996</v>
      </c>
    </row>
    <row r="4844" spans="1:9" x14ac:dyDescent="0.35">
      <c r="A4844" s="3" t="s">
        <v>3555</v>
      </c>
      <c r="B4844" s="1" t="s">
        <v>504</v>
      </c>
      <c r="C4844" s="1" t="s">
        <v>170</v>
      </c>
      <c r="D4844" s="1" t="s">
        <v>171</v>
      </c>
      <c r="E4844" s="1" t="s">
        <v>26</v>
      </c>
      <c r="F4844" s="2" t="s">
        <v>1490</v>
      </c>
      <c r="G4844" s="1">
        <v>243.92</v>
      </c>
      <c r="H4844" s="1">
        <v>5</v>
      </c>
      <c r="I4844" s="1">
        <v>-54.881999999999998</v>
      </c>
    </row>
    <row r="4845" spans="1:9" x14ac:dyDescent="0.35">
      <c r="A4845" s="3">
        <v>42562</v>
      </c>
      <c r="B4845" s="1" t="s">
        <v>2514</v>
      </c>
      <c r="C4845" s="1" t="s">
        <v>536</v>
      </c>
      <c r="D4845" s="1" t="s">
        <v>388</v>
      </c>
      <c r="E4845" s="1" t="s">
        <v>137</v>
      </c>
      <c r="F4845" s="2" t="s">
        <v>1728</v>
      </c>
      <c r="G4845" s="1">
        <v>14.96</v>
      </c>
      <c r="H4845" s="1">
        <v>4</v>
      </c>
      <c r="I4845" s="1">
        <v>0.29920000000000002</v>
      </c>
    </row>
    <row r="4846" spans="1:9" x14ac:dyDescent="0.35">
      <c r="A4846" s="3">
        <v>41733</v>
      </c>
      <c r="B4846" s="1" t="s">
        <v>380</v>
      </c>
      <c r="C4846" s="1" t="s">
        <v>17</v>
      </c>
      <c r="D4846" s="1" t="s">
        <v>18</v>
      </c>
      <c r="E4846" s="1" t="s">
        <v>35</v>
      </c>
      <c r="F4846" s="2" t="s">
        <v>581</v>
      </c>
      <c r="G4846" s="1">
        <v>7.1840000000000002</v>
      </c>
      <c r="H4846" s="1">
        <v>2</v>
      </c>
      <c r="I4846" s="1">
        <v>2.2450000000000001</v>
      </c>
    </row>
    <row r="4847" spans="1:9" x14ac:dyDescent="0.35">
      <c r="A4847" s="3" t="s">
        <v>3373</v>
      </c>
      <c r="B4847" s="1" t="s">
        <v>913</v>
      </c>
      <c r="C4847" s="1" t="s">
        <v>197</v>
      </c>
      <c r="D4847" s="1" t="s">
        <v>136</v>
      </c>
      <c r="E4847" s="1" t="s">
        <v>35</v>
      </c>
      <c r="F4847" s="2" t="s">
        <v>472</v>
      </c>
      <c r="G4847" s="1">
        <v>10.512</v>
      </c>
      <c r="H4847" s="1">
        <v>3</v>
      </c>
      <c r="I4847" s="1">
        <v>3.6791999999999998</v>
      </c>
    </row>
    <row r="4848" spans="1:9" x14ac:dyDescent="0.35">
      <c r="A4848" s="3" t="s">
        <v>3596</v>
      </c>
      <c r="B4848" s="1" t="s">
        <v>561</v>
      </c>
      <c r="C4848" s="1" t="s">
        <v>909</v>
      </c>
      <c r="D4848" s="1" t="s">
        <v>212</v>
      </c>
      <c r="E4848" s="1" t="s">
        <v>33</v>
      </c>
      <c r="F4848" s="2" t="s">
        <v>1368</v>
      </c>
      <c r="G4848" s="1">
        <v>263.95999999999998</v>
      </c>
      <c r="H4848" s="1">
        <v>5</v>
      </c>
      <c r="I4848" s="1">
        <v>19.797000000000001</v>
      </c>
    </row>
    <row r="4849" spans="1:9" x14ac:dyDescent="0.35">
      <c r="A4849" s="3" t="s">
        <v>3596</v>
      </c>
      <c r="B4849" s="1" t="s">
        <v>561</v>
      </c>
      <c r="C4849" s="1" t="s">
        <v>909</v>
      </c>
      <c r="D4849" s="1" t="s">
        <v>212</v>
      </c>
      <c r="E4849" s="1" t="s">
        <v>31</v>
      </c>
      <c r="F4849" s="2" t="s">
        <v>674</v>
      </c>
      <c r="G4849" s="1">
        <v>71.632000000000005</v>
      </c>
      <c r="H4849" s="1">
        <v>11</v>
      </c>
      <c r="I4849" s="1">
        <v>17.908000000000001</v>
      </c>
    </row>
    <row r="4850" spans="1:9" x14ac:dyDescent="0.35">
      <c r="A4850" s="3" t="s">
        <v>3596</v>
      </c>
      <c r="B4850" s="1" t="s">
        <v>561</v>
      </c>
      <c r="C4850" s="1" t="s">
        <v>909</v>
      </c>
      <c r="D4850" s="1" t="s">
        <v>212</v>
      </c>
      <c r="E4850" s="1" t="s">
        <v>31</v>
      </c>
      <c r="F4850" s="2" t="s">
        <v>1887</v>
      </c>
      <c r="G4850" s="1">
        <v>9.3279999999999994</v>
      </c>
      <c r="H4850" s="1">
        <v>1</v>
      </c>
      <c r="I4850" s="1">
        <v>0.81620000000000004</v>
      </c>
    </row>
    <row r="4851" spans="1:9" x14ac:dyDescent="0.35">
      <c r="A4851" s="3">
        <v>41860</v>
      </c>
      <c r="B4851" s="1" t="s">
        <v>1798</v>
      </c>
      <c r="C4851" s="1" t="s">
        <v>2836</v>
      </c>
      <c r="D4851" s="1" t="s">
        <v>48</v>
      </c>
      <c r="E4851" s="1" t="s">
        <v>31</v>
      </c>
      <c r="F4851" s="2" t="s">
        <v>772</v>
      </c>
      <c r="G4851" s="1">
        <v>5.88</v>
      </c>
      <c r="H4851" s="1">
        <v>2</v>
      </c>
      <c r="I4851" s="1">
        <v>2.6459999999999999</v>
      </c>
    </row>
    <row r="4852" spans="1:9" x14ac:dyDescent="0.35">
      <c r="A4852" s="3">
        <v>41860</v>
      </c>
      <c r="B4852" s="1" t="s">
        <v>1798</v>
      </c>
      <c r="C4852" s="1" t="s">
        <v>2836</v>
      </c>
      <c r="D4852" s="1" t="s">
        <v>48</v>
      </c>
      <c r="E4852" s="1" t="s">
        <v>14</v>
      </c>
      <c r="F4852" s="2" t="s">
        <v>15</v>
      </c>
      <c r="G4852" s="1">
        <v>975.92</v>
      </c>
      <c r="H4852" s="1">
        <v>5</v>
      </c>
      <c r="I4852" s="1">
        <v>121.99</v>
      </c>
    </row>
    <row r="4853" spans="1:9" x14ac:dyDescent="0.35">
      <c r="A4853" s="3">
        <v>41860</v>
      </c>
      <c r="B4853" s="1" t="s">
        <v>1798</v>
      </c>
      <c r="C4853" s="1" t="s">
        <v>2836</v>
      </c>
      <c r="D4853" s="1" t="s">
        <v>48</v>
      </c>
      <c r="E4853" s="1" t="s">
        <v>31</v>
      </c>
      <c r="F4853" s="2" t="s">
        <v>246</v>
      </c>
      <c r="G4853" s="1">
        <v>303.83999999999997</v>
      </c>
      <c r="H4853" s="1">
        <v>8</v>
      </c>
      <c r="I4853" s="1">
        <v>91.152000000000001</v>
      </c>
    </row>
    <row r="4854" spans="1:9" x14ac:dyDescent="0.35">
      <c r="A4854" s="3">
        <v>41860</v>
      </c>
      <c r="B4854" s="1" t="s">
        <v>1798</v>
      </c>
      <c r="C4854" s="1" t="s">
        <v>2836</v>
      </c>
      <c r="D4854" s="1" t="s">
        <v>48</v>
      </c>
      <c r="E4854" s="1" t="s">
        <v>26</v>
      </c>
      <c r="F4854" s="2" t="s">
        <v>829</v>
      </c>
      <c r="G4854" s="1">
        <v>485.88</v>
      </c>
      <c r="H4854" s="1">
        <v>6</v>
      </c>
      <c r="I4854" s="1">
        <v>19.435199999999998</v>
      </c>
    </row>
    <row r="4855" spans="1:9" x14ac:dyDescent="0.35">
      <c r="A4855" s="3">
        <v>41985</v>
      </c>
      <c r="B4855" s="1" t="s">
        <v>458</v>
      </c>
      <c r="C4855" s="1" t="s">
        <v>1391</v>
      </c>
      <c r="D4855" s="1" t="s">
        <v>18</v>
      </c>
      <c r="E4855" s="1" t="s">
        <v>29</v>
      </c>
      <c r="F4855" s="2" t="s">
        <v>1687</v>
      </c>
      <c r="G4855" s="1">
        <v>12.54</v>
      </c>
      <c r="H4855" s="1">
        <v>3</v>
      </c>
      <c r="I4855" s="1">
        <v>4.5144000000000002</v>
      </c>
    </row>
    <row r="4856" spans="1:9" x14ac:dyDescent="0.35">
      <c r="A4856" s="3">
        <v>41985</v>
      </c>
      <c r="B4856" s="1" t="s">
        <v>458</v>
      </c>
      <c r="C4856" s="1" t="s">
        <v>1391</v>
      </c>
      <c r="D4856" s="1" t="s">
        <v>18</v>
      </c>
      <c r="E4856" s="1" t="s">
        <v>26</v>
      </c>
      <c r="F4856" s="2" t="s">
        <v>716</v>
      </c>
      <c r="G4856" s="1">
        <v>8.94</v>
      </c>
      <c r="H4856" s="1">
        <v>3</v>
      </c>
      <c r="I4856" s="1">
        <v>0.62580000000000002</v>
      </c>
    </row>
    <row r="4857" spans="1:9" x14ac:dyDescent="0.35">
      <c r="A4857" s="3">
        <v>41985</v>
      </c>
      <c r="B4857" s="1" t="s">
        <v>458</v>
      </c>
      <c r="C4857" s="1" t="s">
        <v>1391</v>
      </c>
      <c r="D4857" s="1" t="s">
        <v>18</v>
      </c>
      <c r="E4857" s="1" t="s">
        <v>29</v>
      </c>
      <c r="F4857" s="2" t="s">
        <v>132</v>
      </c>
      <c r="G4857" s="1">
        <v>9.24</v>
      </c>
      <c r="H4857" s="1">
        <v>3</v>
      </c>
      <c r="I4857" s="1">
        <v>4.4352</v>
      </c>
    </row>
    <row r="4858" spans="1:9" x14ac:dyDescent="0.35">
      <c r="A4858" s="3" t="s">
        <v>3597</v>
      </c>
      <c r="B4858" s="1" t="s">
        <v>691</v>
      </c>
      <c r="C4858" s="1" t="s">
        <v>17</v>
      </c>
      <c r="D4858" s="1" t="s">
        <v>18</v>
      </c>
      <c r="E4858" s="1" t="s">
        <v>35</v>
      </c>
      <c r="F4858" s="2" t="s">
        <v>1223</v>
      </c>
      <c r="G4858" s="1">
        <v>70.007999999999996</v>
      </c>
      <c r="H4858" s="1">
        <v>3</v>
      </c>
      <c r="I4858" s="1">
        <v>24.502800000000001</v>
      </c>
    </row>
    <row r="4859" spans="1:9" x14ac:dyDescent="0.35">
      <c r="A4859" s="3" t="s">
        <v>3597</v>
      </c>
      <c r="B4859" s="1" t="s">
        <v>691</v>
      </c>
      <c r="C4859" s="1" t="s">
        <v>17</v>
      </c>
      <c r="D4859" s="1" t="s">
        <v>18</v>
      </c>
      <c r="E4859" s="1" t="s">
        <v>29</v>
      </c>
      <c r="F4859" s="2" t="s">
        <v>528</v>
      </c>
      <c r="G4859" s="1">
        <v>77.599999999999994</v>
      </c>
      <c r="H4859" s="1">
        <v>4</v>
      </c>
      <c r="I4859" s="1">
        <v>38.024000000000001</v>
      </c>
    </row>
    <row r="4860" spans="1:9" x14ac:dyDescent="0.35">
      <c r="A4860" s="3" t="s">
        <v>3597</v>
      </c>
      <c r="B4860" s="1" t="s">
        <v>691</v>
      </c>
      <c r="C4860" s="1" t="s">
        <v>17</v>
      </c>
      <c r="D4860" s="1" t="s">
        <v>18</v>
      </c>
      <c r="E4860" s="1" t="s">
        <v>29</v>
      </c>
      <c r="F4860" s="2" t="s">
        <v>2837</v>
      </c>
      <c r="G4860" s="1">
        <v>464.85</v>
      </c>
      <c r="H4860" s="1">
        <v>9</v>
      </c>
      <c r="I4860" s="1">
        <v>92.97</v>
      </c>
    </row>
    <row r="4861" spans="1:9" x14ac:dyDescent="0.35">
      <c r="A4861" s="3" t="s">
        <v>3484</v>
      </c>
      <c r="B4861" s="1" t="s">
        <v>661</v>
      </c>
      <c r="C4861" s="1" t="s">
        <v>2838</v>
      </c>
      <c r="D4861" s="1" t="s">
        <v>106</v>
      </c>
      <c r="E4861" s="1" t="s">
        <v>31</v>
      </c>
      <c r="F4861" s="2" t="s">
        <v>1784</v>
      </c>
      <c r="G4861" s="1">
        <v>10.192</v>
      </c>
      <c r="H4861" s="1">
        <v>7</v>
      </c>
      <c r="I4861" s="1">
        <v>1.0192000000000001</v>
      </c>
    </row>
    <row r="4862" spans="1:9" x14ac:dyDescent="0.35">
      <c r="A4862" s="3" t="s">
        <v>3406</v>
      </c>
      <c r="B4862" s="1" t="s">
        <v>561</v>
      </c>
      <c r="C4862" s="1" t="s">
        <v>482</v>
      </c>
      <c r="D4862" s="1" t="s">
        <v>388</v>
      </c>
      <c r="E4862" s="1" t="s">
        <v>35</v>
      </c>
      <c r="F4862" s="2" t="s">
        <v>1956</v>
      </c>
      <c r="G4862" s="1">
        <v>1793.98</v>
      </c>
      <c r="H4862" s="1">
        <v>2</v>
      </c>
      <c r="I4862" s="1">
        <v>843.17060000000004</v>
      </c>
    </row>
    <row r="4863" spans="1:9" x14ac:dyDescent="0.35">
      <c r="A4863" s="3">
        <v>41947</v>
      </c>
      <c r="B4863" s="1" t="s">
        <v>200</v>
      </c>
      <c r="C4863" s="1" t="s">
        <v>588</v>
      </c>
      <c r="D4863" s="1" t="s">
        <v>52</v>
      </c>
      <c r="E4863" s="1" t="s">
        <v>33</v>
      </c>
      <c r="F4863" s="2" t="s">
        <v>2242</v>
      </c>
      <c r="G4863" s="1">
        <v>758.35199999999998</v>
      </c>
      <c r="H4863" s="1">
        <v>6</v>
      </c>
      <c r="I4863" s="1">
        <v>265.42320000000001</v>
      </c>
    </row>
    <row r="4864" spans="1:9" x14ac:dyDescent="0.35">
      <c r="A4864" s="3">
        <v>42654</v>
      </c>
      <c r="B4864" s="1" t="s">
        <v>292</v>
      </c>
      <c r="C4864" s="1" t="s">
        <v>135</v>
      </c>
      <c r="D4864" s="1" t="s">
        <v>136</v>
      </c>
      <c r="E4864" s="1" t="s">
        <v>35</v>
      </c>
      <c r="F4864" s="2" t="s">
        <v>1654</v>
      </c>
      <c r="G4864" s="1">
        <v>20.367999999999999</v>
      </c>
      <c r="H4864" s="1">
        <v>1</v>
      </c>
      <c r="I4864" s="1">
        <v>7.3834</v>
      </c>
    </row>
    <row r="4865" spans="1:9" x14ac:dyDescent="0.35">
      <c r="A4865" s="3">
        <v>42654</v>
      </c>
      <c r="B4865" s="1" t="s">
        <v>292</v>
      </c>
      <c r="C4865" s="1" t="s">
        <v>135</v>
      </c>
      <c r="D4865" s="1" t="s">
        <v>136</v>
      </c>
      <c r="E4865" s="1" t="s">
        <v>35</v>
      </c>
      <c r="F4865" s="2" t="s">
        <v>656</v>
      </c>
      <c r="G4865" s="1">
        <v>49.847999999999999</v>
      </c>
      <c r="H4865" s="1">
        <v>3</v>
      </c>
      <c r="I4865" s="1">
        <v>16.823699999999999</v>
      </c>
    </row>
    <row r="4866" spans="1:9" x14ac:dyDescent="0.35">
      <c r="A4866" s="3" t="s">
        <v>3420</v>
      </c>
      <c r="B4866" s="1" t="s">
        <v>260</v>
      </c>
      <c r="C4866" s="1" t="s">
        <v>135</v>
      </c>
      <c r="D4866" s="1" t="s">
        <v>136</v>
      </c>
      <c r="E4866" s="1" t="s">
        <v>33</v>
      </c>
      <c r="F4866" s="2" t="s">
        <v>922</v>
      </c>
      <c r="G4866" s="1">
        <v>239.97</v>
      </c>
      <c r="H4866" s="1">
        <v>3</v>
      </c>
      <c r="I4866" s="1">
        <v>67.191599999999994</v>
      </c>
    </row>
    <row r="4867" spans="1:9" x14ac:dyDescent="0.35">
      <c r="A4867" s="3" t="s">
        <v>3165</v>
      </c>
      <c r="B4867" s="1" t="s">
        <v>325</v>
      </c>
      <c r="C4867" s="1" t="s">
        <v>47</v>
      </c>
      <c r="D4867" s="1" t="s">
        <v>48</v>
      </c>
      <c r="E4867" s="1" t="s">
        <v>14</v>
      </c>
      <c r="F4867" s="2" t="s">
        <v>807</v>
      </c>
      <c r="G4867" s="1">
        <v>2404.7040000000002</v>
      </c>
      <c r="H4867" s="1">
        <v>6</v>
      </c>
      <c r="I4867" s="1">
        <v>150.29400000000001</v>
      </c>
    </row>
    <row r="4868" spans="1:9" x14ac:dyDescent="0.35">
      <c r="A4868" s="3" t="s">
        <v>3165</v>
      </c>
      <c r="B4868" s="1" t="s">
        <v>325</v>
      </c>
      <c r="C4868" s="1" t="s">
        <v>47</v>
      </c>
      <c r="D4868" s="1" t="s">
        <v>48</v>
      </c>
      <c r="E4868" s="1" t="s">
        <v>35</v>
      </c>
      <c r="F4868" s="2" t="s">
        <v>2049</v>
      </c>
      <c r="G4868" s="1">
        <v>563.024</v>
      </c>
      <c r="H4868" s="1">
        <v>11</v>
      </c>
      <c r="I4868" s="1">
        <v>190.0206</v>
      </c>
    </row>
    <row r="4869" spans="1:9" x14ac:dyDescent="0.35">
      <c r="A4869" s="3" t="s">
        <v>3165</v>
      </c>
      <c r="B4869" s="1" t="s">
        <v>325</v>
      </c>
      <c r="C4869" s="1" t="s">
        <v>47</v>
      </c>
      <c r="D4869" s="1" t="s">
        <v>48</v>
      </c>
      <c r="E4869" s="1" t="s">
        <v>26</v>
      </c>
      <c r="F4869" s="2" t="s">
        <v>340</v>
      </c>
      <c r="G4869" s="1">
        <v>344.91</v>
      </c>
      <c r="H4869" s="1">
        <v>3</v>
      </c>
      <c r="I4869" s="1">
        <v>10.347300000000001</v>
      </c>
    </row>
    <row r="4870" spans="1:9" x14ac:dyDescent="0.35">
      <c r="A4870" s="3" t="s">
        <v>3165</v>
      </c>
      <c r="B4870" s="1" t="s">
        <v>325</v>
      </c>
      <c r="C4870" s="1" t="s">
        <v>47</v>
      </c>
      <c r="D4870" s="1" t="s">
        <v>48</v>
      </c>
      <c r="E4870" s="1" t="s">
        <v>19</v>
      </c>
      <c r="F4870" s="2" t="s">
        <v>1287</v>
      </c>
      <c r="G4870" s="1">
        <v>8.64</v>
      </c>
      <c r="H4870" s="1">
        <v>3</v>
      </c>
      <c r="I4870" s="1">
        <v>4.2336</v>
      </c>
    </row>
    <row r="4871" spans="1:9" x14ac:dyDescent="0.35">
      <c r="A4871" s="3" t="s">
        <v>3207</v>
      </c>
      <c r="B4871" s="1" t="s">
        <v>1663</v>
      </c>
      <c r="C4871" s="1" t="s">
        <v>1114</v>
      </c>
      <c r="D4871" s="1" t="s">
        <v>75</v>
      </c>
      <c r="E4871" s="1" t="s">
        <v>33</v>
      </c>
      <c r="F4871" s="2" t="s">
        <v>1558</v>
      </c>
      <c r="G4871" s="1">
        <v>89.988</v>
      </c>
      <c r="H4871" s="1">
        <v>2</v>
      </c>
      <c r="I4871" s="1">
        <v>-14.997999999999999</v>
      </c>
    </row>
    <row r="4872" spans="1:9" x14ac:dyDescent="0.35">
      <c r="A4872" s="3" t="s">
        <v>3207</v>
      </c>
      <c r="B4872" s="1" t="s">
        <v>1663</v>
      </c>
      <c r="C4872" s="1" t="s">
        <v>1114</v>
      </c>
      <c r="D4872" s="1" t="s">
        <v>75</v>
      </c>
      <c r="E4872" s="1" t="s">
        <v>44</v>
      </c>
      <c r="F4872" s="2" t="s">
        <v>1879</v>
      </c>
      <c r="G4872" s="1">
        <v>229.54400000000001</v>
      </c>
      <c r="H4872" s="1">
        <v>7</v>
      </c>
      <c r="I4872" s="1">
        <v>83.209699999999998</v>
      </c>
    </row>
    <row r="4873" spans="1:9" x14ac:dyDescent="0.35">
      <c r="A4873" s="3" t="s">
        <v>3560</v>
      </c>
      <c r="B4873" s="1" t="s">
        <v>446</v>
      </c>
      <c r="C4873" s="1" t="s">
        <v>93</v>
      </c>
      <c r="D4873" s="1" t="s">
        <v>52</v>
      </c>
      <c r="E4873" s="1" t="s">
        <v>137</v>
      </c>
      <c r="F4873" s="2" t="s">
        <v>2839</v>
      </c>
      <c r="G4873" s="1">
        <v>1.8240000000000001</v>
      </c>
      <c r="H4873" s="1">
        <v>2</v>
      </c>
      <c r="I4873" s="1">
        <v>0.61560000000000004</v>
      </c>
    </row>
    <row r="4874" spans="1:9" x14ac:dyDescent="0.35">
      <c r="A4874" s="3" t="s">
        <v>3560</v>
      </c>
      <c r="B4874" s="1" t="s">
        <v>446</v>
      </c>
      <c r="C4874" s="1" t="s">
        <v>93</v>
      </c>
      <c r="D4874" s="1" t="s">
        <v>52</v>
      </c>
      <c r="E4874" s="1" t="s">
        <v>37</v>
      </c>
      <c r="F4874" s="2" t="s">
        <v>2584</v>
      </c>
      <c r="G4874" s="1">
        <v>18.32</v>
      </c>
      <c r="H4874" s="1">
        <v>5</v>
      </c>
      <c r="I4874" s="1">
        <v>-46.716000000000001</v>
      </c>
    </row>
    <row r="4875" spans="1:9" x14ac:dyDescent="0.35">
      <c r="A4875" s="3" t="s">
        <v>3560</v>
      </c>
      <c r="B4875" s="1" t="s">
        <v>446</v>
      </c>
      <c r="C4875" s="1" t="s">
        <v>93</v>
      </c>
      <c r="D4875" s="1" t="s">
        <v>52</v>
      </c>
      <c r="E4875" s="1" t="s">
        <v>26</v>
      </c>
      <c r="F4875" s="2" t="s">
        <v>2513</v>
      </c>
      <c r="G4875" s="1">
        <v>48.816000000000003</v>
      </c>
      <c r="H4875" s="1">
        <v>3</v>
      </c>
      <c r="I4875" s="1">
        <v>-11.5938</v>
      </c>
    </row>
    <row r="4876" spans="1:9" x14ac:dyDescent="0.35">
      <c r="A4876" s="3" t="s">
        <v>3560</v>
      </c>
      <c r="B4876" s="1" t="s">
        <v>446</v>
      </c>
      <c r="C4876" s="1" t="s">
        <v>93</v>
      </c>
      <c r="D4876" s="1" t="s">
        <v>52</v>
      </c>
      <c r="E4876" s="1" t="s">
        <v>35</v>
      </c>
      <c r="F4876" s="2" t="s">
        <v>578</v>
      </c>
      <c r="G4876" s="1">
        <v>1.1879999999999999</v>
      </c>
      <c r="H4876" s="1">
        <v>1</v>
      </c>
      <c r="I4876" s="1">
        <v>-1.9601999999999999</v>
      </c>
    </row>
    <row r="4877" spans="1:9" x14ac:dyDescent="0.35">
      <c r="A4877" s="3">
        <v>41682</v>
      </c>
      <c r="B4877" s="1" t="s">
        <v>1686</v>
      </c>
      <c r="C4877" s="1" t="s">
        <v>249</v>
      </c>
      <c r="D4877" s="1" t="s">
        <v>250</v>
      </c>
      <c r="E4877" s="1" t="s">
        <v>81</v>
      </c>
      <c r="F4877" s="2" t="s">
        <v>956</v>
      </c>
      <c r="G4877" s="1">
        <v>119.8</v>
      </c>
      <c r="H4877" s="1">
        <v>5</v>
      </c>
      <c r="I4877" s="1">
        <v>29.95</v>
      </c>
    </row>
    <row r="4878" spans="1:9" x14ac:dyDescent="0.35">
      <c r="A4878" s="3">
        <v>41708</v>
      </c>
      <c r="B4878" s="1" t="s">
        <v>1303</v>
      </c>
      <c r="C4878" s="1" t="s">
        <v>189</v>
      </c>
      <c r="D4878" s="1" t="s">
        <v>43</v>
      </c>
      <c r="E4878" s="1" t="s">
        <v>26</v>
      </c>
      <c r="F4878" s="2" t="s">
        <v>2360</v>
      </c>
      <c r="G4878" s="1">
        <v>61.567999999999998</v>
      </c>
      <c r="H4878" s="1">
        <v>2</v>
      </c>
      <c r="I4878" s="1">
        <v>4.6176000000000004</v>
      </c>
    </row>
    <row r="4879" spans="1:9" x14ac:dyDescent="0.35">
      <c r="A4879" s="3">
        <v>41708</v>
      </c>
      <c r="B4879" s="1" t="s">
        <v>1303</v>
      </c>
      <c r="C4879" s="1" t="s">
        <v>189</v>
      </c>
      <c r="D4879" s="1" t="s">
        <v>43</v>
      </c>
      <c r="E4879" s="1" t="s">
        <v>31</v>
      </c>
      <c r="F4879" s="2" t="s">
        <v>1186</v>
      </c>
      <c r="G4879" s="1">
        <v>6.1920000000000002</v>
      </c>
      <c r="H4879" s="1">
        <v>3</v>
      </c>
      <c r="I4879" s="1">
        <v>0.46439999999999998</v>
      </c>
    </row>
    <row r="4880" spans="1:9" x14ac:dyDescent="0.35">
      <c r="A4880" s="3" t="s">
        <v>3396</v>
      </c>
      <c r="B4880" s="1" t="s">
        <v>2220</v>
      </c>
      <c r="C4880" s="1" t="s">
        <v>2840</v>
      </c>
      <c r="D4880" s="1" t="s">
        <v>23</v>
      </c>
      <c r="E4880" s="1" t="s">
        <v>35</v>
      </c>
      <c r="F4880" s="2" t="s">
        <v>2825</v>
      </c>
      <c r="G4880" s="1">
        <v>2.214</v>
      </c>
      <c r="H4880" s="1">
        <v>3</v>
      </c>
      <c r="I4880" s="1">
        <v>-1.476</v>
      </c>
    </row>
    <row r="4881" spans="1:9" x14ac:dyDescent="0.35">
      <c r="A4881" s="3">
        <v>42777</v>
      </c>
      <c r="B4881" s="1" t="s">
        <v>1888</v>
      </c>
      <c r="C4881" s="1" t="s">
        <v>10</v>
      </c>
      <c r="D4881" s="1" t="s">
        <v>11</v>
      </c>
      <c r="E4881" s="1" t="s">
        <v>87</v>
      </c>
      <c r="F4881" s="2" t="s">
        <v>2511</v>
      </c>
      <c r="G4881" s="1">
        <v>5.32</v>
      </c>
      <c r="H4881" s="1">
        <v>2</v>
      </c>
      <c r="I4881" s="1">
        <v>2.6067999999999998</v>
      </c>
    </row>
    <row r="4882" spans="1:9" x14ac:dyDescent="0.35">
      <c r="A4882" s="3">
        <v>42777</v>
      </c>
      <c r="B4882" s="1" t="s">
        <v>1888</v>
      </c>
      <c r="C4882" s="1" t="s">
        <v>10</v>
      </c>
      <c r="D4882" s="1" t="s">
        <v>11</v>
      </c>
      <c r="E4882" s="1" t="s">
        <v>14</v>
      </c>
      <c r="F4882" s="2" t="s">
        <v>15</v>
      </c>
      <c r="G4882" s="1">
        <v>975.92</v>
      </c>
      <c r="H4882" s="1">
        <v>4</v>
      </c>
      <c r="I4882" s="1">
        <v>292.77600000000001</v>
      </c>
    </row>
    <row r="4883" spans="1:9" x14ac:dyDescent="0.35">
      <c r="A4883" s="3">
        <v>42777</v>
      </c>
      <c r="B4883" s="1" t="s">
        <v>1888</v>
      </c>
      <c r="C4883" s="1" t="s">
        <v>10</v>
      </c>
      <c r="D4883" s="1" t="s">
        <v>11</v>
      </c>
      <c r="E4883" s="1" t="s">
        <v>81</v>
      </c>
      <c r="F4883" s="2" t="s">
        <v>2140</v>
      </c>
      <c r="G4883" s="1">
        <v>2249.91</v>
      </c>
      <c r="H4883" s="1">
        <v>9</v>
      </c>
      <c r="I4883" s="1">
        <v>517.47929999999997</v>
      </c>
    </row>
    <row r="4884" spans="1:9" x14ac:dyDescent="0.35">
      <c r="A4884" s="3">
        <v>42777</v>
      </c>
      <c r="B4884" s="1" t="s">
        <v>1888</v>
      </c>
      <c r="C4884" s="1" t="s">
        <v>10</v>
      </c>
      <c r="D4884" s="1" t="s">
        <v>11</v>
      </c>
      <c r="E4884" s="1" t="s">
        <v>26</v>
      </c>
      <c r="F4884" s="2" t="s">
        <v>668</v>
      </c>
      <c r="G4884" s="1">
        <v>59.92</v>
      </c>
      <c r="H4884" s="1">
        <v>4</v>
      </c>
      <c r="I4884" s="1">
        <v>16.7776</v>
      </c>
    </row>
    <row r="4885" spans="1:9" x14ac:dyDescent="0.35">
      <c r="A4885" s="3">
        <v>42950</v>
      </c>
      <c r="B4885" s="1" t="s">
        <v>477</v>
      </c>
      <c r="C4885" s="1" t="s">
        <v>871</v>
      </c>
      <c r="D4885" s="1" t="s">
        <v>18</v>
      </c>
      <c r="E4885" s="1" t="s">
        <v>35</v>
      </c>
      <c r="F4885" s="2" t="s">
        <v>2728</v>
      </c>
      <c r="G4885" s="1">
        <v>171.2</v>
      </c>
      <c r="H4885" s="1">
        <v>5</v>
      </c>
      <c r="I4885" s="1">
        <v>64.2</v>
      </c>
    </row>
    <row r="4886" spans="1:9" x14ac:dyDescent="0.35">
      <c r="A4886" s="3">
        <v>42950</v>
      </c>
      <c r="B4886" s="1" t="s">
        <v>477</v>
      </c>
      <c r="C4886" s="1" t="s">
        <v>871</v>
      </c>
      <c r="D4886" s="1" t="s">
        <v>18</v>
      </c>
      <c r="E4886" s="1" t="s">
        <v>31</v>
      </c>
      <c r="F4886" s="2" t="s">
        <v>2735</v>
      </c>
      <c r="G4886" s="1">
        <v>3.36</v>
      </c>
      <c r="H4886" s="1">
        <v>2</v>
      </c>
      <c r="I4886" s="1">
        <v>0.87360000000000004</v>
      </c>
    </row>
    <row r="4887" spans="1:9" x14ac:dyDescent="0.35">
      <c r="A4887" s="3" t="s">
        <v>3210</v>
      </c>
      <c r="B4887" s="1" t="s">
        <v>1054</v>
      </c>
      <c r="C4887" s="1" t="s">
        <v>429</v>
      </c>
      <c r="D4887" s="1" t="s">
        <v>120</v>
      </c>
      <c r="E4887" s="1" t="s">
        <v>44</v>
      </c>
      <c r="F4887" s="2" t="s">
        <v>1900</v>
      </c>
      <c r="G4887" s="1">
        <v>114.2</v>
      </c>
      <c r="H4887" s="1">
        <v>5</v>
      </c>
      <c r="I4887" s="1">
        <v>52.531999999999996</v>
      </c>
    </row>
    <row r="4888" spans="1:9" x14ac:dyDescent="0.35">
      <c r="A4888" s="3" t="s">
        <v>3273</v>
      </c>
      <c r="B4888" s="1" t="s">
        <v>2067</v>
      </c>
      <c r="C4888" s="1" t="s">
        <v>2829</v>
      </c>
      <c r="D4888" s="1" t="s">
        <v>604</v>
      </c>
      <c r="E4888" s="1" t="s">
        <v>14</v>
      </c>
      <c r="F4888" s="2" t="s">
        <v>435</v>
      </c>
      <c r="G4888" s="1">
        <v>182.67</v>
      </c>
      <c r="H4888" s="1">
        <v>3</v>
      </c>
      <c r="I4888" s="1">
        <v>52.974299999999999</v>
      </c>
    </row>
    <row r="4889" spans="1:9" x14ac:dyDescent="0.35">
      <c r="A4889" s="3" t="s">
        <v>3273</v>
      </c>
      <c r="B4889" s="1" t="s">
        <v>2067</v>
      </c>
      <c r="C4889" s="1" t="s">
        <v>2829</v>
      </c>
      <c r="D4889" s="1" t="s">
        <v>604</v>
      </c>
      <c r="E4889" s="1" t="s">
        <v>81</v>
      </c>
      <c r="F4889" s="2" t="s">
        <v>1156</v>
      </c>
      <c r="G4889" s="1">
        <v>101.7</v>
      </c>
      <c r="H4889" s="1">
        <v>6</v>
      </c>
      <c r="I4889" s="1">
        <v>6.1020000000000003</v>
      </c>
    </row>
    <row r="4890" spans="1:9" x14ac:dyDescent="0.35">
      <c r="A4890" s="3" t="s">
        <v>3273</v>
      </c>
      <c r="B4890" s="1" t="s">
        <v>2067</v>
      </c>
      <c r="C4890" s="1" t="s">
        <v>2829</v>
      </c>
      <c r="D4890" s="1" t="s">
        <v>604</v>
      </c>
      <c r="E4890" s="1" t="s">
        <v>26</v>
      </c>
      <c r="F4890" s="2" t="s">
        <v>827</v>
      </c>
      <c r="G4890" s="1">
        <v>1126.02</v>
      </c>
      <c r="H4890" s="1">
        <v>3</v>
      </c>
      <c r="I4890" s="1">
        <v>56.301000000000002</v>
      </c>
    </row>
    <row r="4891" spans="1:9" x14ac:dyDescent="0.35">
      <c r="A4891" s="3" t="s">
        <v>3273</v>
      </c>
      <c r="B4891" s="1" t="s">
        <v>2067</v>
      </c>
      <c r="C4891" s="1" t="s">
        <v>2829</v>
      </c>
      <c r="D4891" s="1" t="s">
        <v>604</v>
      </c>
      <c r="E4891" s="1" t="s">
        <v>26</v>
      </c>
      <c r="F4891" s="2" t="s">
        <v>2784</v>
      </c>
      <c r="G4891" s="1">
        <v>1263.3</v>
      </c>
      <c r="H4891" s="1">
        <v>6</v>
      </c>
      <c r="I4891" s="1">
        <v>315.82499999999999</v>
      </c>
    </row>
    <row r="4892" spans="1:9" x14ac:dyDescent="0.35">
      <c r="A4892" s="3" t="s">
        <v>3356</v>
      </c>
      <c r="B4892" s="1" t="s">
        <v>1970</v>
      </c>
      <c r="C4892" s="1" t="s">
        <v>47</v>
      </c>
      <c r="D4892" s="1" t="s">
        <v>48</v>
      </c>
      <c r="E4892" s="1" t="s">
        <v>31</v>
      </c>
      <c r="F4892" s="2" t="s">
        <v>821</v>
      </c>
      <c r="G4892" s="1">
        <v>8.82</v>
      </c>
      <c r="H4892" s="1">
        <v>3</v>
      </c>
      <c r="I4892" s="1">
        <v>2.5577999999999999</v>
      </c>
    </row>
    <row r="4893" spans="1:9" x14ac:dyDescent="0.35">
      <c r="A4893" s="3" t="s">
        <v>3356</v>
      </c>
      <c r="B4893" s="1" t="s">
        <v>1970</v>
      </c>
      <c r="C4893" s="1" t="s">
        <v>47</v>
      </c>
      <c r="D4893" s="1" t="s">
        <v>48</v>
      </c>
      <c r="E4893" s="1" t="s">
        <v>44</v>
      </c>
      <c r="F4893" s="2" t="s">
        <v>2041</v>
      </c>
      <c r="G4893" s="1">
        <v>37.94</v>
      </c>
      <c r="H4893" s="1">
        <v>2</v>
      </c>
      <c r="I4893" s="1">
        <v>18.211200000000002</v>
      </c>
    </row>
    <row r="4894" spans="1:9" x14ac:dyDescent="0.35">
      <c r="A4894" s="3" t="s">
        <v>3356</v>
      </c>
      <c r="B4894" s="1" t="s">
        <v>1970</v>
      </c>
      <c r="C4894" s="1" t="s">
        <v>47</v>
      </c>
      <c r="D4894" s="1" t="s">
        <v>48</v>
      </c>
      <c r="E4894" s="1" t="s">
        <v>31</v>
      </c>
      <c r="F4894" s="2" t="s">
        <v>2841</v>
      </c>
      <c r="G4894" s="1">
        <v>4.2</v>
      </c>
      <c r="H4894" s="1">
        <v>2</v>
      </c>
      <c r="I4894" s="1">
        <v>1.1759999999999999</v>
      </c>
    </row>
    <row r="4895" spans="1:9" x14ac:dyDescent="0.35">
      <c r="A4895" s="3" t="s">
        <v>3356</v>
      </c>
      <c r="B4895" s="1" t="s">
        <v>1970</v>
      </c>
      <c r="C4895" s="1" t="s">
        <v>47</v>
      </c>
      <c r="D4895" s="1" t="s">
        <v>48</v>
      </c>
      <c r="E4895" s="1" t="s">
        <v>26</v>
      </c>
      <c r="F4895" s="2" t="s">
        <v>763</v>
      </c>
      <c r="G4895" s="1">
        <v>227.28</v>
      </c>
      <c r="H4895" s="1">
        <v>2</v>
      </c>
      <c r="I4895" s="1">
        <v>2.2728000000000002</v>
      </c>
    </row>
    <row r="4896" spans="1:9" x14ac:dyDescent="0.35">
      <c r="A4896" s="3" t="s">
        <v>3356</v>
      </c>
      <c r="B4896" s="1" t="s">
        <v>1970</v>
      </c>
      <c r="C4896" s="1" t="s">
        <v>47</v>
      </c>
      <c r="D4896" s="1" t="s">
        <v>48</v>
      </c>
      <c r="E4896" s="1" t="s">
        <v>44</v>
      </c>
      <c r="F4896" s="2" t="s">
        <v>295</v>
      </c>
      <c r="G4896" s="1">
        <v>47.9</v>
      </c>
      <c r="H4896" s="1">
        <v>1</v>
      </c>
      <c r="I4896" s="1">
        <v>22.992000000000001</v>
      </c>
    </row>
    <row r="4897" spans="1:9" x14ac:dyDescent="0.35">
      <c r="A4897" s="3" t="s">
        <v>3356</v>
      </c>
      <c r="B4897" s="1" t="s">
        <v>1970</v>
      </c>
      <c r="C4897" s="1" t="s">
        <v>47</v>
      </c>
      <c r="D4897" s="1" t="s">
        <v>48</v>
      </c>
      <c r="E4897" s="1" t="s">
        <v>87</v>
      </c>
      <c r="F4897" s="2" t="s">
        <v>332</v>
      </c>
      <c r="G4897" s="1">
        <v>61.96</v>
      </c>
      <c r="H4897" s="1">
        <v>2</v>
      </c>
      <c r="I4897" s="1">
        <v>30.360399999999998</v>
      </c>
    </row>
    <row r="4898" spans="1:9" x14ac:dyDescent="0.35">
      <c r="A4898" s="3" t="s">
        <v>3356</v>
      </c>
      <c r="B4898" s="1" t="s">
        <v>1970</v>
      </c>
      <c r="C4898" s="1" t="s">
        <v>47</v>
      </c>
      <c r="D4898" s="1" t="s">
        <v>48</v>
      </c>
      <c r="E4898" s="1" t="s">
        <v>26</v>
      </c>
      <c r="F4898" s="2" t="s">
        <v>2254</v>
      </c>
      <c r="G4898" s="1">
        <v>1117.92</v>
      </c>
      <c r="H4898" s="1">
        <v>4</v>
      </c>
      <c r="I4898" s="1">
        <v>55.896000000000001</v>
      </c>
    </row>
    <row r="4899" spans="1:9" x14ac:dyDescent="0.35">
      <c r="A4899" s="3" t="s">
        <v>3234</v>
      </c>
      <c r="B4899" s="1" t="s">
        <v>2391</v>
      </c>
      <c r="C4899" s="1" t="s">
        <v>1657</v>
      </c>
      <c r="D4899" s="1" t="s">
        <v>250</v>
      </c>
      <c r="E4899" s="1" t="s">
        <v>14</v>
      </c>
      <c r="F4899" s="2" t="s">
        <v>2323</v>
      </c>
      <c r="G4899" s="1">
        <v>183.37200000000001</v>
      </c>
      <c r="H4899" s="1">
        <v>2</v>
      </c>
      <c r="I4899" s="1">
        <v>-7.8587999999999996</v>
      </c>
    </row>
    <row r="4900" spans="1:9" x14ac:dyDescent="0.35">
      <c r="A4900" s="3" t="s">
        <v>3234</v>
      </c>
      <c r="B4900" s="1" t="s">
        <v>2391</v>
      </c>
      <c r="C4900" s="1" t="s">
        <v>1657</v>
      </c>
      <c r="D4900" s="1" t="s">
        <v>250</v>
      </c>
      <c r="E4900" s="1" t="s">
        <v>44</v>
      </c>
      <c r="F4900" s="2" t="s">
        <v>723</v>
      </c>
      <c r="G4900" s="1">
        <v>7.968</v>
      </c>
      <c r="H4900" s="1">
        <v>2</v>
      </c>
      <c r="I4900" s="1">
        <v>2.8883999999999999</v>
      </c>
    </row>
    <row r="4901" spans="1:9" x14ac:dyDescent="0.35">
      <c r="A4901" s="3" t="s">
        <v>3503</v>
      </c>
      <c r="B4901" s="1" t="s">
        <v>1755</v>
      </c>
      <c r="C4901" s="1" t="s">
        <v>2449</v>
      </c>
      <c r="D4901" s="1" t="s">
        <v>212</v>
      </c>
      <c r="E4901" s="1" t="s">
        <v>35</v>
      </c>
      <c r="F4901" s="2" t="s">
        <v>1761</v>
      </c>
      <c r="G4901" s="1">
        <v>26.352</v>
      </c>
      <c r="H4901" s="1">
        <v>8</v>
      </c>
      <c r="I4901" s="1">
        <v>-18.446400000000001</v>
      </c>
    </row>
    <row r="4902" spans="1:9" x14ac:dyDescent="0.35">
      <c r="A4902" s="3" t="s">
        <v>3274</v>
      </c>
      <c r="B4902" s="1" t="s">
        <v>484</v>
      </c>
      <c r="C4902" s="1" t="s">
        <v>871</v>
      </c>
      <c r="D4902" s="1" t="s">
        <v>18</v>
      </c>
      <c r="E4902" s="1" t="s">
        <v>26</v>
      </c>
      <c r="F4902" s="2" t="s">
        <v>1327</v>
      </c>
      <c r="G4902" s="1">
        <v>481.32</v>
      </c>
      <c r="H4902" s="1">
        <v>4</v>
      </c>
      <c r="I4902" s="1">
        <v>125.14319999999999</v>
      </c>
    </row>
    <row r="4903" spans="1:9" x14ac:dyDescent="0.35">
      <c r="A4903" s="3" t="s">
        <v>3274</v>
      </c>
      <c r="B4903" s="1" t="s">
        <v>484</v>
      </c>
      <c r="C4903" s="1" t="s">
        <v>871</v>
      </c>
      <c r="D4903" s="1" t="s">
        <v>18</v>
      </c>
      <c r="E4903" s="1" t="s">
        <v>289</v>
      </c>
      <c r="F4903" s="2" t="s">
        <v>2237</v>
      </c>
      <c r="G4903" s="1">
        <v>13.98</v>
      </c>
      <c r="H4903" s="1">
        <v>1</v>
      </c>
      <c r="I4903" s="1">
        <v>3.6347999999999998</v>
      </c>
    </row>
    <row r="4904" spans="1:9" x14ac:dyDescent="0.35">
      <c r="A4904" s="3">
        <v>42919</v>
      </c>
      <c r="B4904" s="1" t="s">
        <v>539</v>
      </c>
      <c r="C4904" s="1" t="s">
        <v>135</v>
      </c>
      <c r="D4904" s="1" t="s">
        <v>136</v>
      </c>
      <c r="E4904" s="1" t="s">
        <v>35</v>
      </c>
      <c r="F4904" s="2" t="s">
        <v>1377</v>
      </c>
      <c r="G4904" s="1">
        <v>25.92</v>
      </c>
      <c r="H4904" s="1">
        <v>6</v>
      </c>
      <c r="I4904" s="1">
        <v>9.0719999999999992</v>
      </c>
    </row>
    <row r="4905" spans="1:9" x14ac:dyDescent="0.35">
      <c r="A4905" s="3">
        <v>42919</v>
      </c>
      <c r="B4905" s="1" t="s">
        <v>539</v>
      </c>
      <c r="C4905" s="1" t="s">
        <v>135</v>
      </c>
      <c r="D4905" s="1" t="s">
        <v>136</v>
      </c>
      <c r="E4905" s="1" t="s">
        <v>19</v>
      </c>
      <c r="F4905" s="2" t="s">
        <v>1026</v>
      </c>
      <c r="G4905" s="1">
        <v>91.59</v>
      </c>
      <c r="H4905" s="1">
        <v>3</v>
      </c>
      <c r="I4905" s="1">
        <v>42.131399999999999</v>
      </c>
    </row>
    <row r="4906" spans="1:9" x14ac:dyDescent="0.35">
      <c r="A4906" s="3">
        <v>41651</v>
      </c>
      <c r="B4906" s="1" t="s">
        <v>831</v>
      </c>
      <c r="C4906" s="1" t="s">
        <v>93</v>
      </c>
      <c r="D4906" s="1" t="s">
        <v>52</v>
      </c>
      <c r="E4906" s="1" t="s">
        <v>14</v>
      </c>
      <c r="F4906" s="2" t="s">
        <v>1100</v>
      </c>
      <c r="G4906" s="1">
        <v>674.05799999999999</v>
      </c>
      <c r="H4906" s="1">
        <v>3</v>
      </c>
      <c r="I4906" s="1">
        <v>-19.258800000000001</v>
      </c>
    </row>
    <row r="4907" spans="1:9" x14ac:dyDescent="0.35">
      <c r="A4907" s="3" t="s">
        <v>3598</v>
      </c>
      <c r="B4907" s="1" t="s">
        <v>1881</v>
      </c>
      <c r="C4907" s="1" t="s">
        <v>42</v>
      </c>
      <c r="D4907" s="1" t="s">
        <v>1203</v>
      </c>
      <c r="E4907" s="1" t="s">
        <v>35</v>
      </c>
      <c r="F4907" s="2" t="s">
        <v>2582</v>
      </c>
      <c r="G4907" s="1">
        <v>22.92</v>
      </c>
      <c r="H4907" s="1">
        <v>4</v>
      </c>
      <c r="I4907" s="1">
        <v>11.0016</v>
      </c>
    </row>
    <row r="4908" spans="1:9" x14ac:dyDescent="0.35">
      <c r="A4908" s="3" t="s">
        <v>3598</v>
      </c>
      <c r="B4908" s="1" t="s">
        <v>1881</v>
      </c>
      <c r="C4908" s="1" t="s">
        <v>42</v>
      </c>
      <c r="D4908" s="1" t="s">
        <v>1203</v>
      </c>
      <c r="E4908" s="1" t="s">
        <v>26</v>
      </c>
      <c r="F4908" s="2" t="s">
        <v>736</v>
      </c>
      <c r="G4908" s="1">
        <v>269.89999999999998</v>
      </c>
      <c r="H4908" s="1">
        <v>5</v>
      </c>
      <c r="I4908" s="1">
        <v>16.193999999999999</v>
      </c>
    </row>
    <row r="4909" spans="1:9" x14ac:dyDescent="0.35">
      <c r="A4909" s="3" t="s">
        <v>3368</v>
      </c>
      <c r="B4909" s="1" t="s">
        <v>2354</v>
      </c>
      <c r="C4909" s="1" t="s">
        <v>367</v>
      </c>
      <c r="D4909" s="1" t="s">
        <v>250</v>
      </c>
      <c r="E4909" s="1" t="s">
        <v>35</v>
      </c>
      <c r="F4909" s="2" t="s">
        <v>1962</v>
      </c>
      <c r="G4909" s="1">
        <v>11.808</v>
      </c>
      <c r="H4909" s="1">
        <v>8</v>
      </c>
      <c r="I4909" s="1">
        <v>-8.6592000000000002</v>
      </c>
    </row>
    <row r="4910" spans="1:9" x14ac:dyDescent="0.35">
      <c r="A4910" s="3" t="s">
        <v>3368</v>
      </c>
      <c r="B4910" s="1" t="s">
        <v>2354</v>
      </c>
      <c r="C4910" s="1" t="s">
        <v>367</v>
      </c>
      <c r="D4910" s="1" t="s">
        <v>250</v>
      </c>
      <c r="E4910" s="1" t="s">
        <v>33</v>
      </c>
      <c r="F4910" s="2" t="s">
        <v>2842</v>
      </c>
      <c r="G4910" s="1">
        <v>9.5879999999999992</v>
      </c>
      <c r="H4910" s="1">
        <v>2</v>
      </c>
      <c r="I4910" s="1">
        <v>-2.0773999999999999</v>
      </c>
    </row>
    <row r="4911" spans="1:9" x14ac:dyDescent="0.35">
      <c r="A4911" s="3" t="s">
        <v>3512</v>
      </c>
      <c r="B4911" s="1" t="s">
        <v>28</v>
      </c>
      <c r="C4911" s="1" t="s">
        <v>2013</v>
      </c>
      <c r="D4911" s="1" t="s">
        <v>171</v>
      </c>
      <c r="E4911" s="1" t="s">
        <v>87</v>
      </c>
      <c r="F4911" s="2" t="s">
        <v>1040</v>
      </c>
      <c r="G4911" s="1">
        <v>18.335999999999999</v>
      </c>
      <c r="H4911" s="1">
        <v>3</v>
      </c>
      <c r="I4911" s="1">
        <v>6.6467999999999998</v>
      </c>
    </row>
    <row r="4912" spans="1:9" x14ac:dyDescent="0.35">
      <c r="A4912" s="3" t="s">
        <v>3512</v>
      </c>
      <c r="B4912" s="1" t="s">
        <v>28</v>
      </c>
      <c r="C4912" s="1" t="s">
        <v>2013</v>
      </c>
      <c r="D4912" s="1" t="s">
        <v>171</v>
      </c>
      <c r="E4912" s="1" t="s">
        <v>44</v>
      </c>
      <c r="F4912" s="2" t="s">
        <v>1234</v>
      </c>
      <c r="G4912" s="1">
        <v>36.287999999999997</v>
      </c>
      <c r="H4912" s="1">
        <v>7</v>
      </c>
      <c r="I4912" s="1">
        <v>12.700799999999999</v>
      </c>
    </row>
    <row r="4913" spans="1:9" x14ac:dyDescent="0.35">
      <c r="A4913" s="3" t="s">
        <v>3512</v>
      </c>
      <c r="B4913" s="1" t="s">
        <v>28</v>
      </c>
      <c r="C4913" s="1" t="s">
        <v>2013</v>
      </c>
      <c r="D4913" s="1" t="s">
        <v>171</v>
      </c>
      <c r="E4913" s="1" t="s">
        <v>33</v>
      </c>
      <c r="F4913" s="2" t="s">
        <v>781</v>
      </c>
      <c r="G4913" s="1">
        <v>111.98399999999999</v>
      </c>
      <c r="H4913" s="1">
        <v>2</v>
      </c>
      <c r="I4913" s="1">
        <v>6.9989999999999997</v>
      </c>
    </row>
    <row r="4914" spans="1:9" x14ac:dyDescent="0.35">
      <c r="A4914" s="3" t="s">
        <v>3512</v>
      </c>
      <c r="B4914" s="1" t="s">
        <v>28</v>
      </c>
      <c r="C4914" s="1" t="s">
        <v>2013</v>
      </c>
      <c r="D4914" s="1" t="s">
        <v>171</v>
      </c>
      <c r="E4914" s="1" t="s">
        <v>35</v>
      </c>
      <c r="F4914" s="2" t="s">
        <v>2330</v>
      </c>
      <c r="G4914" s="1">
        <v>5.97</v>
      </c>
      <c r="H4914" s="1">
        <v>5</v>
      </c>
      <c r="I4914" s="1">
        <v>-4.577</v>
      </c>
    </row>
    <row r="4915" spans="1:9" x14ac:dyDescent="0.35">
      <c r="A4915" s="3" t="s">
        <v>3512</v>
      </c>
      <c r="B4915" s="1" t="s">
        <v>28</v>
      </c>
      <c r="C4915" s="1" t="s">
        <v>2013</v>
      </c>
      <c r="D4915" s="1" t="s">
        <v>171</v>
      </c>
      <c r="E4915" s="1" t="s">
        <v>35</v>
      </c>
      <c r="F4915" s="2" t="s">
        <v>1379</v>
      </c>
      <c r="G4915" s="1">
        <v>2.508</v>
      </c>
      <c r="H4915" s="1">
        <v>2</v>
      </c>
      <c r="I4915" s="1">
        <v>-1.8391999999999999</v>
      </c>
    </row>
    <row r="4916" spans="1:9" x14ac:dyDescent="0.35">
      <c r="A4916" s="3" t="s">
        <v>3392</v>
      </c>
      <c r="B4916" s="1" t="s">
        <v>961</v>
      </c>
      <c r="C4916" s="1" t="s">
        <v>47</v>
      </c>
      <c r="D4916" s="1" t="s">
        <v>48</v>
      </c>
      <c r="E4916" s="1" t="s">
        <v>31</v>
      </c>
      <c r="F4916" s="2" t="s">
        <v>89</v>
      </c>
      <c r="G4916" s="1">
        <v>35.96</v>
      </c>
      <c r="H4916" s="1">
        <v>2</v>
      </c>
      <c r="I4916" s="1">
        <v>10.4284</v>
      </c>
    </row>
    <row r="4917" spans="1:9" x14ac:dyDescent="0.35">
      <c r="A4917" s="3" t="s">
        <v>3392</v>
      </c>
      <c r="B4917" s="1" t="s">
        <v>961</v>
      </c>
      <c r="C4917" s="1" t="s">
        <v>47</v>
      </c>
      <c r="D4917" s="1" t="s">
        <v>48</v>
      </c>
      <c r="E4917" s="1" t="s">
        <v>35</v>
      </c>
      <c r="F4917" s="2" t="s">
        <v>1363</v>
      </c>
      <c r="G4917" s="1">
        <v>14.952</v>
      </c>
      <c r="H4917" s="1">
        <v>3</v>
      </c>
      <c r="I4917" s="1">
        <v>5.4200999999999997</v>
      </c>
    </row>
    <row r="4918" spans="1:9" x14ac:dyDescent="0.35">
      <c r="A4918" s="3">
        <v>42988</v>
      </c>
      <c r="B4918" s="1" t="s">
        <v>391</v>
      </c>
      <c r="C4918" s="1" t="s">
        <v>2843</v>
      </c>
      <c r="D4918" s="1" t="s">
        <v>52</v>
      </c>
      <c r="E4918" s="1" t="s">
        <v>31</v>
      </c>
      <c r="F4918" s="2" t="s">
        <v>690</v>
      </c>
      <c r="G4918" s="1">
        <v>67.144000000000005</v>
      </c>
      <c r="H4918" s="1">
        <v>7</v>
      </c>
      <c r="I4918" s="1">
        <v>5.8750999999999998</v>
      </c>
    </row>
    <row r="4919" spans="1:9" x14ac:dyDescent="0.35">
      <c r="A4919" s="3">
        <v>42988</v>
      </c>
      <c r="B4919" s="1" t="s">
        <v>391</v>
      </c>
      <c r="C4919" s="1" t="s">
        <v>2843</v>
      </c>
      <c r="D4919" s="1" t="s">
        <v>52</v>
      </c>
      <c r="E4919" s="1" t="s">
        <v>14</v>
      </c>
      <c r="F4919" s="2" t="s">
        <v>2844</v>
      </c>
      <c r="G4919" s="1">
        <v>254.05799999999999</v>
      </c>
      <c r="H4919" s="1">
        <v>3</v>
      </c>
      <c r="I4919" s="1">
        <v>-32.6646</v>
      </c>
    </row>
    <row r="4920" spans="1:9" x14ac:dyDescent="0.35">
      <c r="A4920" s="3">
        <v>42401</v>
      </c>
      <c r="B4920" s="1" t="s">
        <v>2165</v>
      </c>
      <c r="C4920" s="1" t="s">
        <v>2845</v>
      </c>
      <c r="D4920" s="1" t="s">
        <v>1217</v>
      </c>
      <c r="E4920" s="1" t="s">
        <v>12</v>
      </c>
      <c r="F4920" s="2" t="s">
        <v>516</v>
      </c>
      <c r="G4920" s="1">
        <v>173.94</v>
      </c>
      <c r="H4920" s="1">
        <v>3</v>
      </c>
      <c r="I4920" s="1">
        <v>38.266800000000003</v>
      </c>
    </row>
    <row r="4921" spans="1:9" x14ac:dyDescent="0.35">
      <c r="A4921" s="3">
        <v>42401</v>
      </c>
      <c r="B4921" s="1" t="s">
        <v>2165</v>
      </c>
      <c r="C4921" s="1" t="s">
        <v>2845</v>
      </c>
      <c r="D4921" s="1" t="s">
        <v>1217</v>
      </c>
      <c r="E4921" s="1" t="s">
        <v>33</v>
      </c>
      <c r="F4921" s="2" t="s">
        <v>1892</v>
      </c>
      <c r="G4921" s="1">
        <v>231.98</v>
      </c>
      <c r="H4921" s="1">
        <v>2</v>
      </c>
      <c r="I4921" s="1">
        <v>67.274199999999993</v>
      </c>
    </row>
    <row r="4922" spans="1:9" x14ac:dyDescent="0.35">
      <c r="A4922" s="3" t="s">
        <v>3547</v>
      </c>
      <c r="B4922" s="1" t="s">
        <v>2246</v>
      </c>
      <c r="C4922" s="1" t="s">
        <v>154</v>
      </c>
      <c r="D4922" s="1" t="s">
        <v>106</v>
      </c>
      <c r="E4922" s="1" t="s">
        <v>35</v>
      </c>
      <c r="F4922" s="2" t="s">
        <v>2002</v>
      </c>
      <c r="G4922" s="1">
        <v>2.2959999999999998</v>
      </c>
      <c r="H4922" s="1">
        <v>2</v>
      </c>
      <c r="I4922" s="1">
        <v>-3.9032</v>
      </c>
    </row>
    <row r="4923" spans="1:9" x14ac:dyDescent="0.35">
      <c r="A4923" s="3" t="s">
        <v>3174</v>
      </c>
      <c r="B4923" s="1" t="s">
        <v>1516</v>
      </c>
      <c r="C4923" s="1" t="s">
        <v>785</v>
      </c>
      <c r="D4923" s="1" t="s">
        <v>182</v>
      </c>
      <c r="E4923" s="1" t="s">
        <v>44</v>
      </c>
      <c r="F4923" s="2" t="s">
        <v>2820</v>
      </c>
      <c r="G4923" s="1">
        <v>96.08</v>
      </c>
      <c r="H4923" s="1">
        <v>2</v>
      </c>
      <c r="I4923" s="1">
        <v>46.118400000000001</v>
      </c>
    </row>
    <row r="4924" spans="1:9" x14ac:dyDescent="0.35">
      <c r="A4924" s="3" t="s">
        <v>3174</v>
      </c>
      <c r="B4924" s="1" t="s">
        <v>1516</v>
      </c>
      <c r="C4924" s="1" t="s">
        <v>785</v>
      </c>
      <c r="D4924" s="1" t="s">
        <v>182</v>
      </c>
      <c r="E4924" s="1" t="s">
        <v>137</v>
      </c>
      <c r="F4924" s="2" t="s">
        <v>1369</v>
      </c>
      <c r="G4924" s="1">
        <v>3.62</v>
      </c>
      <c r="H4924" s="1">
        <v>2</v>
      </c>
      <c r="I4924" s="1">
        <v>1.1946000000000001</v>
      </c>
    </row>
    <row r="4925" spans="1:9" x14ac:dyDescent="0.35">
      <c r="A4925" s="3" t="s">
        <v>3174</v>
      </c>
      <c r="B4925" s="1" t="s">
        <v>1516</v>
      </c>
      <c r="C4925" s="1" t="s">
        <v>785</v>
      </c>
      <c r="D4925" s="1" t="s">
        <v>182</v>
      </c>
      <c r="E4925" s="1" t="s">
        <v>44</v>
      </c>
      <c r="F4925" s="2" t="s">
        <v>1541</v>
      </c>
      <c r="G4925" s="1">
        <v>629.1</v>
      </c>
      <c r="H4925" s="1">
        <v>6</v>
      </c>
      <c r="I4925" s="1">
        <v>301.96800000000002</v>
      </c>
    </row>
    <row r="4926" spans="1:9" x14ac:dyDescent="0.35">
      <c r="A4926" s="3" t="s">
        <v>3174</v>
      </c>
      <c r="B4926" s="1" t="s">
        <v>1516</v>
      </c>
      <c r="C4926" s="1" t="s">
        <v>785</v>
      </c>
      <c r="D4926" s="1" t="s">
        <v>182</v>
      </c>
      <c r="E4926" s="1" t="s">
        <v>33</v>
      </c>
      <c r="F4926" s="2" t="s">
        <v>2334</v>
      </c>
      <c r="G4926" s="1">
        <v>90.48</v>
      </c>
      <c r="H4926" s="1">
        <v>2</v>
      </c>
      <c r="I4926" s="1">
        <v>23.524799999999999</v>
      </c>
    </row>
    <row r="4927" spans="1:9" x14ac:dyDescent="0.35">
      <c r="A4927" s="3">
        <v>43017</v>
      </c>
      <c r="B4927" s="1" t="s">
        <v>2846</v>
      </c>
      <c r="C4927" s="1" t="s">
        <v>700</v>
      </c>
      <c r="D4927" s="1" t="s">
        <v>592</v>
      </c>
      <c r="E4927" s="1" t="s">
        <v>31</v>
      </c>
      <c r="F4927" s="2" t="s">
        <v>2413</v>
      </c>
      <c r="G4927" s="1">
        <v>14.88</v>
      </c>
      <c r="H4927" s="1">
        <v>2</v>
      </c>
      <c r="I4927" s="1">
        <v>3.72</v>
      </c>
    </row>
    <row r="4928" spans="1:9" x14ac:dyDescent="0.35">
      <c r="A4928" s="3" t="s">
        <v>3151</v>
      </c>
      <c r="B4928" s="1" t="s">
        <v>1348</v>
      </c>
      <c r="C4928" s="1" t="s">
        <v>154</v>
      </c>
      <c r="D4928" s="1" t="s">
        <v>106</v>
      </c>
      <c r="E4928" s="1" t="s">
        <v>24</v>
      </c>
      <c r="F4928" s="2" t="s">
        <v>1618</v>
      </c>
      <c r="G4928" s="1">
        <v>91.275000000000006</v>
      </c>
      <c r="H4928" s="1">
        <v>1</v>
      </c>
      <c r="I4928" s="1">
        <v>-67.543499999999995</v>
      </c>
    </row>
    <row r="4929" spans="1:9" x14ac:dyDescent="0.35">
      <c r="A4929" s="3">
        <v>42747</v>
      </c>
      <c r="B4929" s="1" t="s">
        <v>266</v>
      </c>
      <c r="C4929" s="1" t="s">
        <v>367</v>
      </c>
      <c r="D4929" s="1" t="s">
        <v>368</v>
      </c>
      <c r="E4929" s="1" t="s">
        <v>44</v>
      </c>
      <c r="F4929" s="2" t="s">
        <v>1977</v>
      </c>
      <c r="G4929" s="1">
        <v>19.440000000000001</v>
      </c>
      <c r="H4929" s="1">
        <v>3</v>
      </c>
      <c r="I4929" s="1">
        <v>9.3312000000000008</v>
      </c>
    </row>
    <row r="4930" spans="1:9" x14ac:dyDescent="0.35">
      <c r="A4930" s="3">
        <v>42747</v>
      </c>
      <c r="B4930" s="1" t="s">
        <v>266</v>
      </c>
      <c r="C4930" s="1" t="s">
        <v>367</v>
      </c>
      <c r="D4930" s="1" t="s">
        <v>368</v>
      </c>
      <c r="E4930" s="1" t="s">
        <v>14</v>
      </c>
      <c r="F4930" s="2" t="s">
        <v>1959</v>
      </c>
      <c r="G4930" s="1">
        <v>897.15</v>
      </c>
      <c r="H4930" s="1">
        <v>3</v>
      </c>
      <c r="I4930" s="1">
        <v>251.202</v>
      </c>
    </row>
    <row r="4931" spans="1:9" x14ac:dyDescent="0.35">
      <c r="A4931" s="3">
        <v>41679</v>
      </c>
      <c r="B4931" s="1" t="s">
        <v>216</v>
      </c>
      <c r="C4931" s="1" t="s">
        <v>135</v>
      </c>
      <c r="D4931" s="1" t="s">
        <v>136</v>
      </c>
      <c r="E4931" s="1" t="s">
        <v>31</v>
      </c>
      <c r="F4931" s="2" t="s">
        <v>623</v>
      </c>
      <c r="G4931" s="1">
        <v>57.75</v>
      </c>
      <c r="H4931" s="1">
        <v>5</v>
      </c>
      <c r="I4931" s="1">
        <v>16.170000000000002</v>
      </c>
    </row>
    <row r="4932" spans="1:9" x14ac:dyDescent="0.35">
      <c r="A4932" s="3">
        <v>41679</v>
      </c>
      <c r="B4932" s="1" t="s">
        <v>216</v>
      </c>
      <c r="C4932" s="1" t="s">
        <v>135</v>
      </c>
      <c r="D4932" s="1" t="s">
        <v>136</v>
      </c>
      <c r="E4932" s="1" t="s">
        <v>44</v>
      </c>
      <c r="F4932" s="2" t="s">
        <v>94</v>
      </c>
      <c r="G4932" s="1">
        <v>14.94</v>
      </c>
      <c r="H4932" s="1">
        <v>3</v>
      </c>
      <c r="I4932" s="1">
        <v>7.0217999999999998</v>
      </c>
    </row>
    <row r="4933" spans="1:9" x14ac:dyDescent="0.35">
      <c r="A4933" s="3" t="s">
        <v>3304</v>
      </c>
      <c r="B4933" s="1" t="s">
        <v>1855</v>
      </c>
      <c r="C4933" s="1" t="s">
        <v>47</v>
      </c>
      <c r="D4933" s="1" t="s">
        <v>48</v>
      </c>
      <c r="E4933" s="1" t="s">
        <v>31</v>
      </c>
      <c r="F4933" s="2" t="s">
        <v>1954</v>
      </c>
      <c r="G4933" s="1">
        <v>23.1</v>
      </c>
      <c r="H4933" s="1">
        <v>2</v>
      </c>
      <c r="I4933" s="1">
        <v>6.93</v>
      </c>
    </row>
    <row r="4934" spans="1:9" x14ac:dyDescent="0.35">
      <c r="A4934" s="3" t="s">
        <v>3599</v>
      </c>
      <c r="B4934" s="1" t="s">
        <v>908</v>
      </c>
      <c r="C4934" s="1" t="s">
        <v>228</v>
      </c>
      <c r="D4934" s="1" t="s">
        <v>229</v>
      </c>
      <c r="E4934" s="1" t="s">
        <v>87</v>
      </c>
      <c r="F4934" s="2" t="s">
        <v>2248</v>
      </c>
      <c r="G4934" s="1">
        <v>12.536</v>
      </c>
      <c r="H4934" s="1">
        <v>1</v>
      </c>
      <c r="I4934" s="1">
        <v>4.2309000000000001</v>
      </c>
    </row>
    <row r="4935" spans="1:9" x14ac:dyDescent="0.35">
      <c r="A4935" s="3" t="s">
        <v>3599</v>
      </c>
      <c r="B4935" s="1" t="s">
        <v>908</v>
      </c>
      <c r="C4935" s="1" t="s">
        <v>228</v>
      </c>
      <c r="D4935" s="1" t="s">
        <v>229</v>
      </c>
      <c r="E4935" s="1" t="s">
        <v>35</v>
      </c>
      <c r="F4935" s="2" t="s">
        <v>1292</v>
      </c>
      <c r="G4935" s="1">
        <v>1.08</v>
      </c>
      <c r="H4935" s="1">
        <v>2</v>
      </c>
      <c r="I4935" s="1">
        <v>-0.79200000000000004</v>
      </c>
    </row>
    <row r="4936" spans="1:9" x14ac:dyDescent="0.35">
      <c r="A4936" s="3" t="s">
        <v>3599</v>
      </c>
      <c r="B4936" s="1" t="s">
        <v>908</v>
      </c>
      <c r="C4936" s="1" t="s">
        <v>228</v>
      </c>
      <c r="D4936" s="1" t="s">
        <v>229</v>
      </c>
      <c r="E4936" s="1" t="s">
        <v>137</v>
      </c>
      <c r="F4936" s="2" t="s">
        <v>281</v>
      </c>
      <c r="G4936" s="1">
        <v>4.5119999999999996</v>
      </c>
      <c r="H4936" s="1">
        <v>3</v>
      </c>
      <c r="I4936" s="1">
        <v>0.84599999999999997</v>
      </c>
    </row>
    <row r="4937" spans="1:9" x14ac:dyDescent="0.35">
      <c r="A4937" s="3" t="s">
        <v>3600</v>
      </c>
      <c r="B4937" s="1" t="s">
        <v>2847</v>
      </c>
      <c r="C4937" s="1" t="s">
        <v>2848</v>
      </c>
      <c r="D4937" s="1" t="s">
        <v>61</v>
      </c>
      <c r="E4937" s="1" t="s">
        <v>33</v>
      </c>
      <c r="F4937" s="2" t="s">
        <v>2849</v>
      </c>
      <c r="G4937" s="1">
        <v>16.776</v>
      </c>
      <c r="H4937" s="1">
        <v>3</v>
      </c>
      <c r="I4937" s="1">
        <v>1.6776</v>
      </c>
    </row>
    <row r="4938" spans="1:9" x14ac:dyDescent="0.35">
      <c r="A4938" s="3">
        <v>42887</v>
      </c>
      <c r="B4938" s="1" t="s">
        <v>1777</v>
      </c>
      <c r="C4938" s="1" t="s">
        <v>2850</v>
      </c>
      <c r="D4938" s="1" t="s">
        <v>182</v>
      </c>
      <c r="E4938" s="1" t="s">
        <v>35</v>
      </c>
      <c r="F4938" s="2" t="s">
        <v>965</v>
      </c>
      <c r="G4938" s="1">
        <v>33.74</v>
      </c>
      <c r="H4938" s="1">
        <v>7</v>
      </c>
      <c r="I4938" s="1">
        <v>15.5204</v>
      </c>
    </row>
    <row r="4939" spans="1:9" x14ac:dyDescent="0.35">
      <c r="A4939" s="3" t="s">
        <v>3311</v>
      </c>
      <c r="B4939" s="1" t="s">
        <v>834</v>
      </c>
      <c r="C4939" s="1" t="s">
        <v>64</v>
      </c>
      <c r="D4939" s="1" t="s">
        <v>18</v>
      </c>
      <c r="E4939" s="1" t="s">
        <v>26</v>
      </c>
      <c r="F4939" s="2" t="s">
        <v>2051</v>
      </c>
      <c r="G4939" s="1">
        <v>1325.85</v>
      </c>
      <c r="H4939" s="1">
        <v>5</v>
      </c>
      <c r="I4939" s="1">
        <v>238.65299999999999</v>
      </c>
    </row>
    <row r="4940" spans="1:9" x14ac:dyDescent="0.35">
      <c r="A4940" s="3" t="s">
        <v>3311</v>
      </c>
      <c r="B4940" s="1" t="s">
        <v>834</v>
      </c>
      <c r="C4940" s="1" t="s">
        <v>64</v>
      </c>
      <c r="D4940" s="1" t="s">
        <v>18</v>
      </c>
      <c r="E4940" s="1" t="s">
        <v>12</v>
      </c>
      <c r="F4940" s="2" t="s">
        <v>2012</v>
      </c>
      <c r="G4940" s="1">
        <v>333.99900000000002</v>
      </c>
      <c r="H4940" s="1">
        <v>3</v>
      </c>
      <c r="I4940" s="1">
        <v>3.9293999999999998</v>
      </c>
    </row>
    <row r="4941" spans="1:9" x14ac:dyDescent="0.35">
      <c r="A4941" s="3" t="s">
        <v>3311</v>
      </c>
      <c r="B4941" s="1" t="s">
        <v>834</v>
      </c>
      <c r="C4941" s="1" t="s">
        <v>64</v>
      </c>
      <c r="D4941" s="1" t="s">
        <v>18</v>
      </c>
      <c r="E4941" s="1" t="s">
        <v>31</v>
      </c>
      <c r="F4941" s="2" t="s">
        <v>379</v>
      </c>
      <c r="G4941" s="1">
        <v>19.899999999999999</v>
      </c>
      <c r="H4941" s="1">
        <v>5</v>
      </c>
      <c r="I4941" s="1">
        <v>6.5670000000000002</v>
      </c>
    </row>
    <row r="4942" spans="1:9" x14ac:dyDescent="0.35">
      <c r="A4942" s="3">
        <v>42157</v>
      </c>
      <c r="B4942" s="1" t="s">
        <v>2090</v>
      </c>
      <c r="C4942" s="1" t="s">
        <v>261</v>
      </c>
      <c r="D4942" s="1" t="s">
        <v>124</v>
      </c>
      <c r="E4942" s="1" t="s">
        <v>14</v>
      </c>
      <c r="F4942" s="2" t="s">
        <v>1513</v>
      </c>
      <c r="G4942" s="1">
        <v>1268.82</v>
      </c>
      <c r="H4942" s="1">
        <v>9</v>
      </c>
      <c r="I4942" s="1">
        <v>266.4522</v>
      </c>
    </row>
    <row r="4943" spans="1:9" x14ac:dyDescent="0.35">
      <c r="A4943" s="3">
        <v>42157</v>
      </c>
      <c r="B4943" s="1" t="s">
        <v>2090</v>
      </c>
      <c r="C4943" s="1" t="s">
        <v>261</v>
      </c>
      <c r="D4943" s="1" t="s">
        <v>124</v>
      </c>
      <c r="E4943" s="1" t="s">
        <v>12</v>
      </c>
      <c r="F4943" s="2" t="s">
        <v>2548</v>
      </c>
      <c r="G4943" s="1">
        <v>283.92</v>
      </c>
      <c r="H4943" s="1">
        <v>4</v>
      </c>
      <c r="I4943" s="1">
        <v>82.336799999999997</v>
      </c>
    </row>
    <row r="4944" spans="1:9" x14ac:dyDescent="0.35">
      <c r="A4944" s="3">
        <v>42157</v>
      </c>
      <c r="B4944" s="1" t="s">
        <v>2090</v>
      </c>
      <c r="C4944" s="1" t="s">
        <v>261</v>
      </c>
      <c r="D4944" s="1" t="s">
        <v>124</v>
      </c>
      <c r="E4944" s="1" t="s">
        <v>31</v>
      </c>
      <c r="F4944" s="2" t="s">
        <v>1492</v>
      </c>
      <c r="G4944" s="1">
        <v>5.68</v>
      </c>
      <c r="H4944" s="1">
        <v>2</v>
      </c>
      <c r="I4944" s="1">
        <v>1.7607999999999999</v>
      </c>
    </row>
    <row r="4945" spans="1:9" x14ac:dyDescent="0.35">
      <c r="A4945" s="3" t="s">
        <v>3202</v>
      </c>
      <c r="B4945" s="1" t="s">
        <v>1570</v>
      </c>
      <c r="C4945" s="1" t="s">
        <v>1799</v>
      </c>
      <c r="D4945" s="1" t="s">
        <v>129</v>
      </c>
      <c r="E4945" s="1" t="s">
        <v>26</v>
      </c>
      <c r="F4945" s="2" t="s">
        <v>827</v>
      </c>
      <c r="G4945" s="1">
        <v>375.34</v>
      </c>
      <c r="H4945" s="1">
        <v>1</v>
      </c>
      <c r="I4945" s="1">
        <v>18.766999999999999</v>
      </c>
    </row>
    <row r="4946" spans="1:9" x14ac:dyDescent="0.35">
      <c r="A4946" s="3">
        <v>42499</v>
      </c>
      <c r="B4946" s="1" t="s">
        <v>405</v>
      </c>
      <c r="C4946" s="1" t="s">
        <v>2377</v>
      </c>
      <c r="D4946" s="1" t="s">
        <v>18</v>
      </c>
      <c r="E4946" s="1" t="s">
        <v>44</v>
      </c>
      <c r="F4946" s="2" t="s">
        <v>2820</v>
      </c>
      <c r="G4946" s="1">
        <v>96.08</v>
      </c>
      <c r="H4946" s="1">
        <v>2</v>
      </c>
      <c r="I4946" s="1">
        <v>46.118400000000001</v>
      </c>
    </row>
    <row r="4947" spans="1:9" x14ac:dyDescent="0.35">
      <c r="A4947" s="3">
        <v>42499</v>
      </c>
      <c r="B4947" s="1" t="s">
        <v>405</v>
      </c>
      <c r="C4947" s="1" t="s">
        <v>2377</v>
      </c>
      <c r="D4947" s="1" t="s">
        <v>18</v>
      </c>
      <c r="E4947" s="1" t="s">
        <v>35</v>
      </c>
      <c r="F4947" s="2" t="s">
        <v>649</v>
      </c>
      <c r="G4947" s="1">
        <v>11.68</v>
      </c>
      <c r="H4947" s="1">
        <v>2</v>
      </c>
      <c r="I4947" s="1">
        <v>3.9420000000000002</v>
      </c>
    </row>
    <row r="4948" spans="1:9" x14ac:dyDescent="0.35">
      <c r="A4948" s="3">
        <v>42499</v>
      </c>
      <c r="B4948" s="1" t="s">
        <v>405</v>
      </c>
      <c r="C4948" s="1" t="s">
        <v>2377</v>
      </c>
      <c r="D4948" s="1" t="s">
        <v>18</v>
      </c>
      <c r="E4948" s="1" t="s">
        <v>137</v>
      </c>
      <c r="F4948" s="2" t="s">
        <v>138</v>
      </c>
      <c r="G4948" s="1">
        <v>4.3600000000000003</v>
      </c>
      <c r="H4948" s="1">
        <v>2</v>
      </c>
      <c r="I4948" s="1">
        <v>1.7876000000000001</v>
      </c>
    </row>
    <row r="4949" spans="1:9" x14ac:dyDescent="0.35">
      <c r="A4949" s="3">
        <v>41739</v>
      </c>
      <c r="B4949" s="1" t="s">
        <v>1994</v>
      </c>
      <c r="C4949" s="1" t="s">
        <v>47</v>
      </c>
      <c r="D4949" s="1" t="s">
        <v>48</v>
      </c>
      <c r="E4949" s="1" t="s">
        <v>19</v>
      </c>
      <c r="F4949" s="2" t="s">
        <v>323</v>
      </c>
      <c r="G4949" s="1">
        <v>29.24</v>
      </c>
      <c r="H4949" s="1">
        <v>4</v>
      </c>
      <c r="I4949" s="1">
        <v>13.742800000000001</v>
      </c>
    </row>
    <row r="4950" spans="1:9" x14ac:dyDescent="0.35">
      <c r="A4950" s="3" t="s">
        <v>3227</v>
      </c>
      <c r="B4950" s="1" t="s">
        <v>866</v>
      </c>
      <c r="C4950" s="1" t="s">
        <v>17</v>
      </c>
      <c r="D4950" s="1" t="s">
        <v>18</v>
      </c>
      <c r="E4950" s="1" t="s">
        <v>35</v>
      </c>
      <c r="F4950" s="2" t="s">
        <v>962</v>
      </c>
      <c r="G4950" s="1">
        <v>117.488</v>
      </c>
      <c r="H4950" s="1">
        <v>7</v>
      </c>
      <c r="I4950" s="1">
        <v>41.120800000000003</v>
      </c>
    </row>
    <row r="4951" spans="1:9" x14ac:dyDescent="0.35">
      <c r="A4951" s="3" t="s">
        <v>3227</v>
      </c>
      <c r="B4951" s="1" t="s">
        <v>866</v>
      </c>
      <c r="C4951" s="1" t="s">
        <v>17</v>
      </c>
      <c r="D4951" s="1" t="s">
        <v>18</v>
      </c>
      <c r="E4951" s="1" t="s">
        <v>29</v>
      </c>
      <c r="F4951" s="2" t="s">
        <v>967</v>
      </c>
      <c r="G4951" s="1">
        <v>18.84</v>
      </c>
      <c r="H4951" s="1">
        <v>3</v>
      </c>
      <c r="I4951" s="1">
        <v>6.0288000000000004</v>
      </c>
    </row>
    <row r="4952" spans="1:9" x14ac:dyDescent="0.35">
      <c r="A4952" s="3" t="s">
        <v>3468</v>
      </c>
      <c r="B4952" s="1" t="s">
        <v>2378</v>
      </c>
      <c r="C4952" s="1" t="s">
        <v>135</v>
      </c>
      <c r="D4952" s="1" t="s">
        <v>136</v>
      </c>
      <c r="E4952" s="1" t="s">
        <v>31</v>
      </c>
      <c r="F4952" s="2" t="s">
        <v>337</v>
      </c>
      <c r="G4952" s="1">
        <v>12.42</v>
      </c>
      <c r="H4952" s="1">
        <v>3</v>
      </c>
      <c r="I4952" s="1">
        <v>5.2164000000000001</v>
      </c>
    </row>
    <row r="4953" spans="1:9" x14ac:dyDescent="0.35">
      <c r="A4953" s="3">
        <v>42253</v>
      </c>
      <c r="B4953" s="1" t="s">
        <v>2639</v>
      </c>
      <c r="C4953" s="1" t="s">
        <v>1457</v>
      </c>
      <c r="D4953" s="1" t="s">
        <v>120</v>
      </c>
      <c r="E4953" s="1" t="s">
        <v>44</v>
      </c>
      <c r="F4953" s="2" t="s">
        <v>204</v>
      </c>
      <c r="G4953" s="1">
        <v>12.96</v>
      </c>
      <c r="H4953" s="1">
        <v>2</v>
      </c>
      <c r="I4953" s="1">
        <v>6.2207999999999997</v>
      </c>
    </row>
    <row r="4954" spans="1:9" x14ac:dyDescent="0.35">
      <c r="A4954" s="3">
        <v>42959</v>
      </c>
      <c r="B4954" s="1" t="s">
        <v>531</v>
      </c>
      <c r="C4954" s="1" t="s">
        <v>64</v>
      </c>
      <c r="D4954" s="1" t="s">
        <v>18</v>
      </c>
      <c r="E4954" s="1" t="s">
        <v>37</v>
      </c>
      <c r="F4954" s="2" t="s">
        <v>2851</v>
      </c>
      <c r="G4954" s="1">
        <v>69.48</v>
      </c>
      <c r="H4954" s="1">
        <v>1</v>
      </c>
      <c r="I4954" s="1">
        <v>20.844000000000001</v>
      </c>
    </row>
    <row r="4955" spans="1:9" x14ac:dyDescent="0.35">
      <c r="A4955" s="3" t="s">
        <v>3592</v>
      </c>
      <c r="B4955" s="1" t="s">
        <v>411</v>
      </c>
      <c r="C4955" s="1" t="s">
        <v>135</v>
      </c>
      <c r="D4955" s="1" t="s">
        <v>136</v>
      </c>
      <c r="E4955" s="1" t="s">
        <v>33</v>
      </c>
      <c r="F4955" s="2" t="s">
        <v>2156</v>
      </c>
      <c r="G4955" s="1">
        <v>85.9</v>
      </c>
      <c r="H4955" s="1">
        <v>2</v>
      </c>
      <c r="I4955" s="1">
        <v>2.577</v>
      </c>
    </row>
    <row r="4956" spans="1:9" x14ac:dyDescent="0.35">
      <c r="A4956" s="3">
        <v>41888</v>
      </c>
      <c r="B4956" s="1" t="s">
        <v>547</v>
      </c>
      <c r="C4956" s="1" t="s">
        <v>1719</v>
      </c>
      <c r="D4956" s="1" t="s">
        <v>659</v>
      </c>
      <c r="E4956" s="1" t="s">
        <v>31</v>
      </c>
      <c r="F4956" s="2" t="s">
        <v>1186</v>
      </c>
      <c r="G4956" s="1">
        <v>18.059999999999999</v>
      </c>
      <c r="H4956" s="1">
        <v>7</v>
      </c>
      <c r="I4956" s="1">
        <v>4.6955999999999998</v>
      </c>
    </row>
    <row r="4957" spans="1:9" x14ac:dyDescent="0.35">
      <c r="A4957" s="3">
        <v>41888</v>
      </c>
      <c r="B4957" s="1" t="s">
        <v>547</v>
      </c>
      <c r="C4957" s="1" t="s">
        <v>1719</v>
      </c>
      <c r="D4957" s="1" t="s">
        <v>659</v>
      </c>
      <c r="E4957" s="1" t="s">
        <v>44</v>
      </c>
      <c r="F4957" s="2" t="s">
        <v>1603</v>
      </c>
      <c r="G4957" s="1">
        <v>79.14</v>
      </c>
      <c r="H4957" s="1">
        <v>3</v>
      </c>
      <c r="I4957" s="1">
        <v>36.404400000000003</v>
      </c>
    </row>
    <row r="4958" spans="1:9" x14ac:dyDescent="0.35">
      <c r="A4958" s="3">
        <v>41888</v>
      </c>
      <c r="B4958" s="1" t="s">
        <v>547</v>
      </c>
      <c r="C4958" s="1" t="s">
        <v>1719</v>
      </c>
      <c r="D4958" s="1" t="s">
        <v>659</v>
      </c>
      <c r="E4958" s="1" t="s">
        <v>29</v>
      </c>
      <c r="F4958" s="2" t="s">
        <v>2418</v>
      </c>
      <c r="G4958" s="1">
        <v>37.4</v>
      </c>
      <c r="H4958" s="1">
        <v>2</v>
      </c>
      <c r="I4958" s="1">
        <v>14.212</v>
      </c>
    </row>
    <row r="4959" spans="1:9" x14ac:dyDescent="0.35">
      <c r="A4959" s="3" t="s">
        <v>3601</v>
      </c>
      <c r="B4959" s="1" t="s">
        <v>1120</v>
      </c>
      <c r="C4959" s="1" t="s">
        <v>1779</v>
      </c>
      <c r="D4959" s="1" t="s">
        <v>52</v>
      </c>
      <c r="E4959" s="1" t="s">
        <v>35</v>
      </c>
      <c r="F4959" s="2" t="s">
        <v>2276</v>
      </c>
      <c r="G4959" s="1">
        <v>2.512</v>
      </c>
      <c r="H4959" s="1">
        <v>2</v>
      </c>
      <c r="I4959" s="1">
        <v>-4.3959999999999999</v>
      </c>
    </row>
    <row r="4960" spans="1:9" x14ac:dyDescent="0.35">
      <c r="A4960" s="3" t="s">
        <v>3601</v>
      </c>
      <c r="B4960" s="1" t="s">
        <v>1120</v>
      </c>
      <c r="C4960" s="1" t="s">
        <v>1779</v>
      </c>
      <c r="D4960" s="1" t="s">
        <v>52</v>
      </c>
      <c r="E4960" s="1" t="s">
        <v>137</v>
      </c>
      <c r="F4960" s="2" t="s">
        <v>281</v>
      </c>
      <c r="G4960" s="1">
        <v>18.864000000000001</v>
      </c>
      <c r="H4960" s="1">
        <v>9</v>
      </c>
      <c r="I4960" s="1">
        <v>6.1307999999999998</v>
      </c>
    </row>
    <row r="4961" spans="1:9" x14ac:dyDescent="0.35">
      <c r="A4961" s="3" t="s">
        <v>3182</v>
      </c>
      <c r="B4961" s="1" t="s">
        <v>1555</v>
      </c>
      <c r="C4961" s="1" t="s">
        <v>17</v>
      </c>
      <c r="D4961" s="1" t="s">
        <v>18</v>
      </c>
      <c r="E4961" s="1" t="s">
        <v>33</v>
      </c>
      <c r="F4961" s="2" t="s">
        <v>1813</v>
      </c>
      <c r="G4961" s="1">
        <v>61.192</v>
      </c>
      <c r="H4961" s="1">
        <v>1</v>
      </c>
      <c r="I4961" s="1">
        <v>6.1192000000000002</v>
      </c>
    </row>
    <row r="4962" spans="1:9" x14ac:dyDescent="0.35">
      <c r="A4962" s="3" t="s">
        <v>3182</v>
      </c>
      <c r="B4962" s="1" t="s">
        <v>1555</v>
      </c>
      <c r="C4962" s="1" t="s">
        <v>17</v>
      </c>
      <c r="D4962" s="1" t="s">
        <v>18</v>
      </c>
      <c r="E4962" s="1" t="s">
        <v>37</v>
      </c>
      <c r="F4962" s="2" t="s">
        <v>2541</v>
      </c>
      <c r="G4962" s="1">
        <v>67.84</v>
      </c>
      <c r="H4962" s="1">
        <v>1</v>
      </c>
      <c r="I4962" s="1">
        <v>18.316800000000001</v>
      </c>
    </row>
    <row r="4963" spans="1:9" x14ac:dyDescent="0.35">
      <c r="A4963" s="3">
        <v>41823</v>
      </c>
      <c r="B4963" s="1" t="s">
        <v>2852</v>
      </c>
      <c r="C4963" s="1" t="s">
        <v>47</v>
      </c>
      <c r="D4963" s="1" t="s">
        <v>48</v>
      </c>
      <c r="E4963" s="1" t="s">
        <v>14</v>
      </c>
      <c r="F4963" s="2" t="s">
        <v>435</v>
      </c>
      <c r="G4963" s="1">
        <v>48.712000000000003</v>
      </c>
      <c r="H4963" s="1">
        <v>1</v>
      </c>
      <c r="I4963" s="1">
        <v>5.4801000000000002</v>
      </c>
    </row>
    <row r="4964" spans="1:9" x14ac:dyDescent="0.35">
      <c r="A4964" s="3">
        <v>41823</v>
      </c>
      <c r="B4964" s="1" t="s">
        <v>2852</v>
      </c>
      <c r="C4964" s="1" t="s">
        <v>47</v>
      </c>
      <c r="D4964" s="1" t="s">
        <v>48</v>
      </c>
      <c r="E4964" s="1" t="s">
        <v>31</v>
      </c>
      <c r="F4964" s="2" t="s">
        <v>496</v>
      </c>
      <c r="G4964" s="1">
        <v>17.940000000000001</v>
      </c>
      <c r="H4964" s="1">
        <v>3</v>
      </c>
      <c r="I4964" s="1">
        <v>4.6643999999999997</v>
      </c>
    </row>
    <row r="4965" spans="1:9" x14ac:dyDescent="0.35">
      <c r="A4965" s="3">
        <v>41823</v>
      </c>
      <c r="B4965" s="1" t="s">
        <v>2852</v>
      </c>
      <c r="C4965" s="1" t="s">
        <v>47</v>
      </c>
      <c r="D4965" s="1" t="s">
        <v>48</v>
      </c>
      <c r="E4965" s="1" t="s">
        <v>26</v>
      </c>
      <c r="F4965" s="2" t="s">
        <v>1471</v>
      </c>
      <c r="G4965" s="1">
        <v>242.94</v>
      </c>
      <c r="H4965" s="1">
        <v>3</v>
      </c>
      <c r="I4965" s="1">
        <v>4.8587999999999996</v>
      </c>
    </row>
    <row r="4966" spans="1:9" x14ac:dyDescent="0.35">
      <c r="A4966" s="3" t="s">
        <v>3595</v>
      </c>
      <c r="B4966" s="1" t="s">
        <v>127</v>
      </c>
      <c r="C4966" s="1" t="s">
        <v>22</v>
      </c>
      <c r="D4966" s="1" t="s">
        <v>23</v>
      </c>
      <c r="E4966" s="1" t="s">
        <v>35</v>
      </c>
      <c r="F4966" s="2" t="s">
        <v>1103</v>
      </c>
      <c r="G4966" s="1">
        <v>7.7640000000000002</v>
      </c>
      <c r="H4966" s="1">
        <v>4</v>
      </c>
      <c r="I4966" s="1">
        <v>-5.1760000000000002</v>
      </c>
    </row>
    <row r="4967" spans="1:9" x14ac:dyDescent="0.35">
      <c r="A4967" s="3" t="s">
        <v>3572</v>
      </c>
      <c r="B4967" s="1" t="s">
        <v>1390</v>
      </c>
      <c r="C4967" s="1" t="s">
        <v>193</v>
      </c>
      <c r="D4967" s="1" t="s">
        <v>171</v>
      </c>
      <c r="E4967" s="1" t="s">
        <v>33</v>
      </c>
      <c r="F4967" s="2" t="s">
        <v>2135</v>
      </c>
      <c r="G4967" s="1">
        <v>467.04</v>
      </c>
      <c r="H4967" s="1">
        <v>4</v>
      </c>
      <c r="I4967" s="1">
        <v>58.38</v>
      </c>
    </row>
    <row r="4968" spans="1:9" x14ac:dyDescent="0.35">
      <c r="A4968" s="3">
        <v>42043</v>
      </c>
      <c r="B4968" s="1" t="s">
        <v>1889</v>
      </c>
      <c r="C4968" s="1" t="s">
        <v>1544</v>
      </c>
      <c r="D4968" s="1" t="s">
        <v>663</v>
      </c>
      <c r="E4968" s="1" t="s">
        <v>33</v>
      </c>
      <c r="F4968" s="2" t="s">
        <v>2156</v>
      </c>
      <c r="G4968" s="1">
        <v>128.85</v>
      </c>
      <c r="H4968" s="1">
        <v>3</v>
      </c>
      <c r="I4968" s="1">
        <v>3.8654999999999999</v>
      </c>
    </row>
    <row r="4969" spans="1:9" x14ac:dyDescent="0.35">
      <c r="A4969" s="3">
        <v>42043</v>
      </c>
      <c r="B4969" s="1" t="s">
        <v>1889</v>
      </c>
      <c r="C4969" s="1" t="s">
        <v>1544</v>
      </c>
      <c r="D4969" s="1" t="s">
        <v>663</v>
      </c>
      <c r="E4969" s="1" t="s">
        <v>44</v>
      </c>
      <c r="F4969" s="2" t="s">
        <v>1358</v>
      </c>
      <c r="G4969" s="1">
        <v>8.4</v>
      </c>
      <c r="H4969" s="1">
        <v>2</v>
      </c>
      <c r="I4969" s="1">
        <v>4.1159999999999997</v>
      </c>
    </row>
    <row r="4970" spans="1:9" x14ac:dyDescent="0.35">
      <c r="A4970" s="3">
        <v>42043</v>
      </c>
      <c r="B4970" s="1" t="s">
        <v>1889</v>
      </c>
      <c r="C4970" s="1" t="s">
        <v>1544</v>
      </c>
      <c r="D4970" s="1" t="s">
        <v>663</v>
      </c>
      <c r="E4970" s="1" t="s">
        <v>81</v>
      </c>
      <c r="F4970" s="2" t="s">
        <v>748</v>
      </c>
      <c r="G4970" s="1">
        <v>199.98</v>
      </c>
      <c r="H4970" s="1">
        <v>2</v>
      </c>
      <c r="I4970" s="1">
        <v>83.991600000000005</v>
      </c>
    </row>
    <row r="4971" spans="1:9" x14ac:dyDescent="0.35">
      <c r="A4971" s="3">
        <v>42043</v>
      </c>
      <c r="B4971" s="1" t="s">
        <v>1889</v>
      </c>
      <c r="C4971" s="1" t="s">
        <v>1544</v>
      </c>
      <c r="D4971" s="1" t="s">
        <v>663</v>
      </c>
      <c r="E4971" s="1" t="s">
        <v>14</v>
      </c>
      <c r="F4971" s="2" t="s">
        <v>1531</v>
      </c>
      <c r="G4971" s="1">
        <v>110.98</v>
      </c>
      <c r="H4971" s="1">
        <v>1</v>
      </c>
      <c r="I4971" s="1">
        <v>15.5372</v>
      </c>
    </row>
    <row r="4972" spans="1:9" x14ac:dyDescent="0.35">
      <c r="A4972" s="3">
        <v>42532</v>
      </c>
      <c r="B4972" s="1" t="s">
        <v>517</v>
      </c>
      <c r="C4972" s="1" t="s">
        <v>719</v>
      </c>
      <c r="D4972" s="1" t="s">
        <v>23</v>
      </c>
      <c r="E4972" s="1" t="s">
        <v>14</v>
      </c>
      <c r="F4972" s="2" t="s">
        <v>172</v>
      </c>
      <c r="G4972" s="1">
        <v>207.98400000000001</v>
      </c>
      <c r="H4972" s="1">
        <v>2</v>
      </c>
      <c r="I4972" s="1">
        <v>-28.597799999999999</v>
      </c>
    </row>
    <row r="4973" spans="1:9" x14ac:dyDescent="0.35">
      <c r="A4973" s="3">
        <v>42532</v>
      </c>
      <c r="B4973" s="1" t="s">
        <v>517</v>
      </c>
      <c r="C4973" s="1" t="s">
        <v>719</v>
      </c>
      <c r="D4973" s="1" t="s">
        <v>23</v>
      </c>
      <c r="E4973" s="1" t="s">
        <v>44</v>
      </c>
      <c r="F4973" s="2" t="s">
        <v>2386</v>
      </c>
      <c r="G4973" s="1">
        <v>36.112000000000002</v>
      </c>
      <c r="H4973" s="1">
        <v>2</v>
      </c>
      <c r="I4973" s="1">
        <v>12.639200000000001</v>
      </c>
    </row>
    <row r="4974" spans="1:9" x14ac:dyDescent="0.35">
      <c r="A4974" s="3">
        <v>42532</v>
      </c>
      <c r="B4974" s="1" t="s">
        <v>517</v>
      </c>
      <c r="C4974" s="1" t="s">
        <v>719</v>
      </c>
      <c r="D4974" s="1" t="s">
        <v>23</v>
      </c>
      <c r="E4974" s="1" t="s">
        <v>29</v>
      </c>
      <c r="F4974" s="2" t="s">
        <v>1130</v>
      </c>
      <c r="G4974" s="1">
        <v>35.567999999999998</v>
      </c>
      <c r="H4974" s="1">
        <v>2</v>
      </c>
      <c r="I4974" s="1">
        <v>5.7797999999999998</v>
      </c>
    </row>
    <row r="4975" spans="1:9" x14ac:dyDescent="0.35">
      <c r="A4975" s="3">
        <v>42532</v>
      </c>
      <c r="B4975" s="1" t="s">
        <v>517</v>
      </c>
      <c r="C4975" s="1" t="s">
        <v>719</v>
      </c>
      <c r="D4975" s="1" t="s">
        <v>23</v>
      </c>
      <c r="E4975" s="1" t="s">
        <v>44</v>
      </c>
      <c r="F4975" s="2" t="s">
        <v>761</v>
      </c>
      <c r="G4975" s="1">
        <v>88.768000000000001</v>
      </c>
      <c r="H4975" s="1">
        <v>2</v>
      </c>
      <c r="I4975" s="1">
        <v>31.0688</v>
      </c>
    </row>
    <row r="4976" spans="1:9" x14ac:dyDescent="0.35">
      <c r="A4976" s="3">
        <v>42562</v>
      </c>
      <c r="B4976" s="1" t="s">
        <v>1399</v>
      </c>
      <c r="C4976" s="1" t="s">
        <v>1061</v>
      </c>
      <c r="D4976" s="1" t="s">
        <v>18</v>
      </c>
      <c r="E4976" s="1" t="s">
        <v>44</v>
      </c>
      <c r="F4976" s="2" t="s">
        <v>2333</v>
      </c>
      <c r="G4976" s="1">
        <v>12.9</v>
      </c>
      <c r="H4976" s="1">
        <v>2</v>
      </c>
      <c r="I4976" s="1">
        <v>6.3209999999999997</v>
      </c>
    </row>
    <row r="4977" spans="1:9" x14ac:dyDescent="0.35">
      <c r="A4977" s="3" t="s">
        <v>3441</v>
      </c>
      <c r="B4977" s="1" t="s">
        <v>1228</v>
      </c>
      <c r="C4977" s="1" t="s">
        <v>719</v>
      </c>
      <c r="D4977" s="1" t="s">
        <v>23</v>
      </c>
      <c r="E4977" s="1" t="s">
        <v>81</v>
      </c>
      <c r="F4977" s="2" t="s">
        <v>1323</v>
      </c>
      <c r="G4977" s="1">
        <v>717.12</v>
      </c>
      <c r="H4977" s="1">
        <v>9</v>
      </c>
      <c r="I4977" s="1">
        <v>152.38800000000001</v>
      </c>
    </row>
    <row r="4978" spans="1:9" x14ac:dyDescent="0.35">
      <c r="A4978" s="3">
        <v>42197</v>
      </c>
      <c r="B4978" s="1" t="s">
        <v>477</v>
      </c>
      <c r="C4978" s="1" t="s">
        <v>135</v>
      </c>
      <c r="D4978" s="1" t="s">
        <v>136</v>
      </c>
      <c r="E4978" s="1" t="s">
        <v>35</v>
      </c>
      <c r="F4978" s="2" t="s">
        <v>1484</v>
      </c>
      <c r="G4978" s="1">
        <v>21.36</v>
      </c>
      <c r="H4978" s="1">
        <v>5</v>
      </c>
      <c r="I4978" s="1">
        <v>7.2089999999999996</v>
      </c>
    </row>
    <row r="4979" spans="1:9" x14ac:dyDescent="0.35">
      <c r="A4979" s="3">
        <v>42197</v>
      </c>
      <c r="B4979" s="1" t="s">
        <v>477</v>
      </c>
      <c r="C4979" s="1" t="s">
        <v>135</v>
      </c>
      <c r="D4979" s="1" t="s">
        <v>136</v>
      </c>
      <c r="E4979" s="1" t="s">
        <v>35</v>
      </c>
      <c r="F4979" s="2" t="s">
        <v>1379</v>
      </c>
      <c r="G4979" s="1">
        <v>6.6879999999999997</v>
      </c>
      <c r="H4979" s="1">
        <v>2</v>
      </c>
      <c r="I4979" s="1">
        <v>2.3408000000000002</v>
      </c>
    </row>
    <row r="4980" spans="1:9" x14ac:dyDescent="0.35">
      <c r="A4980" s="3">
        <v>42197</v>
      </c>
      <c r="B4980" s="1" t="s">
        <v>477</v>
      </c>
      <c r="C4980" s="1" t="s">
        <v>135</v>
      </c>
      <c r="D4980" s="1" t="s">
        <v>136</v>
      </c>
      <c r="E4980" s="1" t="s">
        <v>33</v>
      </c>
      <c r="F4980" s="2" t="s">
        <v>1609</v>
      </c>
      <c r="G4980" s="1">
        <v>773.94</v>
      </c>
      <c r="H4980" s="1">
        <v>6</v>
      </c>
      <c r="I4980" s="1">
        <v>224.4426</v>
      </c>
    </row>
    <row r="4981" spans="1:9" x14ac:dyDescent="0.35">
      <c r="A4981" s="3">
        <v>42625</v>
      </c>
      <c r="B4981" s="1" t="s">
        <v>1245</v>
      </c>
      <c r="C4981" s="1" t="s">
        <v>154</v>
      </c>
      <c r="D4981" s="1" t="s">
        <v>106</v>
      </c>
      <c r="E4981" s="1" t="s">
        <v>289</v>
      </c>
      <c r="F4981" s="2" t="s">
        <v>2075</v>
      </c>
      <c r="G4981" s="1">
        <v>20.568000000000001</v>
      </c>
      <c r="H4981" s="1">
        <v>3</v>
      </c>
      <c r="I4981" s="1">
        <v>1.5426</v>
      </c>
    </row>
    <row r="4982" spans="1:9" x14ac:dyDescent="0.35">
      <c r="A4982" s="3">
        <v>42625</v>
      </c>
      <c r="B4982" s="1" t="s">
        <v>1245</v>
      </c>
      <c r="C4982" s="1" t="s">
        <v>154</v>
      </c>
      <c r="D4982" s="1" t="s">
        <v>106</v>
      </c>
      <c r="E4982" s="1" t="s">
        <v>37</v>
      </c>
      <c r="F4982" s="2" t="s">
        <v>1559</v>
      </c>
      <c r="G4982" s="1">
        <v>4.3559999999999999</v>
      </c>
      <c r="H4982" s="1">
        <v>2</v>
      </c>
      <c r="I4982" s="1">
        <v>-11.761200000000001</v>
      </c>
    </row>
    <row r="4983" spans="1:9" x14ac:dyDescent="0.35">
      <c r="A4983" s="3">
        <v>42625</v>
      </c>
      <c r="B4983" s="1" t="s">
        <v>1245</v>
      </c>
      <c r="C4983" s="1" t="s">
        <v>154</v>
      </c>
      <c r="D4983" s="1" t="s">
        <v>106</v>
      </c>
      <c r="E4983" s="1" t="s">
        <v>81</v>
      </c>
      <c r="F4983" s="2" t="s">
        <v>2707</v>
      </c>
      <c r="G4983" s="1">
        <v>19.04</v>
      </c>
      <c r="H4983" s="1">
        <v>4</v>
      </c>
      <c r="I4983" s="1">
        <v>-1.4279999999999999</v>
      </c>
    </row>
    <row r="4984" spans="1:9" x14ac:dyDescent="0.35">
      <c r="A4984" s="3" t="s">
        <v>3449</v>
      </c>
      <c r="B4984" s="1" t="s">
        <v>1252</v>
      </c>
      <c r="C4984" s="1" t="s">
        <v>689</v>
      </c>
      <c r="D4984" s="1" t="s">
        <v>18</v>
      </c>
      <c r="E4984" s="1" t="s">
        <v>19</v>
      </c>
      <c r="F4984" s="2" t="s">
        <v>1231</v>
      </c>
      <c r="G4984" s="1">
        <v>5.22</v>
      </c>
      <c r="H4984" s="1">
        <v>2</v>
      </c>
      <c r="I4984" s="1">
        <v>2.4011999999999998</v>
      </c>
    </row>
    <row r="4985" spans="1:9" x14ac:dyDescent="0.35">
      <c r="A4985" s="3">
        <v>42532</v>
      </c>
      <c r="B4985" s="1" t="s">
        <v>46</v>
      </c>
      <c r="C4985" s="1" t="s">
        <v>461</v>
      </c>
      <c r="D4985" s="1" t="s">
        <v>18</v>
      </c>
      <c r="E4985" s="1" t="s">
        <v>26</v>
      </c>
      <c r="F4985" s="2" t="s">
        <v>201</v>
      </c>
      <c r="G4985" s="1">
        <v>84.84</v>
      </c>
      <c r="H4985" s="1">
        <v>3</v>
      </c>
      <c r="I4985" s="1">
        <v>22.9068</v>
      </c>
    </row>
    <row r="4986" spans="1:9" x14ac:dyDescent="0.35">
      <c r="A4986" s="3">
        <v>42164</v>
      </c>
      <c r="B4986" s="1" t="s">
        <v>1182</v>
      </c>
      <c r="C4986" s="1" t="s">
        <v>2272</v>
      </c>
      <c r="D4986" s="1" t="s">
        <v>171</v>
      </c>
      <c r="E4986" s="1" t="s">
        <v>137</v>
      </c>
      <c r="F4986" s="2" t="s">
        <v>1369</v>
      </c>
      <c r="G4986" s="1">
        <v>7.24</v>
      </c>
      <c r="H4986" s="1">
        <v>5</v>
      </c>
      <c r="I4986" s="1">
        <v>1.1765000000000001</v>
      </c>
    </row>
    <row r="4987" spans="1:9" x14ac:dyDescent="0.35">
      <c r="A4987" s="3">
        <v>41707</v>
      </c>
      <c r="B4987" s="1" t="s">
        <v>1340</v>
      </c>
      <c r="C4987" s="1" t="s">
        <v>135</v>
      </c>
      <c r="D4987" s="1" t="s">
        <v>136</v>
      </c>
      <c r="E4987" s="1" t="s">
        <v>19</v>
      </c>
      <c r="F4987" s="2" t="s">
        <v>1339</v>
      </c>
      <c r="G4987" s="1">
        <v>14.4</v>
      </c>
      <c r="H4987" s="1">
        <v>5</v>
      </c>
      <c r="I4987" s="1">
        <v>7.056</v>
      </c>
    </row>
    <row r="4988" spans="1:9" x14ac:dyDescent="0.35">
      <c r="A4988" s="3" t="s">
        <v>3354</v>
      </c>
      <c r="B4988" s="1" t="s">
        <v>2319</v>
      </c>
      <c r="C4988" s="1" t="s">
        <v>518</v>
      </c>
      <c r="D4988" s="1" t="s">
        <v>229</v>
      </c>
      <c r="E4988" s="1" t="s">
        <v>44</v>
      </c>
      <c r="F4988" s="2" t="s">
        <v>878</v>
      </c>
      <c r="G4988" s="1">
        <v>15.552</v>
      </c>
      <c r="H4988" s="1">
        <v>3</v>
      </c>
      <c r="I4988" s="1">
        <v>5.4432</v>
      </c>
    </row>
    <row r="4989" spans="1:9" x14ac:dyDescent="0.35">
      <c r="A4989" s="3" t="s">
        <v>3354</v>
      </c>
      <c r="B4989" s="1" t="s">
        <v>2319</v>
      </c>
      <c r="C4989" s="1" t="s">
        <v>518</v>
      </c>
      <c r="D4989" s="1" t="s">
        <v>229</v>
      </c>
      <c r="E4989" s="1" t="s">
        <v>14</v>
      </c>
      <c r="F4989" s="2" t="s">
        <v>341</v>
      </c>
      <c r="G4989" s="1">
        <v>1325.76</v>
      </c>
      <c r="H4989" s="1">
        <v>6</v>
      </c>
      <c r="I4989" s="1">
        <v>149.148</v>
      </c>
    </row>
    <row r="4990" spans="1:9" x14ac:dyDescent="0.35">
      <c r="A4990" s="3" t="s">
        <v>3354</v>
      </c>
      <c r="B4990" s="1" t="s">
        <v>2319</v>
      </c>
      <c r="C4990" s="1" t="s">
        <v>518</v>
      </c>
      <c r="D4990" s="1" t="s">
        <v>229</v>
      </c>
      <c r="E4990" s="1" t="s">
        <v>35</v>
      </c>
      <c r="F4990" s="2" t="s">
        <v>2495</v>
      </c>
      <c r="G4990" s="1">
        <v>3.1080000000000001</v>
      </c>
      <c r="H4990" s="1">
        <v>2</v>
      </c>
      <c r="I4990" s="1">
        <v>-2.1756000000000002</v>
      </c>
    </row>
    <row r="4991" spans="1:9" x14ac:dyDescent="0.35">
      <c r="A4991" s="3" t="s">
        <v>3268</v>
      </c>
      <c r="B4991" s="1" t="s">
        <v>2104</v>
      </c>
      <c r="C4991" s="1" t="s">
        <v>64</v>
      </c>
      <c r="D4991" s="1" t="s">
        <v>18</v>
      </c>
      <c r="E4991" s="1" t="s">
        <v>35</v>
      </c>
      <c r="F4991" s="2" t="s">
        <v>1301</v>
      </c>
      <c r="G4991" s="1">
        <v>6.6719999999999997</v>
      </c>
      <c r="H4991" s="1">
        <v>3</v>
      </c>
      <c r="I4991" s="1">
        <v>2.1684000000000001</v>
      </c>
    </row>
    <row r="4992" spans="1:9" x14ac:dyDescent="0.35">
      <c r="A4992" s="3" t="s">
        <v>3268</v>
      </c>
      <c r="B4992" s="1" t="s">
        <v>2104</v>
      </c>
      <c r="C4992" s="1" t="s">
        <v>64</v>
      </c>
      <c r="D4992" s="1" t="s">
        <v>18</v>
      </c>
      <c r="E4992" s="1" t="s">
        <v>33</v>
      </c>
      <c r="F4992" s="2" t="s">
        <v>2483</v>
      </c>
      <c r="G4992" s="1">
        <v>689.40800000000002</v>
      </c>
      <c r="H4992" s="1">
        <v>4</v>
      </c>
      <c r="I4992" s="1">
        <v>77.558400000000006</v>
      </c>
    </row>
    <row r="4993" spans="1:9" x14ac:dyDescent="0.35">
      <c r="A4993" s="3">
        <v>42928</v>
      </c>
      <c r="B4993" s="1" t="s">
        <v>1563</v>
      </c>
      <c r="C4993" s="1" t="s">
        <v>154</v>
      </c>
      <c r="D4993" s="1" t="s">
        <v>106</v>
      </c>
      <c r="E4993" s="1" t="s">
        <v>35</v>
      </c>
      <c r="F4993" s="2" t="s">
        <v>2703</v>
      </c>
      <c r="G4993" s="1">
        <v>1889.99</v>
      </c>
      <c r="H4993" s="1">
        <v>5</v>
      </c>
      <c r="I4993" s="1">
        <v>-2929.4845</v>
      </c>
    </row>
    <row r="4994" spans="1:9" x14ac:dyDescent="0.35">
      <c r="A4994" s="3" t="s">
        <v>3485</v>
      </c>
      <c r="B4994" s="1" t="s">
        <v>1829</v>
      </c>
      <c r="C4994" s="1" t="s">
        <v>170</v>
      </c>
      <c r="D4994" s="1" t="s">
        <v>171</v>
      </c>
      <c r="E4994" s="1" t="s">
        <v>87</v>
      </c>
      <c r="F4994" s="2" t="s">
        <v>1299</v>
      </c>
      <c r="G4994" s="1">
        <v>55.936</v>
      </c>
      <c r="H4994" s="1">
        <v>8</v>
      </c>
      <c r="I4994" s="1">
        <v>18.878399999999999</v>
      </c>
    </row>
    <row r="4995" spans="1:9" x14ac:dyDescent="0.35">
      <c r="A4995" s="3" t="s">
        <v>3485</v>
      </c>
      <c r="B4995" s="1" t="s">
        <v>1829</v>
      </c>
      <c r="C4995" s="1" t="s">
        <v>170</v>
      </c>
      <c r="D4995" s="1" t="s">
        <v>171</v>
      </c>
      <c r="E4995" s="1" t="s">
        <v>19</v>
      </c>
      <c r="F4995" s="2" t="s">
        <v>2045</v>
      </c>
      <c r="G4995" s="1">
        <v>18.431999999999999</v>
      </c>
      <c r="H4995" s="1">
        <v>8</v>
      </c>
      <c r="I4995" s="1">
        <v>5.9904000000000002</v>
      </c>
    </row>
    <row r="4996" spans="1:9" x14ac:dyDescent="0.35">
      <c r="A4996" s="3" t="s">
        <v>3485</v>
      </c>
      <c r="B4996" s="1" t="s">
        <v>1829</v>
      </c>
      <c r="C4996" s="1" t="s">
        <v>170</v>
      </c>
      <c r="D4996" s="1" t="s">
        <v>171</v>
      </c>
      <c r="E4996" s="1" t="s">
        <v>29</v>
      </c>
      <c r="F4996" s="2" t="s">
        <v>950</v>
      </c>
      <c r="G4996" s="1">
        <v>20.32</v>
      </c>
      <c r="H4996" s="1">
        <v>5</v>
      </c>
      <c r="I4996" s="1">
        <v>3.556</v>
      </c>
    </row>
    <row r="4997" spans="1:9" x14ac:dyDescent="0.35">
      <c r="A4997" s="3">
        <v>41740</v>
      </c>
      <c r="B4997" s="1" t="s">
        <v>1613</v>
      </c>
      <c r="C4997" s="1" t="s">
        <v>135</v>
      </c>
      <c r="D4997" s="1" t="s">
        <v>136</v>
      </c>
      <c r="E4997" s="1" t="s">
        <v>35</v>
      </c>
      <c r="F4997" s="2" t="s">
        <v>2540</v>
      </c>
      <c r="G4997" s="1">
        <v>52.064</v>
      </c>
      <c r="H4997" s="1">
        <v>4</v>
      </c>
      <c r="I4997" s="1">
        <v>18.873200000000001</v>
      </c>
    </row>
    <row r="4998" spans="1:9" x14ac:dyDescent="0.35">
      <c r="A4998" s="3">
        <v>43011</v>
      </c>
      <c r="B4998" s="1" t="s">
        <v>2847</v>
      </c>
      <c r="C4998" s="1" t="s">
        <v>1912</v>
      </c>
      <c r="D4998" s="1" t="s">
        <v>43</v>
      </c>
      <c r="E4998" s="1" t="s">
        <v>37</v>
      </c>
      <c r="F4998" s="2" t="s">
        <v>2853</v>
      </c>
      <c r="G4998" s="1">
        <v>48.783999999999999</v>
      </c>
      <c r="H4998" s="1">
        <v>1</v>
      </c>
      <c r="I4998" s="1">
        <v>3.6587999999999998</v>
      </c>
    </row>
    <row r="4999" spans="1:9" x14ac:dyDescent="0.35">
      <c r="A4999" s="3">
        <v>43011</v>
      </c>
      <c r="B4999" s="1" t="s">
        <v>2847</v>
      </c>
      <c r="C4999" s="1" t="s">
        <v>1912</v>
      </c>
      <c r="D4999" s="1" t="s">
        <v>43</v>
      </c>
      <c r="E4999" s="1" t="s">
        <v>35</v>
      </c>
      <c r="F4999" s="2" t="s">
        <v>1115</v>
      </c>
      <c r="G4999" s="1">
        <v>13.092000000000001</v>
      </c>
      <c r="H4999" s="1">
        <v>4</v>
      </c>
      <c r="I4999" s="1">
        <v>-10.0372</v>
      </c>
    </row>
    <row r="5000" spans="1:9" x14ac:dyDescent="0.35">
      <c r="A5000" s="3" t="s">
        <v>3602</v>
      </c>
      <c r="B5000" s="1" t="s">
        <v>1242</v>
      </c>
      <c r="C5000" s="1" t="s">
        <v>17</v>
      </c>
      <c r="D5000" s="1" t="s">
        <v>18</v>
      </c>
      <c r="E5000" s="1" t="s">
        <v>33</v>
      </c>
      <c r="F5000" s="2" t="s">
        <v>2580</v>
      </c>
      <c r="G5000" s="1">
        <v>109.592</v>
      </c>
      <c r="H5000" s="1">
        <v>1</v>
      </c>
      <c r="I5000" s="1">
        <v>8.2194000000000003</v>
      </c>
    </row>
    <row r="5001" spans="1:9" x14ac:dyDescent="0.35">
      <c r="A5001" s="3" t="s">
        <v>3602</v>
      </c>
      <c r="B5001" s="1" t="s">
        <v>1242</v>
      </c>
      <c r="C5001" s="1" t="s">
        <v>17</v>
      </c>
      <c r="D5001" s="1" t="s">
        <v>18</v>
      </c>
      <c r="E5001" s="1" t="s">
        <v>44</v>
      </c>
      <c r="F5001" s="2" t="s">
        <v>94</v>
      </c>
      <c r="G5001" s="1">
        <v>56.7</v>
      </c>
      <c r="H5001" s="1">
        <v>5</v>
      </c>
      <c r="I5001" s="1">
        <v>27.783000000000001</v>
      </c>
    </row>
    <row r="5002" spans="1:9" x14ac:dyDescent="0.35">
      <c r="A5002" s="3">
        <v>42921</v>
      </c>
      <c r="B5002" s="1" t="s">
        <v>594</v>
      </c>
      <c r="C5002" s="1" t="s">
        <v>17</v>
      </c>
      <c r="D5002" s="1" t="s">
        <v>18</v>
      </c>
      <c r="E5002" s="1" t="s">
        <v>81</v>
      </c>
      <c r="F5002" s="2" t="s">
        <v>1850</v>
      </c>
      <c r="G5002" s="1">
        <v>79.989999999999995</v>
      </c>
      <c r="H5002" s="1">
        <v>1</v>
      </c>
      <c r="I5002" s="1">
        <v>28.796399999999998</v>
      </c>
    </row>
    <row r="5003" spans="1:9" x14ac:dyDescent="0.35">
      <c r="A5003" s="3" t="s">
        <v>3603</v>
      </c>
      <c r="B5003" s="1" t="s">
        <v>987</v>
      </c>
      <c r="C5003" s="1" t="s">
        <v>2227</v>
      </c>
      <c r="D5003" s="1" t="s">
        <v>163</v>
      </c>
      <c r="E5003" s="1" t="s">
        <v>289</v>
      </c>
      <c r="F5003" s="2" t="s">
        <v>1993</v>
      </c>
      <c r="G5003" s="1">
        <v>69.5</v>
      </c>
      <c r="H5003" s="1">
        <v>5</v>
      </c>
      <c r="I5003" s="1">
        <v>20.155000000000001</v>
      </c>
    </row>
    <row r="5004" spans="1:9" x14ac:dyDescent="0.35">
      <c r="A5004" s="3" t="s">
        <v>3603</v>
      </c>
      <c r="B5004" s="1" t="s">
        <v>987</v>
      </c>
      <c r="C5004" s="1" t="s">
        <v>2227</v>
      </c>
      <c r="D5004" s="1" t="s">
        <v>163</v>
      </c>
      <c r="E5004" s="1" t="s">
        <v>44</v>
      </c>
      <c r="F5004" s="2" t="s">
        <v>295</v>
      </c>
      <c r="G5004" s="1">
        <v>191.6</v>
      </c>
      <c r="H5004" s="1">
        <v>4</v>
      </c>
      <c r="I5004" s="1">
        <v>91.968000000000004</v>
      </c>
    </row>
    <row r="5005" spans="1:9" x14ac:dyDescent="0.35">
      <c r="A5005" s="3">
        <v>42561</v>
      </c>
      <c r="B5005" s="1" t="s">
        <v>2514</v>
      </c>
      <c r="C5005" s="1" t="s">
        <v>17</v>
      </c>
      <c r="D5005" s="1" t="s">
        <v>18</v>
      </c>
      <c r="E5005" s="1" t="s">
        <v>44</v>
      </c>
      <c r="F5005" s="2" t="s">
        <v>2854</v>
      </c>
      <c r="G5005" s="1">
        <v>10.56</v>
      </c>
      <c r="H5005" s="1">
        <v>2</v>
      </c>
      <c r="I5005" s="1">
        <v>5.0688000000000004</v>
      </c>
    </row>
    <row r="5006" spans="1:9" x14ac:dyDescent="0.35">
      <c r="A5006" s="3" t="s">
        <v>3604</v>
      </c>
      <c r="B5006" s="1" t="s">
        <v>2205</v>
      </c>
      <c r="C5006" s="1" t="s">
        <v>167</v>
      </c>
      <c r="D5006" s="1" t="s">
        <v>704</v>
      </c>
      <c r="E5006" s="1" t="s">
        <v>81</v>
      </c>
      <c r="F5006" s="2" t="s">
        <v>2259</v>
      </c>
      <c r="G5006" s="1">
        <v>47.79</v>
      </c>
      <c r="H5006" s="1">
        <v>3</v>
      </c>
      <c r="I5006" s="1">
        <v>16.2486</v>
      </c>
    </row>
    <row r="5007" spans="1:9" x14ac:dyDescent="0.35">
      <c r="A5007" s="3">
        <v>42288</v>
      </c>
      <c r="B5007" s="1" t="s">
        <v>1054</v>
      </c>
      <c r="C5007" s="1" t="s">
        <v>693</v>
      </c>
      <c r="D5007" s="1" t="s">
        <v>129</v>
      </c>
      <c r="E5007" s="1" t="s">
        <v>26</v>
      </c>
      <c r="F5007" s="2" t="s">
        <v>717</v>
      </c>
      <c r="G5007" s="1">
        <v>714.3</v>
      </c>
      <c r="H5007" s="1">
        <v>5</v>
      </c>
      <c r="I5007" s="1">
        <v>207.14699999999999</v>
      </c>
    </row>
    <row r="5008" spans="1:9" x14ac:dyDescent="0.35">
      <c r="A5008" s="3">
        <v>42258</v>
      </c>
      <c r="B5008" s="1" t="s">
        <v>2363</v>
      </c>
      <c r="C5008" s="1" t="s">
        <v>135</v>
      </c>
      <c r="D5008" s="1" t="s">
        <v>136</v>
      </c>
      <c r="E5008" s="1" t="s">
        <v>338</v>
      </c>
      <c r="F5008" s="2" t="s">
        <v>2855</v>
      </c>
      <c r="G5008" s="1">
        <v>2321.9</v>
      </c>
      <c r="H5008" s="1">
        <v>2</v>
      </c>
      <c r="I5008" s="1">
        <v>1114.5119999999999</v>
      </c>
    </row>
    <row r="5009" spans="1:9" x14ac:dyDescent="0.35">
      <c r="A5009" s="3">
        <v>42258</v>
      </c>
      <c r="B5009" s="1" t="s">
        <v>2363</v>
      </c>
      <c r="C5009" s="1" t="s">
        <v>135</v>
      </c>
      <c r="D5009" s="1" t="s">
        <v>136</v>
      </c>
      <c r="E5009" s="1" t="s">
        <v>26</v>
      </c>
      <c r="F5009" s="2" t="s">
        <v>1984</v>
      </c>
      <c r="G5009" s="1">
        <v>17.940000000000001</v>
      </c>
      <c r="H5009" s="1">
        <v>3</v>
      </c>
      <c r="I5009" s="1">
        <v>3.0497999999999998</v>
      </c>
    </row>
    <row r="5010" spans="1:9" x14ac:dyDescent="0.35">
      <c r="A5010" s="3">
        <v>42194</v>
      </c>
      <c r="B5010" s="1" t="s">
        <v>2856</v>
      </c>
      <c r="C5010" s="1" t="s">
        <v>74</v>
      </c>
      <c r="D5010" s="1" t="s">
        <v>75</v>
      </c>
      <c r="E5010" s="1" t="s">
        <v>35</v>
      </c>
      <c r="F5010" s="2" t="s">
        <v>288</v>
      </c>
      <c r="G5010" s="1">
        <v>9.5220000000000002</v>
      </c>
      <c r="H5010" s="1">
        <v>1</v>
      </c>
      <c r="I5010" s="1">
        <v>-6.9828000000000001</v>
      </c>
    </row>
    <row r="5011" spans="1:9" x14ac:dyDescent="0.35">
      <c r="A5011" s="3">
        <v>42194</v>
      </c>
      <c r="B5011" s="1" t="s">
        <v>2856</v>
      </c>
      <c r="C5011" s="1" t="s">
        <v>74</v>
      </c>
      <c r="D5011" s="1" t="s">
        <v>75</v>
      </c>
      <c r="E5011" s="1" t="s">
        <v>33</v>
      </c>
      <c r="F5011" s="2" t="s">
        <v>765</v>
      </c>
      <c r="G5011" s="1">
        <v>791.96400000000006</v>
      </c>
      <c r="H5011" s="1">
        <v>6</v>
      </c>
      <c r="I5011" s="1">
        <v>-131.994</v>
      </c>
    </row>
    <row r="5012" spans="1:9" x14ac:dyDescent="0.35">
      <c r="A5012" s="3">
        <v>42194</v>
      </c>
      <c r="B5012" s="1" t="s">
        <v>2856</v>
      </c>
      <c r="C5012" s="1" t="s">
        <v>74</v>
      </c>
      <c r="D5012" s="1" t="s">
        <v>75</v>
      </c>
      <c r="E5012" s="1" t="s">
        <v>35</v>
      </c>
      <c r="F5012" s="2" t="s">
        <v>928</v>
      </c>
      <c r="G5012" s="1">
        <v>4.923</v>
      </c>
      <c r="H5012" s="1">
        <v>3</v>
      </c>
      <c r="I5012" s="1">
        <v>-3.9384000000000001</v>
      </c>
    </row>
    <row r="5013" spans="1:9" x14ac:dyDescent="0.35">
      <c r="A5013" s="3">
        <v>43044</v>
      </c>
      <c r="B5013" s="1" t="s">
        <v>1705</v>
      </c>
      <c r="C5013" s="1" t="s">
        <v>272</v>
      </c>
      <c r="D5013" s="1" t="s">
        <v>158</v>
      </c>
      <c r="E5013" s="1" t="s">
        <v>12</v>
      </c>
      <c r="F5013" s="2" t="s">
        <v>1512</v>
      </c>
      <c r="G5013" s="1">
        <v>209.97900000000001</v>
      </c>
      <c r="H5013" s="1">
        <v>7</v>
      </c>
      <c r="I5013" s="1">
        <v>-356.96429999999998</v>
      </c>
    </row>
    <row r="5014" spans="1:9" x14ac:dyDescent="0.35">
      <c r="A5014" s="3" t="s">
        <v>3528</v>
      </c>
      <c r="B5014" s="1" t="s">
        <v>2461</v>
      </c>
      <c r="C5014" s="1" t="s">
        <v>994</v>
      </c>
      <c r="D5014" s="1" t="s">
        <v>250</v>
      </c>
      <c r="E5014" s="1" t="s">
        <v>35</v>
      </c>
      <c r="F5014" s="2" t="s">
        <v>805</v>
      </c>
      <c r="G5014" s="1">
        <v>33.93</v>
      </c>
      <c r="H5014" s="1">
        <v>3</v>
      </c>
      <c r="I5014" s="1">
        <v>-22.62</v>
      </c>
    </row>
    <row r="5015" spans="1:9" x14ac:dyDescent="0.35">
      <c r="A5015" s="3" t="s">
        <v>3528</v>
      </c>
      <c r="B5015" s="1" t="s">
        <v>2461</v>
      </c>
      <c r="C5015" s="1" t="s">
        <v>994</v>
      </c>
      <c r="D5015" s="1" t="s">
        <v>250</v>
      </c>
      <c r="E5015" s="1" t="s">
        <v>26</v>
      </c>
      <c r="F5015" s="2" t="s">
        <v>2857</v>
      </c>
      <c r="G5015" s="1">
        <v>222.32</v>
      </c>
      <c r="H5015" s="1">
        <v>7</v>
      </c>
      <c r="I5015" s="1">
        <v>25.010999999999999</v>
      </c>
    </row>
    <row r="5016" spans="1:9" x14ac:dyDescent="0.35">
      <c r="A5016" s="3" t="s">
        <v>3528</v>
      </c>
      <c r="B5016" s="1" t="s">
        <v>2461</v>
      </c>
      <c r="C5016" s="1" t="s">
        <v>994</v>
      </c>
      <c r="D5016" s="1" t="s">
        <v>250</v>
      </c>
      <c r="E5016" s="1" t="s">
        <v>33</v>
      </c>
      <c r="F5016" s="2" t="s">
        <v>2858</v>
      </c>
      <c r="G5016" s="1">
        <v>210.56399999999999</v>
      </c>
      <c r="H5016" s="1">
        <v>6</v>
      </c>
      <c r="I5016" s="1">
        <v>-52.640999999999998</v>
      </c>
    </row>
    <row r="5017" spans="1:9" x14ac:dyDescent="0.35">
      <c r="A5017" s="3" t="s">
        <v>3459</v>
      </c>
      <c r="B5017" s="1" t="s">
        <v>1820</v>
      </c>
      <c r="C5017" s="1" t="s">
        <v>1256</v>
      </c>
      <c r="D5017" s="1" t="s">
        <v>250</v>
      </c>
      <c r="E5017" s="1" t="s">
        <v>29</v>
      </c>
      <c r="F5017" s="2" t="s">
        <v>402</v>
      </c>
      <c r="G5017" s="1">
        <v>35.167999999999999</v>
      </c>
      <c r="H5017" s="1">
        <v>7</v>
      </c>
      <c r="I5017" s="1">
        <v>9.6712000000000007</v>
      </c>
    </row>
    <row r="5018" spans="1:9" x14ac:dyDescent="0.35">
      <c r="A5018" s="3" t="s">
        <v>3459</v>
      </c>
      <c r="B5018" s="1" t="s">
        <v>1820</v>
      </c>
      <c r="C5018" s="1" t="s">
        <v>1256</v>
      </c>
      <c r="D5018" s="1" t="s">
        <v>250</v>
      </c>
      <c r="E5018" s="1" t="s">
        <v>33</v>
      </c>
      <c r="F5018" s="2" t="s">
        <v>2859</v>
      </c>
      <c r="G5018" s="1">
        <v>1502.376</v>
      </c>
      <c r="H5018" s="1">
        <v>4</v>
      </c>
      <c r="I5018" s="1">
        <v>-250.39599999999999</v>
      </c>
    </row>
    <row r="5019" spans="1:9" x14ac:dyDescent="0.35">
      <c r="A5019" s="3" t="s">
        <v>3183</v>
      </c>
      <c r="B5019" s="1" t="s">
        <v>2860</v>
      </c>
      <c r="C5019" s="1" t="s">
        <v>17</v>
      </c>
      <c r="D5019" s="1" t="s">
        <v>18</v>
      </c>
      <c r="E5019" s="1" t="s">
        <v>29</v>
      </c>
      <c r="F5019" s="2" t="s">
        <v>452</v>
      </c>
      <c r="G5019" s="1">
        <v>10.11</v>
      </c>
      <c r="H5019" s="1">
        <v>3</v>
      </c>
      <c r="I5019" s="1">
        <v>3.2351999999999999</v>
      </c>
    </row>
    <row r="5020" spans="1:9" x14ac:dyDescent="0.35">
      <c r="A5020" s="3" t="s">
        <v>3183</v>
      </c>
      <c r="B5020" s="1" t="s">
        <v>2860</v>
      </c>
      <c r="C5020" s="1" t="s">
        <v>17</v>
      </c>
      <c r="D5020" s="1" t="s">
        <v>18</v>
      </c>
      <c r="E5020" s="1" t="s">
        <v>81</v>
      </c>
      <c r="F5020" s="2" t="s">
        <v>442</v>
      </c>
      <c r="G5020" s="1">
        <v>772.47</v>
      </c>
      <c r="H5020" s="1">
        <v>3</v>
      </c>
      <c r="I5020" s="1">
        <v>146.76929999999999</v>
      </c>
    </row>
    <row r="5021" spans="1:9" x14ac:dyDescent="0.35">
      <c r="A5021" s="3" t="s">
        <v>3183</v>
      </c>
      <c r="B5021" s="1" t="s">
        <v>2860</v>
      </c>
      <c r="C5021" s="1" t="s">
        <v>17</v>
      </c>
      <c r="D5021" s="1" t="s">
        <v>18</v>
      </c>
      <c r="E5021" s="1" t="s">
        <v>289</v>
      </c>
      <c r="F5021" s="2" t="s">
        <v>1190</v>
      </c>
      <c r="G5021" s="1">
        <v>20.46</v>
      </c>
      <c r="H5021" s="1">
        <v>2</v>
      </c>
      <c r="I5021" s="1">
        <v>5.3196000000000003</v>
      </c>
    </row>
    <row r="5022" spans="1:9" x14ac:dyDescent="0.35">
      <c r="A5022" s="3" t="s">
        <v>3269</v>
      </c>
      <c r="B5022" s="1" t="s">
        <v>380</v>
      </c>
      <c r="C5022" s="1" t="s">
        <v>135</v>
      </c>
      <c r="D5022" s="1" t="s">
        <v>136</v>
      </c>
      <c r="E5022" s="1" t="s">
        <v>289</v>
      </c>
      <c r="F5022" s="2" t="s">
        <v>753</v>
      </c>
      <c r="G5022" s="1">
        <v>347.58</v>
      </c>
      <c r="H5022" s="1">
        <v>3</v>
      </c>
      <c r="I5022" s="1">
        <v>17.379000000000001</v>
      </c>
    </row>
    <row r="5023" spans="1:9" x14ac:dyDescent="0.35">
      <c r="A5023" s="3" t="s">
        <v>3406</v>
      </c>
      <c r="B5023" s="1" t="s">
        <v>770</v>
      </c>
      <c r="C5023" s="1" t="s">
        <v>461</v>
      </c>
      <c r="D5023" s="1" t="s">
        <v>18</v>
      </c>
      <c r="E5023" s="1" t="s">
        <v>81</v>
      </c>
      <c r="F5023" s="2" t="s">
        <v>862</v>
      </c>
      <c r="G5023" s="1">
        <v>72.64</v>
      </c>
      <c r="H5023" s="1">
        <v>2</v>
      </c>
      <c r="I5023" s="1">
        <v>21.792000000000002</v>
      </c>
    </row>
    <row r="5024" spans="1:9" x14ac:dyDescent="0.35">
      <c r="A5024" s="3" t="s">
        <v>3406</v>
      </c>
      <c r="B5024" s="1" t="s">
        <v>770</v>
      </c>
      <c r="C5024" s="1" t="s">
        <v>461</v>
      </c>
      <c r="D5024" s="1" t="s">
        <v>18</v>
      </c>
      <c r="E5024" s="1" t="s">
        <v>81</v>
      </c>
      <c r="F5024" s="2" t="s">
        <v>442</v>
      </c>
      <c r="G5024" s="1">
        <v>772.47</v>
      </c>
      <c r="H5024" s="1">
        <v>3</v>
      </c>
      <c r="I5024" s="1">
        <v>146.76929999999999</v>
      </c>
    </row>
    <row r="5025" spans="1:9" x14ac:dyDescent="0.35">
      <c r="A5025" s="3" t="s">
        <v>3406</v>
      </c>
      <c r="B5025" s="1" t="s">
        <v>770</v>
      </c>
      <c r="C5025" s="1" t="s">
        <v>461</v>
      </c>
      <c r="D5025" s="1" t="s">
        <v>18</v>
      </c>
      <c r="E5025" s="1" t="s">
        <v>29</v>
      </c>
      <c r="F5025" s="2" t="s">
        <v>2680</v>
      </c>
      <c r="G5025" s="1">
        <v>39.92</v>
      </c>
      <c r="H5025" s="1">
        <v>4</v>
      </c>
      <c r="I5025" s="1">
        <v>11.1776</v>
      </c>
    </row>
    <row r="5026" spans="1:9" x14ac:dyDescent="0.35">
      <c r="A5026" s="3" t="s">
        <v>3239</v>
      </c>
      <c r="B5026" s="1" t="s">
        <v>1079</v>
      </c>
      <c r="C5026" s="1" t="s">
        <v>1999</v>
      </c>
      <c r="D5026" s="1" t="s">
        <v>322</v>
      </c>
      <c r="E5026" s="1" t="s">
        <v>35</v>
      </c>
      <c r="F5026" s="2" t="s">
        <v>2656</v>
      </c>
      <c r="G5026" s="1">
        <v>33.479999999999997</v>
      </c>
      <c r="H5026" s="1">
        <v>2</v>
      </c>
      <c r="I5026" s="1">
        <v>16.405200000000001</v>
      </c>
    </row>
    <row r="5027" spans="1:9" x14ac:dyDescent="0.35">
      <c r="A5027" s="3" t="s">
        <v>3239</v>
      </c>
      <c r="B5027" s="1" t="s">
        <v>1079</v>
      </c>
      <c r="C5027" s="1" t="s">
        <v>1999</v>
      </c>
      <c r="D5027" s="1" t="s">
        <v>322</v>
      </c>
      <c r="E5027" s="1" t="s">
        <v>33</v>
      </c>
      <c r="F5027" s="2" t="s">
        <v>652</v>
      </c>
      <c r="G5027" s="1">
        <v>461.97</v>
      </c>
      <c r="H5027" s="1">
        <v>3</v>
      </c>
      <c r="I5027" s="1">
        <v>133.97130000000001</v>
      </c>
    </row>
    <row r="5028" spans="1:9" x14ac:dyDescent="0.35">
      <c r="A5028" s="3" t="s">
        <v>3239</v>
      </c>
      <c r="B5028" s="1" t="s">
        <v>1079</v>
      </c>
      <c r="C5028" s="1" t="s">
        <v>1999</v>
      </c>
      <c r="D5028" s="1" t="s">
        <v>322</v>
      </c>
      <c r="E5028" s="1" t="s">
        <v>37</v>
      </c>
      <c r="F5028" s="2" t="s">
        <v>53</v>
      </c>
      <c r="G5028" s="1">
        <v>137.62</v>
      </c>
      <c r="H5028" s="1">
        <v>2</v>
      </c>
      <c r="I5028" s="1">
        <v>60.552799999999998</v>
      </c>
    </row>
    <row r="5029" spans="1:9" x14ac:dyDescent="0.35">
      <c r="A5029" s="3" t="s">
        <v>3239</v>
      </c>
      <c r="B5029" s="1" t="s">
        <v>1079</v>
      </c>
      <c r="C5029" s="1" t="s">
        <v>1999</v>
      </c>
      <c r="D5029" s="1" t="s">
        <v>322</v>
      </c>
      <c r="E5029" s="1" t="s">
        <v>14</v>
      </c>
      <c r="F5029" s="2" t="s">
        <v>2861</v>
      </c>
      <c r="G5029" s="1">
        <v>302.67</v>
      </c>
      <c r="H5029" s="1">
        <v>3</v>
      </c>
      <c r="I5029" s="1">
        <v>72.640799999999999</v>
      </c>
    </row>
    <row r="5030" spans="1:9" x14ac:dyDescent="0.35">
      <c r="A5030" s="3">
        <v>41679</v>
      </c>
      <c r="B5030" s="1" t="s">
        <v>2194</v>
      </c>
      <c r="C5030" s="1" t="s">
        <v>154</v>
      </c>
      <c r="D5030" s="1" t="s">
        <v>106</v>
      </c>
      <c r="E5030" s="1" t="s">
        <v>81</v>
      </c>
      <c r="F5030" s="2" t="s">
        <v>1044</v>
      </c>
      <c r="G5030" s="1">
        <v>239.976</v>
      </c>
      <c r="H5030" s="1">
        <v>3</v>
      </c>
      <c r="I5030" s="1">
        <v>53.994599999999998</v>
      </c>
    </row>
    <row r="5031" spans="1:9" x14ac:dyDescent="0.35">
      <c r="A5031" s="3" t="s">
        <v>3470</v>
      </c>
      <c r="B5031" s="1" t="s">
        <v>1318</v>
      </c>
      <c r="C5031" s="1" t="s">
        <v>64</v>
      </c>
      <c r="D5031" s="1" t="s">
        <v>18</v>
      </c>
      <c r="E5031" s="1" t="s">
        <v>31</v>
      </c>
      <c r="F5031" s="2" t="s">
        <v>2456</v>
      </c>
      <c r="G5031" s="1">
        <v>8.34</v>
      </c>
      <c r="H5031" s="1">
        <v>3</v>
      </c>
      <c r="I5031" s="1">
        <v>2.1684000000000001</v>
      </c>
    </row>
    <row r="5032" spans="1:9" x14ac:dyDescent="0.35">
      <c r="A5032" s="3" t="s">
        <v>3470</v>
      </c>
      <c r="B5032" s="1" t="s">
        <v>1318</v>
      </c>
      <c r="C5032" s="1" t="s">
        <v>64</v>
      </c>
      <c r="D5032" s="1" t="s">
        <v>18</v>
      </c>
      <c r="E5032" s="1" t="s">
        <v>289</v>
      </c>
      <c r="F5032" s="2" t="s">
        <v>2075</v>
      </c>
      <c r="G5032" s="1">
        <v>8.57</v>
      </c>
      <c r="H5032" s="1">
        <v>1</v>
      </c>
      <c r="I5032" s="1">
        <v>2.2282000000000002</v>
      </c>
    </row>
    <row r="5033" spans="1:9" x14ac:dyDescent="0.35">
      <c r="A5033" s="3" t="s">
        <v>3470</v>
      </c>
      <c r="B5033" s="1" t="s">
        <v>1318</v>
      </c>
      <c r="C5033" s="1" t="s">
        <v>64</v>
      </c>
      <c r="D5033" s="1" t="s">
        <v>18</v>
      </c>
      <c r="E5033" s="1" t="s">
        <v>35</v>
      </c>
      <c r="F5033" s="2" t="s">
        <v>800</v>
      </c>
      <c r="G5033" s="1">
        <v>119.616</v>
      </c>
      <c r="H5033" s="1">
        <v>8</v>
      </c>
      <c r="I5033" s="1">
        <v>40.370399999999997</v>
      </c>
    </row>
    <row r="5034" spans="1:9" x14ac:dyDescent="0.35">
      <c r="A5034" s="3" t="s">
        <v>3378</v>
      </c>
      <c r="B5034" s="1" t="s">
        <v>722</v>
      </c>
      <c r="C5034" s="1" t="s">
        <v>1680</v>
      </c>
      <c r="D5034" s="1" t="s">
        <v>388</v>
      </c>
      <c r="E5034" s="1" t="s">
        <v>14</v>
      </c>
      <c r="F5034" s="2" t="s">
        <v>144</v>
      </c>
      <c r="G5034" s="1">
        <v>212.94</v>
      </c>
      <c r="H5034" s="1">
        <v>3</v>
      </c>
      <c r="I5034" s="1">
        <v>25.552800000000001</v>
      </c>
    </row>
    <row r="5035" spans="1:9" x14ac:dyDescent="0.35">
      <c r="A5035" s="3" t="s">
        <v>3378</v>
      </c>
      <c r="B5035" s="1" t="s">
        <v>722</v>
      </c>
      <c r="C5035" s="1" t="s">
        <v>1680</v>
      </c>
      <c r="D5035" s="1" t="s">
        <v>388</v>
      </c>
      <c r="E5035" s="1" t="s">
        <v>37</v>
      </c>
      <c r="F5035" s="2" t="s">
        <v>2118</v>
      </c>
      <c r="G5035" s="1">
        <v>26.49</v>
      </c>
      <c r="H5035" s="1">
        <v>1</v>
      </c>
      <c r="I5035" s="1">
        <v>7.4172000000000002</v>
      </c>
    </row>
    <row r="5036" spans="1:9" x14ac:dyDescent="0.35">
      <c r="A5036" s="3">
        <v>42255</v>
      </c>
      <c r="B5036" s="1" t="s">
        <v>1332</v>
      </c>
      <c r="C5036" s="1" t="s">
        <v>1147</v>
      </c>
      <c r="D5036" s="1" t="s">
        <v>57</v>
      </c>
      <c r="E5036" s="1" t="s">
        <v>12</v>
      </c>
      <c r="F5036" s="2" t="s">
        <v>2762</v>
      </c>
      <c r="G5036" s="1">
        <v>687.4</v>
      </c>
      <c r="H5036" s="1">
        <v>5</v>
      </c>
      <c r="I5036" s="1">
        <v>48.118000000000002</v>
      </c>
    </row>
    <row r="5037" spans="1:9" x14ac:dyDescent="0.35">
      <c r="A5037" s="3">
        <v>41794</v>
      </c>
      <c r="B5037" s="1" t="s">
        <v>2180</v>
      </c>
      <c r="C5037" s="1" t="s">
        <v>47</v>
      </c>
      <c r="D5037" s="1" t="s">
        <v>48</v>
      </c>
      <c r="E5037" s="1" t="s">
        <v>24</v>
      </c>
      <c r="F5037" s="2" t="s">
        <v>997</v>
      </c>
      <c r="G5037" s="1">
        <v>653.54999999999995</v>
      </c>
      <c r="H5037" s="1">
        <v>3</v>
      </c>
      <c r="I5037" s="1">
        <v>111.1035</v>
      </c>
    </row>
    <row r="5038" spans="1:9" x14ac:dyDescent="0.35">
      <c r="A5038" s="3">
        <v>41794</v>
      </c>
      <c r="B5038" s="1" t="s">
        <v>2180</v>
      </c>
      <c r="C5038" s="1" t="s">
        <v>47</v>
      </c>
      <c r="D5038" s="1" t="s">
        <v>48</v>
      </c>
      <c r="E5038" s="1" t="s">
        <v>81</v>
      </c>
      <c r="F5038" s="2" t="s">
        <v>1156</v>
      </c>
      <c r="G5038" s="1">
        <v>33.9</v>
      </c>
      <c r="H5038" s="1">
        <v>2</v>
      </c>
      <c r="I5038" s="1">
        <v>2.0339999999999998</v>
      </c>
    </row>
    <row r="5039" spans="1:9" x14ac:dyDescent="0.35">
      <c r="A5039" s="3" t="s">
        <v>3272</v>
      </c>
      <c r="B5039" s="1" t="s">
        <v>1060</v>
      </c>
      <c r="C5039" s="1" t="s">
        <v>105</v>
      </c>
      <c r="D5039" s="1" t="s">
        <v>106</v>
      </c>
      <c r="E5039" s="1" t="s">
        <v>81</v>
      </c>
      <c r="F5039" s="2" t="s">
        <v>1066</v>
      </c>
      <c r="G5039" s="1">
        <v>239.96</v>
      </c>
      <c r="H5039" s="1">
        <v>5</v>
      </c>
      <c r="I5039" s="1">
        <v>83.986000000000004</v>
      </c>
    </row>
    <row r="5040" spans="1:9" x14ac:dyDescent="0.35">
      <c r="A5040" s="3">
        <v>42315</v>
      </c>
      <c r="B5040" s="1" t="s">
        <v>1705</v>
      </c>
      <c r="C5040" s="1" t="s">
        <v>261</v>
      </c>
      <c r="D5040" s="1" t="s">
        <v>124</v>
      </c>
      <c r="E5040" s="1" t="s">
        <v>24</v>
      </c>
      <c r="F5040" s="2" t="s">
        <v>1244</v>
      </c>
      <c r="G5040" s="1">
        <v>199.83600000000001</v>
      </c>
      <c r="H5040" s="1">
        <v>4</v>
      </c>
      <c r="I5040" s="1">
        <v>-37.112400000000001</v>
      </c>
    </row>
    <row r="5041" spans="1:9" x14ac:dyDescent="0.35">
      <c r="A5041" s="3">
        <v>42315</v>
      </c>
      <c r="B5041" s="1" t="s">
        <v>1705</v>
      </c>
      <c r="C5041" s="1" t="s">
        <v>261</v>
      </c>
      <c r="D5041" s="1" t="s">
        <v>124</v>
      </c>
      <c r="E5041" s="1" t="s">
        <v>33</v>
      </c>
      <c r="F5041" s="2" t="s">
        <v>1865</v>
      </c>
      <c r="G5041" s="1">
        <v>716</v>
      </c>
      <c r="H5041" s="1">
        <v>2</v>
      </c>
      <c r="I5041" s="1">
        <v>193.32</v>
      </c>
    </row>
    <row r="5042" spans="1:9" x14ac:dyDescent="0.35">
      <c r="A5042" s="3">
        <v>42315</v>
      </c>
      <c r="B5042" s="1" t="s">
        <v>1705</v>
      </c>
      <c r="C5042" s="1" t="s">
        <v>261</v>
      </c>
      <c r="D5042" s="1" t="s">
        <v>124</v>
      </c>
      <c r="E5042" s="1" t="s">
        <v>35</v>
      </c>
      <c r="F5042" s="2" t="s">
        <v>660</v>
      </c>
      <c r="G5042" s="1">
        <v>221.06</v>
      </c>
      <c r="H5042" s="1">
        <v>7</v>
      </c>
      <c r="I5042" s="1">
        <v>103.8982</v>
      </c>
    </row>
    <row r="5043" spans="1:9" x14ac:dyDescent="0.35">
      <c r="A5043" s="3">
        <v>42654</v>
      </c>
      <c r="B5043" s="1" t="s">
        <v>1718</v>
      </c>
      <c r="C5043" s="1" t="s">
        <v>17</v>
      </c>
      <c r="D5043" s="1" t="s">
        <v>18</v>
      </c>
      <c r="E5043" s="1" t="s">
        <v>44</v>
      </c>
      <c r="F5043" s="2" t="s">
        <v>2386</v>
      </c>
      <c r="G5043" s="1">
        <v>67.709999999999994</v>
      </c>
      <c r="H5043" s="1">
        <v>3</v>
      </c>
      <c r="I5043" s="1">
        <v>32.500799999999998</v>
      </c>
    </row>
    <row r="5044" spans="1:9" x14ac:dyDescent="0.35">
      <c r="A5044" s="3">
        <v>42654</v>
      </c>
      <c r="B5044" s="1" t="s">
        <v>1718</v>
      </c>
      <c r="C5044" s="1" t="s">
        <v>17</v>
      </c>
      <c r="D5044" s="1" t="s">
        <v>18</v>
      </c>
      <c r="E5044" s="1" t="s">
        <v>37</v>
      </c>
      <c r="F5044" s="2" t="s">
        <v>1353</v>
      </c>
      <c r="G5044" s="1">
        <v>129.91999999999999</v>
      </c>
      <c r="H5044" s="1">
        <v>4</v>
      </c>
      <c r="I5044" s="1">
        <v>38.975999999999999</v>
      </c>
    </row>
    <row r="5045" spans="1:9" x14ac:dyDescent="0.35">
      <c r="A5045" s="3">
        <v>42654</v>
      </c>
      <c r="B5045" s="1" t="s">
        <v>1718</v>
      </c>
      <c r="C5045" s="1" t="s">
        <v>17</v>
      </c>
      <c r="D5045" s="1" t="s">
        <v>18</v>
      </c>
      <c r="E5045" s="1" t="s">
        <v>29</v>
      </c>
      <c r="F5045" s="2" t="s">
        <v>1198</v>
      </c>
      <c r="G5045" s="1">
        <v>467.46</v>
      </c>
      <c r="H5045" s="1">
        <v>9</v>
      </c>
      <c r="I5045" s="1">
        <v>191.65860000000001</v>
      </c>
    </row>
    <row r="5046" spans="1:9" x14ac:dyDescent="0.35">
      <c r="A5046" s="3">
        <v>42654</v>
      </c>
      <c r="B5046" s="1" t="s">
        <v>1718</v>
      </c>
      <c r="C5046" s="1" t="s">
        <v>17</v>
      </c>
      <c r="D5046" s="1" t="s">
        <v>18</v>
      </c>
      <c r="E5046" s="1" t="s">
        <v>44</v>
      </c>
      <c r="F5046" s="2" t="s">
        <v>2727</v>
      </c>
      <c r="G5046" s="1">
        <v>61.4</v>
      </c>
      <c r="H5046" s="1">
        <v>5</v>
      </c>
      <c r="I5046" s="1">
        <v>28.858000000000001</v>
      </c>
    </row>
    <row r="5047" spans="1:9" x14ac:dyDescent="0.35">
      <c r="A5047" s="3">
        <v>42654</v>
      </c>
      <c r="B5047" s="1" t="s">
        <v>1718</v>
      </c>
      <c r="C5047" s="1" t="s">
        <v>17</v>
      </c>
      <c r="D5047" s="1" t="s">
        <v>18</v>
      </c>
      <c r="E5047" s="1" t="s">
        <v>26</v>
      </c>
      <c r="F5047" s="2" t="s">
        <v>1269</v>
      </c>
      <c r="G5047" s="1">
        <v>720.76</v>
      </c>
      <c r="H5047" s="1">
        <v>4</v>
      </c>
      <c r="I5047" s="1">
        <v>187.39760000000001</v>
      </c>
    </row>
    <row r="5048" spans="1:9" x14ac:dyDescent="0.35">
      <c r="A5048" s="3">
        <v>42654</v>
      </c>
      <c r="B5048" s="1" t="s">
        <v>1718</v>
      </c>
      <c r="C5048" s="1" t="s">
        <v>17</v>
      </c>
      <c r="D5048" s="1" t="s">
        <v>18</v>
      </c>
      <c r="E5048" s="1" t="s">
        <v>35</v>
      </c>
      <c r="F5048" s="2" t="s">
        <v>1470</v>
      </c>
      <c r="G5048" s="1">
        <v>5.1840000000000002</v>
      </c>
      <c r="H5048" s="1">
        <v>3</v>
      </c>
      <c r="I5048" s="1">
        <v>1.8144</v>
      </c>
    </row>
    <row r="5049" spans="1:9" x14ac:dyDescent="0.35">
      <c r="A5049" s="3">
        <v>42654</v>
      </c>
      <c r="B5049" s="1" t="s">
        <v>1718</v>
      </c>
      <c r="C5049" s="1" t="s">
        <v>17</v>
      </c>
      <c r="D5049" s="1" t="s">
        <v>18</v>
      </c>
      <c r="E5049" s="1" t="s">
        <v>31</v>
      </c>
      <c r="F5049" s="2" t="s">
        <v>2712</v>
      </c>
      <c r="G5049" s="1">
        <v>14.7</v>
      </c>
      <c r="H5049" s="1">
        <v>5</v>
      </c>
      <c r="I5049" s="1">
        <v>3.9689999999999999</v>
      </c>
    </row>
    <row r="5050" spans="1:9" x14ac:dyDescent="0.35">
      <c r="A5050" s="3" t="s">
        <v>3585</v>
      </c>
      <c r="B5050" s="1" t="s">
        <v>2705</v>
      </c>
      <c r="C5050" s="1" t="s">
        <v>154</v>
      </c>
      <c r="D5050" s="1" t="s">
        <v>106</v>
      </c>
      <c r="E5050" s="1" t="s">
        <v>35</v>
      </c>
      <c r="F5050" s="2" t="s">
        <v>1215</v>
      </c>
      <c r="G5050" s="1">
        <v>8.1340000000000003</v>
      </c>
      <c r="H5050" s="1">
        <v>7</v>
      </c>
      <c r="I5050" s="1">
        <v>-13.8278</v>
      </c>
    </row>
    <row r="5051" spans="1:9" x14ac:dyDescent="0.35">
      <c r="A5051" s="3" t="s">
        <v>3585</v>
      </c>
      <c r="B5051" s="1" t="s">
        <v>2705</v>
      </c>
      <c r="C5051" s="1" t="s">
        <v>154</v>
      </c>
      <c r="D5051" s="1" t="s">
        <v>106</v>
      </c>
      <c r="E5051" s="1" t="s">
        <v>81</v>
      </c>
      <c r="F5051" s="2" t="s">
        <v>1139</v>
      </c>
      <c r="G5051" s="1">
        <v>79.983999999999995</v>
      </c>
      <c r="H5051" s="1">
        <v>2</v>
      </c>
      <c r="I5051" s="1">
        <v>13.997199999999999</v>
      </c>
    </row>
    <row r="5052" spans="1:9" x14ac:dyDescent="0.35">
      <c r="A5052" s="3" t="s">
        <v>3441</v>
      </c>
      <c r="B5052" s="1" t="s">
        <v>594</v>
      </c>
      <c r="C5052" s="1" t="s">
        <v>651</v>
      </c>
      <c r="D5052" s="1" t="s">
        <v>48</v>
      </c>
      <c r="E5052" s="1" t="s">
        <v>44</v>
      </c>
      <c r="F5052" s="2" t="s">
        <v>2136</v>
      </c>
      <c r="G5052" s="1">
        <v>18.54</v>
      </c>
      <c r="H5052" s="1">
        <v>2</v>
      </c>
      <c r="I5052" s="1">
        <v>8.7138000000000009</v>
      </c>
    </row>
    <row r="5053" spans="1:9" x14ac:dyDescent="0.35">
      <c r="A5053" s="3">
        <v>42196</v>
      </c>
      <c r="B5053" s="1" t="s">
        <v>841</v>
      </c>
      <c r="C5053" s="1" t="s">
        <v>74</v>
      </c>
      <c r="D5053" s="1" t="s">
        <v>75</v>
      </c>
      <c r="E5053" s="1" t="s">
        <v>87</v>
      </c>
      <c r="F5053" s="2" t="s">
        <v>696</v>
      </c>
      <c r="G5053" s="1">
        <v>24.4</v>
      </c>
      <c r="H5053" s="1">
        <v>2</v>
      </c>
      <c r="I5053" s="1">
        <v>7.93</v>
      </c>
    </row>
    <row r="5054" spans="1:9" x14ac:dyDescent="0.35">
      <c r="A5054" s="3" t="s">
        <v>3279</v>
      </c>
      <c r="B5054" s="1" t="s">
        <v>1946</v>
      </c>
      <c r="C5054" s="1" t="s">
        <v>811</v>
      </c>
      <c r="D5054" s="1" t="s">
        <v>604</v>
      </c>
      <c r="E5054" s="1" t="s">
        <v>44</v>
      </c>
      <c r="F5054" s="2" t="s">
        <v>1931</v>
      </c>
      <c r="G5054" s="1">
        <v>195.64</v>
      </c>
      <c r="H5054" s="1">
        <v>4</v>
      </c>
      <c r="I5054" s="1">
        <v>91.950800000000001</v>
      </c>
    </row>
    <row r="5055" spans="1:9" x14ac:dyDescent="0.35">
      <c r="A5055" s="3">
        <v>42064</v>
      </c>
      <c r="B5055" s="1" t="s">
        <v>2713</v>
      </c>
      <c r="C5055" s="1" t="s">
        <v>399</v>
      </c>
      <c r="D5055" s="1" t="s">
        <v>52</v>
      </c>
      <c r="E5055" s="1" t="s">
        <v>81</v>
      </c>
      <c r="F5055" s="2" t="s">
        <v>1323</v>
      </c>
      <c r="G5055" s="1">
        <v>398.4</v>
      </c>
      <c r="H5055" s="1">
        <v>5</v>
      </c>
      <c r="I5055" s="1">
        <v>84.66</v>
      </c>
    </row>
    <row r="5056" spans="1:9" x14ac:dyDescent="0.35">
      <c r="A5056" s="3">
        <v>42064</v>
      </c>
      <c r="B5056" s="1" t="s">
        <v>2713</v>
      </c>
      <c r="C5056" s="1" t="s">
        <v>399</v>
      </c>
      <c r="D5056" s="1" t="s">
        <v>52</v>
      </c>
      <c r="E5056" s="1" t="s">
        <v>31</v>
      </c>
      <c r="F5056" s="2" t="s">
        <v>821</v>
      </c>
      <c r="G5056" s="1">
        <v>7.056</v>
      </c>
      <c r="H5056" s="1">
        <v>3</v>
      </c>
      <c r="I5056" s="1">
        <v>0.79379999999999995</v>
      </c>
    </row>
    <row r="5057" spans="1:9" x14ac:dyDescent="0.35">
      <c r="A5057" s="3">
        <v>42064</v>
      </c>
      <c r="B5057" s="1" t="s">
        <v>2713</v>
      </c>
      <c r="C5057" s="1" t="s">
        <v>399</v>
      </c>
      <c r="D5057" s="1" t="s">
        <v>52</v>
      </c>
      <c r="E5057" s="1" t="s">
        <v>12</v>
      </c>
      <c r="F5057" s="2" t="s">
        <v>1036</v>
      </c>
      <c r="G5057" s="1">
        <v>1352.3976</v>
      </c>
      <c r="H5057" s="1">
        <v>9</v>
      </c>
      <c r="I5057" s="1">
        <v>-437.54039999999998</v>
      </c>
    </row>
    <row r="5058" spans="1:9" x14ac:dyDescent="0.35">
      <c r="A5058" s="3">
        <v>42225</v>
      </c>
      <c r="B5058" s="1" t="s">
        <v>1407</v>
      </c>
      <c r="C5058" s="1" t="s">
        <v>2862</v>
      </c>
      <c r="D5058" s="1" t="s">
        <v>18</v>
      </c>
      <c r="E5058" s="1" t="s">
        <v>44</v>
      </c>
      <c r="F5058" s="2" t="s">
        <v>2678</v>
      </c>
      <c r="G5058" s="1">
        <v>26.4</v>
      </c>
      <c r="H5058" s="1">
        <v>5</v>
      </c>
      <c r="I5058" s="1">
        <v>11.88</v>
      </c>
    </row>
    <row r="5059" spans="1:9" x14ac:dyDescent="0.35">
      <c r="A5059" s="3">
        <v>42225</v>
      </c>
      <c r="B5059" s="1" t="s">
        <v>1407</v>
      </c>
      <c r="C5059" s="1" t="s">
        <v>2862</v>
      </c>
      <c r="D5059" s="1" t="s">
        <v>18</v>
      </c>
      <c r="E5059" s="1" t="s">
        <v>26</v>
      </c>
      <c r="F5059" s="2" t="s">
        <v>1216</v>
      </c>
      <c r="G5059" s="1">
        <v>41.88</v>
      </c>
      <c r="H5059" s="1">
        <v>6</v>
      </c>
      <c r="I5059" s="1">
        <v>0.83760000000000001</v>
      </c>
    </row>
    <row r="5060" spans="1:9" x14ac:dyDescent="0.35">
      <c r="A5060" s="3">
        <v>42433</v>
      </c>
      <c r="B5060" s="1" t="s">
        <v>899</v>
      </c>
      <c r="C5060" s="1" t="s">
        <v>74</v>
      </c>
      <c r="D5060" s="1" t="s">
        <v>75</v>
      </c>
      <c r="E5060" s="1" t="s">
        <v>35</v>
      </c>
      <c r="F5060" s="2" t="s">
        <v>1370</v>
      </c>
      <c r="G5060" s="1">
        <v>99.846000000000004</v>
      </c>
      <c r="H5060" s="1">
        <v>9</v>
      </c>
      <c r="I5060" s="1">
        <v>-83.204999999999998</v>
      </c>
    </row>
    <row r="5061" spans="1:9" x14ac:dyDescent="0.35">
      <c r="A5061" s="3">
        <v>42502</v>
      </c>
      <c r="B5061" s="1" t="s">
        <v>919</v>
      </c>
      <c r="C5061" s="1" t="s">
        <v>2863</v>
      </c>
      <c r="D5061" s="1" t="s">
        <v>11</v>
      </c>
      <c r="E5061" s="1" t="s">
        <v>33</v>
      </c>
      <c r="F5061" s="2" t="s">
        <v>1297</v>
      </c>
      <c r="G5061" s="1">
        <v>699.98</v>
      </c>
      <c r="H5061" s="1">
        <v>2</v>
      </c>
      <c r="I5061" s="1">
        <v>195.99440000000001</v>
      </c>
    </row>
    <row r="5062" spans="1:9" x14ac:dyDescent="0.35">
      <c r="A5062" s="3">
        <v>42502</v>
      </c>
      <c r="B5062" s="1" t="s">
        <v>919</v>
      </c>
      <c r="C5062" s="1" t="s">
        <v>2863</v>
      </c>
      <c r="D5062" s="1" t="s">
        <v>11</v>
      </c>
      <c r="E5062" s="1" t="s">
        <v>26</v>
      </c>
      <c r="F5062" s="2" t="s">
        <v>726</v>
      </c>
      <c r="G5062" s="1">
        <v>584.82000000000005</v>
      </c>
      <c r="H5062" s="1">
        <v>9</v>
      </c>
      <c r="I5062" s="1">
        <v>70.178399999999996</v>
      </c>
    </row>
    <row r="5063" spans="1:9" x14ac:dyDescent="0.35">
      <c r="A5063" s="3">
        <v>42221</v>
      </c>
      <c r="B5063" s="1" t="s">
        <v>1281</v>
      </c>
      <c r="C5063" s="1" t="s">
        <v>206</v>
      </c>
      <c r="D5063" s="1" t="s">
        <v>115</v>
      </c>
      <c r="E5063" s="1" t="s">
        <v>35</v>
      </c>
      <c r="F5063" s="2" t="s">
        <v>1237</v>
      </c>
      <c r="G5063" s="1">
        <v>43.98</v>
      </c>
      <c r="H5063" s="1">
        <v>2</v>
      </c>
      <c r="I5063" s="1">
        <v>21.99</v>
      </c>
    </row>
    <row r="5064" spans="1:9" x14ac:dyDescent="0.35">
      <c r="A5064" s="3">
        <v>42221</v>
      </c>
      <c r="B5064" s="1" t="s">
        <v>1281</v>
      </c>
      <c r="C5064" s="1" t="s">
        <v>206</v>
      </c>
      <c r="D5064" s="1" t="s">
        <v>115</v>
      </c>
      <c r="E5064" s="1" t="s">
        <v>33</v>
      </c>
      <c r="F5064" s="2" t="s">
        <v>1788</v>
      </c>
      <c r="G5064" s="1">
        <v>377.97</v>
      </c>
      <c r="H5064" s="1">
        <v>3</v>
      </c>
      <c r="I5064" s="1">
        <v>105.83159999999999</v>
      </c>
    </row>
    <row r="5065" spans="1:9" x14ac:dyDescent="0.35">
      <c r="A5065" s="3">
        <v>42221</v>
      </c>
      <c r="B5065" s="1" t="s">
        <v>1281</v>
      </c>
      <c r="C5065" s="1" t="s">
        <v>206</v>
      </c>
      <c r="D5065" s="1" t="s">
        <v>115</v>
      </c>
      <c r="E5065" s="1" t="s">
        <v>29</v>
      </c>
      <c r="F5065" s="2" t="s">
        <v>863</v>
      </c>
      <c r="G5065" s="1">
        <v>123.96</v>
      </c>
      <c r="H5065" s="1">
        <v>3</v>
      </c>
      <c r="I5065" s="1">
        <v>11.1564</v>
      </c>
    </row>
    <row r="5066" spans="1:9" x14ac:dyDescent="0.35">
      <c r="A5066" s="3" t="s">
        <v>3351</v>
      </c>
      <c r="B5066" s="1" t="s">
        <v>942</v>
      </c>
      <c r="C5066" s="1" t="s">
        <v>261</v>
      </c>
      <c r="D5066" s="1" t="s">
        <v>124</v>
      </c>
      <c r="E5066" s="1" t="s">
        <v>33</v>
      </c>
      <c r="F5066" s="2" t="s">
        <v>97</v>
      </c>
      <c r="G5066" s="1">
        <v>391.98</v>
      </c>
      <c r="H5066" s="1">
        <v>2</v>
      </c>
      <c r="I5066" s="1">
        <v>113.6742</v>
      </c>
    </row>
    <row r="5067" spans="1:9" x14ac:dyDescent="0.35">
      <c r="A5067" s="3" t="s">
        <v>3329</v>
      </c>
      <c r="B5067" s="1" t="s">
        <v>2226</v>
      </c>
      <c r="C5067" s="1" t="s">
        <v>1011</v>
      </c>
      <c r="D5067" s="1" t="s">
        <v>43</v>
      </c>
      <c r="E5067" s="1" t="s">
        <v>81</v>
      </c>
      <c r="F5067" s="2" t="s">
        <v>515</v>
      </c>
      <c r="G5067" s="1">
        <v>383.976</v>
      </c>
      <c r="H5067" s="1">
        <v>3</v>
      </c>
      <c r="I5067" s="1">
        <v>81.594899999999996</v>
      </c>
    </row>
    <row r="5068" spans="1:9" x14ac:dyDescent="0.35">
      <c r="A5068" s="3" t="s">
        <v>3329</v>
      </c>
      <c r="B5068" s="1" t="s">
        <v>2226</v>
      </c>
      <c r="C5068" s="1" t="s">
        <v>1011</v>
      </c>
      <c r="D5068" s="1" t="s">
        <v>43</v>
      </c>
      <c r="E5068" s="1" t="s">
        <v>24</v>
      </c>
      <c r="F5068" s="2" t="s">
        <v>751</v>
      </c>
      <c r="G5068" s="1">
        <v>1781.682</v>
      </c>
      <c r="H5068" s="1">
        <v>7</v>
      </c>
      <c r="I5068" s="1">
        <v>-653.28340000000003</v>
      </c>
    </row>
    <row r="5069" spans="1:9" x14ac:dyDescent="0.35">
      <c r="A5069" s="3" t="s">
        <v>3250</v>
      </c>
      <c r="B5069" s="1" t="s">
        <v>1768</v>
      </c>
      <c r="C5069" s="1" t="s">
        <v>17</v>
      </c>
      <c r="D5069" s="1" t="s">
        <v>18</v>
      </c>
      <c r="E5069" s="1" t="s">
        <v>31</v>
      </c>
      <c r="F5069" s="2" t="s">
        <v>1762</v>
      </c>
      <c r="G5069" s="1">
        <v>21.4</v>
      </c>
      <c r="H5069" s="1">
        <v>5</v>
      </c>
      <c r="I5069" s="1">
        <v>6.2060000000000004</v>
      </c>
    </row>
    <row r="5070" spans="1:9" x14ac:dyDescent="0.35">
      <c r="A5070" s="3">
        <v>41859</v>
      </c>
      <c r="B5070" s="1" t="s">
        <v>92</v>
      </c>
      <c r="C5070" s="1" t="s">
        <v>1080</v>
      </c>
      <c r="D5070" s="1" t="s">
        <v>120</v>
      </c>
      <c r="E5070" s="1" t="s">
        <v>579</v>
      </c>
      <c r="F5070" s="2" t="s">
        <v>2617</v>
      </c>
      <c r="G5070" s="1">
        <v>549.99</v>
      </c>
      <c r="H5070" s="1">
        <v>1</v>
      </c>
      <c r="I5070" s="1">
        <v>274.995</v>
      </c>
    </row>
    <row r="5071" spans="1:9" x14ac:dyDescent="0.35">
      <c r="A5071" s="3">
        <v>41859</v>
      </c>
      <c r="B5071" s="1" t="s">
        <v>92</v>
      </c>
      <c r="C5071" s="1" t="s">
        <v>1080</v>
      </c>
      <c r="D5071" s="1" t="s">
        <v>120</v>
      </c>
      <c r="E5071" s="1" t="s">
        <v>37</v>
      </c>
      <c r="F5071" s="2" t="s">
        <v>1837</v>
      </c>
      <c r="G5071" s="1">
        <v>167.535</v>
      </c>
      <c r="H5071" s="1">
        <v>3</v>
      </c>
      <c r="I5071" s="1">
        <v>37.229999999999997</v>
      </c>
    </row>
    <row r="5072" spans="1:9" x14ac:dyDescent="0.35">
      <c r="A5072" s="3">
        <v>41859</v>
      </c>
      <c r="B5072" s="1" t="s">
        <v>92</v>
      </c>
      <c r="C5072" s="1" t="s">
        <v>1080</v>
      </c>
      <c r="D5072" s="1" t="s">
        <v>120</v>
      </c>
      <c r="E5072" s="1" t="s">
        <v>87</v>
      </c>
      <c r="F5072" s="2" t="s">
        <v>264</v>
      </c>
      <c r="G5072" s="1">
        <v>38.340000000000003</v>
      </c>
      <c r="H5072" s="1">
        <v>3</v>
      </c>
      <c r="I5072" s="1">
        <v>17.253</v>
      </c>
    </row>
    <row r="5073" spans="1:9" x14ac:dyDescent="0.35">
      <c r="A5073" s="3">
        <v>41859</v>
      </c>
      <c r="B5073" s="1" t="s">
        <v>92</v>
      </c>
      <c r="C5073" s="1" t="s">
        <v>1080</v>
      </c>
      <c r="D5073" s="1" t="s">
        <v>120</v>
      </c>
      <c r="E5073" s="1" t="s">
        <v>29</v>
      </c>
      <c r="F5073" s="2" t="s">
        <v>1849</v>
      </c>
      <c r="G5073" s="1">
        <v>53.88</v>
      </c>
      <c r="H5073" s="1">
        <v>6</v>
      </c>
      <c r="I5073" s="1">
        <v>22.6296</v>
      </c>
    </row>
    <row r="5074" spans="1:9" x14ac:dyDescent="0.35">
      <c r="A5074" s="3">
        <v>41859</v>
      </c>
      <c r="B5074" s="1" t="s">
        <v>92</v>
      </c>
      <c r="C5074" s="1" t="s">
        <v>1080</v>
      </c>
      <c r="D5074" s="1" t="s">
        <v>120</v>
      </c>
      <c r="E5074" s="1" t="s">
        <v>33</v>
      </c>
      <c r="F5074" s="2" t="s">
        <v>2533</v>
      </c>
      <c r="G5074" s="1">
        <v>299.98</v>
      </c>
      <c r="H5074" s="1">
        <v>2</v>
      </c>
      <c r="I5074" s="1">
        <v>83.994399999999999</v>
      </c>
    </row>
    <row r="5075" spans="1:9" x14ac:dyDescent="0.35">
      <c r="A5075" s="3">
        <v>42135</v>
      </c>
      <c r="B5075" s="1" t="s">
        <v>2129</v>
      </c>
      <c r="C5075" s="1" t="s">
        <v>64</v>
      </c>
      <c r="D5075" s="1" t="s">
        <v>18</v>
      </c>
      <c r="E5075" s="1" t="s">
        <v>26</v>
      </c>
      <c r="F5075" s="2" t="s">
        <v>1601</v>
      </c>
      <c r="G5075" s="1">
        <v>62.8</v>
      </c>
      <c r="H5075" s="1">
        <v>4</v>
      </c>
      <c r="I5075" s="1">
        <v>15.7</v>
      </c>
    </row>
    <row r="5076" spans="1:9" x14ac:dyDescent="0.35">
      <c r="A5076" s="3" t="s">
        <v>3605</v>
      </c>
      <c r="B5076" s="1" t="s">
        <v>1679</v>
      </c>
      <c r="C5076" s="1" t="s">
        <v>17</v>
      </c>
      <c r="D5076" s="1" t="s">
        <v>18</v>
      </c>
      <c r="E5076" s="1" t="s">
        <v>35</v>
      </c>
      <c r="F5076" s="2" t="s">
        <v>943</v>
      </c>
      <c r="G5076" s="1">
        <v>13.904</v>
      </c>
      <c r="H5076" s="1">
        <v>2</v>
      </c>
      <c r="I5076" s="1">
        <v>4.5187999999999997</v>
      </c>
    </row>
    <row r="5077" spans="1:9" x14ac:dyDescent="0.35">
      <c r="A5077" s="3" t="s">
        <v>3606</v>
      </c>
      <c r="B5077" s="1" t="s">
        <v>1046</v>
      </c>
      <c r="C5077" s="1" t="s">
        <v>93</v>
      </c>
      <c r="D5077" s="1" t="s">
        <v>52</v>
      </c>
      <c r="E5077" s="1" t="s">
        <v>24</v>
      </c>
      <c r="F5077" s="2" t="s">
        <v>439</v>
      </c>
      <c r="G5077" s="1">
        <v>744.1</v>
      </c>
      <c r="H5077" s="1">
        <v>5</v>
      </c>
      <c r="I5077" s="1">
        <v>-95.67</v>
      </c>
    </row>
    <row r="5078" spans="1:9" x14ac:dyDescent="0.35">
      <c r="A5078" s="3" t="s">
        <v>3606</v>
      </c>
      <c r="B5078" s="1" t="s">
        <v>1046</v>
      </c>
      <c r="C5078" s="1" t="s">
        <v>93</v>
      </c>
      <c r="D5078" s="1" t="s">
        <v>52</v>
      </c>
      <c r="E5078" s="1" t="s">
        <v>26</v>
      </c>
      <c r="F5078" s="2" t="s">
        <v>1064</v>
      </c>
      <c r="G5078" s="1">
        <v>44.84</v>
      </c>
      <c r="H5078" s="1">
        <v>5</v>
      </c>
      <c r="I5078" s="1">
        <v>5.6050000000000004</v>
      </c>
    </row>
    <row r="5079" spans="1:9" x14ac:dyDescent="0.35">
      <c r="A5079" s="3" t="s">
        <v>3606</v>
      </c>
      <c r="B5079" s="1" t="s">
        <v>1046</v>
      </c>
      <c r="C5079" s="1" t="s">
        <v>93</v>
      </c>
      <c r="D5079" s="1" t="s">
        <v>52</v>
      </c>
      <c r="E5079" s="1" t="s">
        <v>24</v>
      </c>
      <c r="F5079" s="2" t="s">
        <v>2774</v>
      </c>
      <c r="G5079" s="1">
        <v>401.59</v>
      </c>
      <c r="H5079" s="1">
        <v>2</v>
      </c>
      <c r="I5079" s="1">
        <v>-131.95099999999999</v>
      </c>
    </row>
    <row r="5080" spans="1:9" x14ac:dyDescent="0.35">
      <c r="A5080" s="3">
        <v>43050</v>
      </c>
      <c r="B5080" s="1" t="s">
        <v>1259</v>
      </c>
      <c r="C5080" s="1" t="s">
        <v>1147</v>
      </c>
      <c r="D5080" s="1" t="s">
        <v>57</v>
      </c>
      <c r="E5080" s="1" t="s">
        <v>35</v>
      </c>
      <c r="F5080" s="2" t="s">
        <v>936</v>
      </c>
      <c r="G5080" s="1">
        <v>18.239999999999998</v>
      </c>
      <c r="H5080" s="1">
        <v>3</v>
      </c>
      <c r="I5080" s="1">
        <v>8.5728000000000009</v>
      </c>
    </row>
    <row r="5081" spans="1:9" x14ac:dyDescent="0.35">
      <c r="A5081" s="3" t="s">
        <v>3462</v>
      </c>
      <c r="B5081" s="1" t="s">
        <v>857</v>
      </c>
      <c r="C5081" s="1" t="s">
        <v>64</v>
      </c>
      <c r="D5081" s="1" t="s">
        <v>18</v>
      </c>
      <c r="E5081" s="1" t="s">
        <v>12</v>
      </c>
      <c r="F5081" s="2" t="s">
        <v>2232</v>
      </c>
      <c r="G5081" s="1">
        <v>359.49900000000002</v>
      </c>
      <c r="H5081" s="1">
        <v>3</v>
      </c>
      <c r="I5081" s="1">
        <v>-29.605799999999999</v>
      </c>
    </row>
    <row r="5082" spans="1:9" x14ac:dyDescent="0.35">
      <c r="A5082" s="3" t="s">
        <v>3462</v>
      </c>
      <c r="B5082" s="1" t="s">
        <v>857</v>
      </c>
      <c r="C5082" s="1" t="s">
        <v>64</v>
      </c>
      <c r="D5082" s="1" t="s">
        <v>18</v>
      </c>
      <c r="E5082" s="1" t="s">
        <v>26</v>
      </c>
      <c r="F5082" s="2" t="s">
        <v>850</v>
      </c>
      <c r="G5082" s="1">
        <v>10.48</v>
      </c>
      <c r="H5082" s="1">
        <v>1</v>
      </c>
      <c r="I5082" s="1">
        <v>2.8296000000000001</v>
      </c>
    </row>
    <row r="5083" spans="1:9" x14ac:dyDescent="0.35">
      <c r="A5083" s="3" t="s">
        <v>3485</v>
      </c>
      <c r="B5083" s="1" t="s">
        <v>356</v>
      </c>
      <c r="C5083" s="1" t="s">
        <v>994</v>
      </c>
      <c r="D5083" s="1" t="s">
        <v>250</v>
      </c>
      <c r="E5083" s="1" t="s">
        <v>44</v>
      </c>
      <c r="F5083" s="2" t="s">
        <v>878</v>
      </c>
      <c r="G5083" s="1">
        <v>20.736000000000001</v>
      </c>
      <c r="H5083" s="1">
        <v>4</v>
      </c>
      <c r="I5083" s="1">
        <v>7.2576000000000001</v>
      </c>
    </row>
    <row r="5084" spans="1:9" x14ac:dyDescent="0.35">
      <c r="A5084" s="3">
        <v>42591</v>
      </c>
      <c r="B5084" s="1" t="s">
        <v>2864</v>
      </c>
      <c r="C5084" s="1" t="s">
        <v>361</v>
      </c>
      <c r="D5084" s="1" t="s">
        <v>43</v>
      </c>
      <c r="E5084" s="1" t="s">
        <v>81</v>
      </c>
      <c r="F5084" s="2" t="s">
        <v>1536</v>
      </c>
      <c r="G5084" s="1">
        <v>35.167999999999999</v>
      </c>
      <c r="H5084" s="1">
        <v>4</v>
      </c>
      <c r="I5084" s="1">
        <v>8.3523999999999994</v>
      </c>
    </row>
    <row r="5085" spans="1:9" x14ac:dyDescent="0.35">
      <c r="A5085" s="3">
        <v>42591</v>
      </c>
      <c r="B5085" s="1" t="s">
        <v>2864</v>
      </c>
      <c r="C5085" s="1" t="s">
        <v>361</v>
      </c>
      <c r="D5085" s="1" t="s">
        <v>43</v>
      </c>
      <c r="E5085" s="1" t="s">
        <v>44</v>
      </c>
      <c r="F5085" s="2" t="s">
        <v>1649</v>
      </c>
      <c r="G5085" s="1">
        <v>64.703999999999994</v>
      </c>
      <c r="H5085" s="1">
        <v>3</v>
      </c>
      <c r="I5085" s="1">
        <v>23.455200000000001</v>
      </c>
    </row>
    <row r="5086" spans="1:9" x14ac:dyDescent="0.35">
      <c r="A5086" s="3">
        <v>42527</v>
      </c>
      <c r="B5086" s="1" t="s">
        <v>1974</v>
      </c>
      <c r="C5086" s="1" t="s">
        <v>591</v>
      </c>
      <c r="D5086" s="1" t="s">
        <v>592</v>
      </c>
      <c r="E5086" s="1" t="s">
        <v>44</v>
      </c>
      <c r="F5086" s="2" t="s">
        <v>1336</v>
      </c>
      <c r="G5086" s="1">
        <v>105.52</v>
      </c>
      <c r="H5086" s="1">
        <v>4</v>
      </c>
      <c r="I5086" s="1">
        <v>48.539200000000001</v>
      </c>
    </row>
    <row r="5087" spans="1:9" x14ac:dyDescent="0.35">
      <c r="A5087" s="3" t="s">
        <v>3553</v>
      </c>
      <c r="B5087" s="1" t="s">
        <v>1671</v>
      </c>
      <c r="C5087" s="1" t="s">
        <v>399</v>
      </c>
      <c r="D5087" s="1" t="s">
        <v>52</v>
      </c>
      <c r="E5087" s="1" t="s">
        <v>35</v>
      </c>
      <c r="F5087" s="2" t="s">
        <v>889</v>
      </c>
      <c r="G5087" s="1">
        <v>5.7919999999999998</v>
      </c>
      <c r="H5087" s="1">
        <v>2</v>
      </c>
      <c r="I5087" s="1">
        <v>-9.5568000000000008</v>
      </c>
    </row>
    <row r="5088" spans="1:9" x14ac:dyDescent="0.35">
      <c r="A5088" s="3">
        <v>42127</v>
      </c>
      <c r="B5088" s="1" t="s">
        <v>1686</v>
      </c>
      <c r="C5088" s="1" t="s">
        <v>74</v>
      </c>
      <c r="D5088" s="1" t="s">
        <v>75</v>
      </c>
      <c r="E5088" s="1" t="s">
        <v>33</v>
      </c>
      <c r="F5088" s="2" t="s">
        <v>2865</v>
      </c>
      <c r="G5088" s="1">
        <v>466.15800000000002</v>
      </c>
      <c r="H5088" s="1">
        <v>7</v>
      </c>
      <c r="I5088" s="1">
        <v>-93.2316</v>
      </c>
    </row>
    <row r="5089" spans="1:9" x14ac:dyDescent="0.35">
      <c r="A5089" s="3">
        <v>42127</v>
      </c>
      <c r="B5089" s="1" t="s">
        <v>1686</v>
      </c>
      <c r="C5089" s="1" t="s">
        <v>74</v>
      </c>
      <c r="D5089" s="1" t="s">
        <v>75</v>
      </c>
      <c r="E5089" s="1" t="s">
        <v>81</v>
      </c>
      <c r="F5089" s="2" t="s">
        <v>982</v>
      </c>
      <c r="G5089" s="1">
        <v>10.311999999999999</v>
      </c>
      <c r="H5089" s="1">
        <v>1</v>
      </c>
      <c r="I5089" s="1">
        <v>-1.2889999999999999</v>
      </c>
    </row>
    <row r="5090" spans="1:9" x14ac:dyDescent="0.35">
      <c r="A5090" s="3">
        <v>42127</v>
      </c>
      <c r="B5090" s="1" t="s">
        <v>1686</v>
      </c>
      <c r="C5090" s="1" t="s">
        <v>74</v>
      </c>
      <c r="D5090" s="1" t="s">
        <v>75</v>
      </c>
      <c r="E5090" s="1" t="s">
        <v>35</v>
      </c>
      <c r="F5090" s="2" t="s">
        <v>1362</v>
      </c>
      <c r="G5090" s="1">
        <v>2.556</v>
      </c>
      <c r="H5090" s="1">
        <v>3</v>
      </c>
      <c r="I5090" s="1">
        <v>-1.7891999999999999</v>
      </c>
    </row>
    <row r="5091" spans="1:9" x14ac:dyDescent="0.35">
      <c r="A5091" s="3">
        <v>42833</v>
      </c>
      <c r="B5091" s="1" t="s">
        <v>1607</v>
      </c>
      <c r="C5091" s="1" t="s">
        <v>2866</v>
      </c>
      <c r="D5091" s="1" t="s">
        <v>229</v>
      </c>
      <c r="E5091" s="1" t="s">
        <v>44</v>
      </c>
      <c r="F5091" s="2" t="s">
        <v>2290</v>
      </c>
      <c r="G5091" s="1">
        <v>7.968</v>
      </c>
      <c r="H5091" s="1">
        <v>2</v>
      </c>
      <c r="I5091" s="1">
        <v>2.8883999999999999</v>
      </c>
    </row>
    <row r="5092" spans="1:9" x14ac:dyDescent="0.35">
      <c r="A5092" s="3">
        <v>42833</v>
      </c>
      <c r="B5092" s="1" t="s">
        <v>1607</v>
      </c>
      <c r="C5092" s="1" t="s">
        <v>2866</v>
      </c>
      <c r="D5092" s="1" t="s">
        <v>229</v>
      </c>
      <c r="E5092" s="1" t="s">
        <v>87</v>
      </c>
      <c r="F5092" s="2" t="s">
        <v>1058</v>
      </c>
      <c r="G5092" s="1">
        <v>8.7840000000000007</v>
      </c>
      <c r="H5092" s="1">
        <v>1</v>
      </c>
      <c r="I5092" s="1">
        <v>3.1842000000000001</v>
      </c>
    </row>
    <row r="5093" spans="1:9" x14ac:dyDescent="0.35">
      <c r="A5093" s="3" t="s">
        <v>3607</v>
      </c>
      <c r="B5093" s="1" t="s">
        <v>2864</v>
      </c>
      <c r="C5093" s="1" t="s">
        <v>2866</v>
      </c>
      <c r="D5093" s="1" t="s">
        <v>229</v>
      </c>
      <c r="E5093" s="1" t="s">
        <v>137</v>
      </c>
      <c r="F5093" s="2" t="s">
        <v>483</v>
      </c>
      <c r="G5093" s="1">
        <v>3.024</v>
      </c>
      <c r="H5093" s="1">
        <v>3</v>
      </c>
      <c r="I5093" s="1">
        <v>-0.6048</v>
      </c>
    </row>
    <row r="5094" spans="1:9" x14ac:dyDescent="0.35">
      <c r="A5094" s="3" t="s">
        <v>3367</v>
      </c>
      <c r="B5094" s="1" t="s">
        <v>488</v>
      </c>
      <c r="C5094" s="1" t="s">
        <v>2684</v>
      </c>
      <c r="D5094" s="1" t="s">
        <v>663</v>
      </c>
      <c r="E5094" s="1" t="s">
        <v>26</v>
      </c>
      <c r="F5094" s="2" t="s">
        <v>825</v>
      </c>
      <c r="G5094" s="1">
        <v>51.45</v>
      </c>
      <c r="H5094" s="1">
        <v>3</v>
      </c>
      <c r="I5094" s="1">
        <v>13.891500000000001</v>
      </c>
    </row>
    <row r="5095" spans="1:9" x14ac:dyDescent="0.35">
      <c r="A5095" s="3">
        <v>41802</v>
      </c>
      <c r="B5095" s="1" t="s">
        <v>1188</v>
      </c>
      <c r="C5095" s="1" t="s">
        <v>154</v>
      </c>
      <c r="D5095" s="1" t="s">
        <v>106</v>
      </c>
      <c r="E5095" s="1" t="s">
        <v>37</v>
      </c>
      <c r="F5095" s="2" t="s">
        <v>2152</v>
      </c>
      <c r="G5095" s="1">
        <v>14.016</v>
      </c>
      <c r="H5095" s="1">
        <v>4</v>
      </c>
      <c r="I5095" s="1">
        <v>-31.536000000000001</v>
      </c>
    </row>
    <row r="5096" spans="1:9" x14ac:dyDescent="0.35">
      <c r="A5096" s="3">
        <v>41802</v>
      </c>
      <c r="B5096" s="1" t="s">
        <v>1188</v>
      </c>
      <c r="C5096" s="1" t="s">
        <v>154</v>
      </c>
      <c r="D5096" s="1" t="s">
        <v>106</v>
      </c>
      <c r="E5096" s="1" t="s">
        <v>24</v>
      </c>
      <c r="F5096" s="2" t="s">
        <v>1421</v>
      </c>
      <c r="G5096" s="1">
        <v>214.95</v>
      </c>
      <c r="H5096" s="1">
        <v>5</v>
      </c>
      <c r="I5096" s="1">
        <v>-120.372</v>
      </c>
    </row>
    <row r="5097" spans="1:9" x14ac:dyDescent="0.35">
      <c r="A5097" s="3">
        <v>41802</v>
      </c>
      <c r="B5097" s="1" t="s">
        <v>1188</v>
      </c>
      <c r="C5097" s="1" t="s">
        <v>154</v>
      </c>
      <c r="D5097" s="1" t="s">
        <v>106</v>
      </c>
      <c r="E5097" s="1" t="s">
        <v>33</v>
      </c>
      <c r="F5097" s="2" t="s">
        <v>1436</v>
      </c>
      <c r="G5097" s="1">
        <v>35.04</v>
      </c>
      <c r="H5097" s="1">
        <v>4</v>
      </c>
      <c r="I5097" s="1">
        <v>-7.008</v>
      </c>
    </row>
    <row r="5098" spans="1:9" x14ac:dyDescent="0.35">
      <c r="A5098" s="3">
        <v>41802</v>
      </c>
      <c r="B5098" s="1" t="s">
        <v>1188</v>
      </c>
      <c r="C5098" s="1" t="s">
        <v>154</v>
      </c>
      <c r="D5098" s="1" t="s">
        <v>106</v>
      </c>
      <c r="E5098" s="1" t="s">
        <v>29</v>
      </c>
      <c r="F5098" s="2" t="s">
        <v>1849</v>
      </c>
      <c r="G5098" s="1">
        <v>10.776</v>
      </c>
      <c r="H5098" s="1">
        <v>3</v>
      </c>
      <c r="I5098" s="1">
        <v>-4.8491999999999997</v>
      </c>
    </row>
    <row r="5099" spans="1:9" x14ac:dyDescent="0.35">
      <c r="A5099" s="3">
        <v>41802</v>
      </c>
      <c r="B5099" s="1" t="s">
        <v>1188</v>
      </c>
      <c r="C5099" s="1" t="s">
        <v>154</v>
      </c>
      <c r="D5099" s="1" t="s">
        <v>106</v>
      </c>
      <c r="E5099" s="1" t="s">
        <v>35</v>
      </c>
      <c r="F5099" s="2" t="s">
        <v>1716</v>
      </c>
      <c r="G5099" s="1">
        <v>4.5999999999999996</v>
      </c>
      <c r="H5099" s="1">
        <v>2</v>
      </c>
      <c r="I5099" s="1">
        <v>-8.0500000000000007</v>
      </c>
    </row>
    <row r="5100" spans="1:9" x14ac:dyDescent="0.35">
      <c r="A5100" s="3">
        <v>41802</v>
      </c>
      <c r="B5100" s="1" t="s">
        <v>1188</v>
      </c>
      <c r="C5100" s="1" t="s">
        <v>154</v>
      </c>
      <c r="D5100" s="1" t="s">
        <v>106</v>
      </c>
      <c r="E5100" s="1" t="s">
        <v>26</v>
      </c>
      <c r="F5100" s="2" t="s">
        <v>432</v>
      </c>
      <c r="G5100" s="1">
        <v>35.167999999999999</v>
      </c>
      <c r="H5100" s="1">
        <v>2</v>
      </c>
      <c r="I5100" s="1">
        <v>-8.3523999999999994</v>
      </c>
    </row>
    <row r="5101" spans="1:9" x14ac:dyDescent="0.35">
      <c r="A5101" s="3">
        <v>42193</v>
      </c>
      <c r="B5101" s="1" t="s">
        <v>214</v>
      </c>
      <c r="C5101" s="1" t="s">
        <v>2371</v>
      </c>
      <c r="D5101" s="1" t="s">
        <v>18</v>
      </c>
      <c r="E5101" s="1" t="s">
        <v>35</v>
      </c>
      <c r="F5101" s="2" t="s">
        <v>759</v>
      </c>
      <c r="G5101" s="1">
        <v>19.152000000000001</v>
      </c>
      <c r="H5101" s="1">
        <v>3</v>
      </c>
      <c r="I5101" s="1">
        <v>6.4638</v>
      </c>
    </row>
    <row r="5102" spans="1:9" x14ac:dyDescent="0.35">
      <c r="A5102" s="3" t="s">
        <v>3608</v>
      </c>
      <c r="B5102" s="1" t="s">
        <v>2217</v>
      </c>
      <c r="C5102" s="1" t="s">
        <v>399</v>
      </c>
      <c r="D5102" s="1" t="s">
        <v>52</v>
      </c>
      <c r="E5102" s="1" t="s">
        <v>31</v>
      </c>
      <c r="F5102" s="2" t="s">
        <v>608</v>
      </c>
      <c r="G5102" s="1">
        <v>4.4480000000000004</v>
      </c>
      <c r="H5102" s="1">
        <v>2</v>
      </c>
      <c r="I5102" s="1">
        <v>0.33360000000000001</v>
      </c>
    </row>
    <row r="5103" spans="1:9" x14ac:dyDescent="0.35">
      <c r="A5103" s="3" t="s">
        <v>3608</v>
      </c>
      <c r="B5103" s="1" t="s">
        <v>2217</v>
      </c>
      <c r="C5103" s="1" t="s">
        <v>399</v>
      </c>
      <c r="D5103" s="1" t="s">
        <v>52</v>
      </c>
      <c r="E5103" s="1" t="s">
        <v>44</v>
      </c>
      <c r="F5103" s="2" t="s">
        <v>2604</v>
      </c>
      <c r="G5103" s="1">
        <v>5.1840000000000002</v>
      </c>
      <c r="H5103" s="1">
        <v>1</v>
      </c>
      <c r="I5103" s="1">
        <v>1.8792</v>
      </c>
    </row>
    <row r="5104" spans="1:9" x14ac:dyDescent="0.35">
      <c r="A5104" s="3" t="s">
        <v>3608</v>
      </c>
      <c r="B5104" s="1" t="s">
        <v>2217</v>
      </c>
      <c r="C5104" s="1" t="s">
        <v>399</v>
      </c>
      <c r="D5104" s="1" t="s">
        <v>52</v>
      </c>
      <c r="E5104" s="1" t="s">
        <v>44</v>
      </c>
      <c r="F5104" s="2" t="s">
        <v>45</v>
      </c>
      <c r="G5104" s="1">
        <v>15.552</v>
      </c>
      <c r="H5104" s="1">
        <v>3</v>
      </c>
      <c r="I5104" s="1">
        <v>5.4432</v>
      </c>
    </row>
    <row r="5105" spans="1:9" x14ac:dyDescent="0.35">
      <c r="A5105" s="3" t="s">
        <v>3609</v>
      </c>
      <c r="B5105" s="1" t="s">
        <v>1543</v>
      </c>
      <c r="C5105" s="1" t="s">
        <v>74</v>
      </c>
      <c r="D5105" s="1" t="s">
        <v>75</v>
      </c>
      <c r="E5105" s="1" t="s">
        <v>44</v>
      </c>
      <c r="F5105" s="2" t="s">
        <v>315</v>
      </c>
      <c r="G5105" s="1">
        <v>40.031999999999996</v>
      </c>
      <c r="H5105" s="1">
        <v>6</v>
      </c>
      <c r="I5105" s="1">
        <v>12.51</v>
      </c>
    </row>
    <row r="5106" spans="1:9" x14ac:dyDescent="0.35">
      <c r="A5106" s="3" t="s">
        <v>3609</v>
      </c>
      <c r="B5106" s="1" t="s">
        <v>1543</v>
      </c>
      <c r="C5106" s="1" t="s">
        <v>74</v>
      </c>
      <c r="D5106" s="1" t="s">
        <v>75</v>
      </c>
      <c r="E5106" s="1" t="s">
        <v>81</v>
      </c>
      <c r="F5106" s="2" t="s">
        <v>149</v>
      </c>
      <c r="G5106" s="1">
        <v>16.776</v>
      </c>
      <c r="H5106" s="1">
        <v>3</v>
      </c>
      <c r="I5106" s="1">
        <v>5.0327999999999999</v>
      </c>
    </row>
    <row r="5107" spans="1:9" x14ac:dyDescent="0.35">
      <c r="A5107" s="3" t="s">
        <v>3610</v>
      </c>
      <c r="B5107" s="1" t="s">
        <v>1110</v>
      </c>
      <c r="C5107" s="1" t="s">
        <v>1568</v>
      </c>
      <c r="D5107" s="1" t="s">
        <v>23</v>
      </c>
      <c r="E5107" s="1" t="s">
        <v>14</v>
      </c>
      <c r="F5107" s="2" t="s">
        <v>2218</v>
      </c>
      <c r="G5107" s="1">
        <v>186.304</v>
      </c>
      <c r="H5107" s="1">
        <v>4</v>
      </c>
      <c r="I5107" s="1">
        <v>13.972799999999999</v>
      </c>
    </row>
    <row r="5108" spans="1:9" x14ac:dyDescent="0.35">
      <c r="A5108" s="3" t="s">
        <v>3611</v>
      </c>
      <c r="B5108" s="1" t="s">
        <v>1675</v>
      </c>
      <c r="C5108" s="1" t="s">
        <v>249</v>
      </c>
      <c r="D5108" s="1" t="s">
        <v>604</v>
      </c>
      <c r="E5108" s="1" t="s">
        <v>81</v>
      </c>
      <c r="F5108" s="2" t="s">
        <v>2234</v>
      </c>
      <c r="G5108" s="1">
        <v>66.36</v>
      </c>
      <c r="H5108" s="1">
        <v>4</v>
      </c>
      <c r="I5108" s="1">
        <v>23.225999999999999</v>
      </c>
    </row>
    <row r="5109" spans="1:9" x14ac:dyDescent="0.35">
      <c r="A5109" s="3" t="s">
        <v>3605</v>
      </c>
      <c r="B5109" s="1" t="s">
        <v>214</v>
      </c>
      <c r="C5109" s="1" t="s">
        <v>2272</v>
      </c>
      <c r="D5109" s="1" t="s">
        <v>171</v>
      </c>
      <c r="E5109" s="1" t="s">
        <v>31</v>
      </c>
      <c r="F5109" s="2" t="s">
        <v>915</v>
      </c>
      <c r="G5109" s="1">
        <v>42.048000000000002</v>
      </c>
      <c r="H5109" s="1">
        <v>9</v>
      </c>
      <c r="I5109" s="1">
        <v>5.2560000000000002</v>
      </c>
    </row>
    <row r="5110" spans="1:9" x14ac:dyDescent="0.35">
      <c r="A5110" s="3" t="s">
        <v>3605</v>
      </c>
      <c r="B5110" s="1" t="s">
        <v>214</v>
      </c>
      <c r="C5110" s="1" t="s">
        <v>2272</v>
      </c>
      <c r="D5110" s="1" t="s">
        <v>171</v>
      </c>
      <c r="E5110" s="1" t="s">
        <v>31</v>
      </c>
      <c r="F5110" s="2" t="s">
        <v>427</v>
      </c>
      <c r="G5110" s="1">
        <v>67.92</v>
      </c>
      <c r="H5110" s="1">
        <v>5</v>
      </c>
      <c r="I5110" s="1">
        <v>6.7919999999999998</v>
      </c>
    </row>
    <row r="5111" spans="1:9" x14ac:dyDescent="0.35">
      <c r="A5111" s="3" t="s">
        <v>3612</v>
      </c>
      <c r="B5111" s="1" t="s">
        <v>1970</v>
      </c>
      <c r="C5111" s="1" t="s">
        <v>74</v>
      </c>
      <c r="D5111" s="1" t="s">
        <v>75</v>
      </c>
      <c r="E5111" s="1" t="s">
        <v>87</v>
      </c>
      <c r="F5111" s="2" t="s">
        <v>840</v>
      </c>
      <c r="G5111" s="1">
        <v>52.512</v>
      </c>
      <c r="H5111" s="1">
        <v>6</v>
      </c>
      <c r="I5111" s="1">
        <v>19.692</v>
      </c>
    </row>
    <row r="5112" spans="1:9" x14ac:dyDescent="0.35">
      <c r="A5112" s="3" t="s">
        <v>3612</v>
      </c>
      <c r="B5112" s="1" t="s">
        <v>1970</v>
      </c>
      <c r="C5112" s="1" t="s">
        <v>74</v>
      </c>
      <c r="D5112" s="1" t="s">
        <v>75</v>
      </c>
      <c r="E5112" s="1" t="s">
        <v>26</v>
      </c>
      <c r="F5112" s="2" t="s">
        <v>109</v>
      </c>
      <c r="G5112" s="1">
        <v>186.91200000000001</v>
      </c>
      <c r="H5112" s="1">
        <v>6</v>
      </c>
      <c r="I5112" s="1">
        <v>-35.045999999999999</v>
      </c>
    </row>
    <row r="5113" spans="1:9" x14ac:dyDescent="0.35">
      <c r="A5113" s="3" t="s">
        <v>3612</v>
      </c>
      <c r="B5113" s="1" t="s">
        <v>1970</v>
      </c>
      <c r="C5113" s="1" t="s">
        <v>74</v>
      </c>
      <c r="D5113" s="1" t="s">
        <v>75</v>
      </c>
      <c r="E5113" s="1" t="s">
        <v>44</v>
      </c>
      <c r="F5113" s="2" t="s">
        <v>2331</v>
      </c>
      <c r="G5113" s="1">
        <v>10.048</v>
      </c>
      <c r="H5113" s="1">
        <v>4</v>
      </c>
      <c r="I5113" s="1">
        <v>3.14</v>
      </c>
    </row>
    <row r="5114" spans="1:9" x14ac:dyDescent="0.35">
      <c r="A5114" s="3" t="s">
        <v>3171</v>
      </c>
      <c r="B5114" s="1" t="s">
        <v>1642</v>
      </c>
      <c r="C5114" s="1" t="s">
        <v>154</v>
      </c>
      <c r="D5114" s="1" t="s">
        <v>106</v>
      </c>
      <c r="E5114" s="1" t="s">
        <v>29</v>
      </c>
      <c r="F5114" s="2" t="s">
        <v>2867</v>
      </c>
      <c r="G5114" s="1">
        <v>17.495999999999999</v>
      </c>
      <c r="H5114" s="1">
        <v>9</v>
      </c>
      <c r="I5114" s="1">
        <v>-7.4358000000000004</v>
      </c>
    </row>
    <row r="5115" spans="1:9" x14ac:dyDescent="0.35">
      <c r="A5115" s="3" t="s">
        <v>3602</v>
      </c>
      <c r="B5115" s="1" t="s">
        <v>1750</v>
      </c>
      <c r="C5115" s="1" t="s">
        <v>399</v>
      </c>
      <c r="D5115" s="1" t="s">
        <v>52</v>
      </c>
      <c r="E5115" s="1" t="s">
        <v>44</v>
      </c>
      <c r="F5115" s="2" t="s">
        <v>2174</v>
      </c>
      <c r="G5115" s="1">
        <v>15.552</v>
      </c>
      <c r="H5115" s="1">
        <v>3</v>
      </c>
      <c r="I5115" s="1">
        <v>5.4432</v>
      </c>
    </row>
    <row r="5116" spans="1:9" x14ac:dyDescent="0.35">
      <c r="A5116" s="3" t="s">
        <v>3613</v>
      </c>
      <c r="B5116" s="1" t="s">
        <v>1225</v>
      </c>
      <c r="C5116" s="1" t="s">
        <v>330</v>
      </c>
      <c r="D5116" s="1" t="s">
        <v>331</v>
      </c>
      <c r="E5116" s="1" t="s">
        <v>35</v>
      </c>
      <c r="F5116" s="2" t="s">
        <v>581</v>
      </c>
      <c r="G5116" s="1">
        <v>10.776</v>
      </c>
      <c r="H5116" s="1">
        <v>3</v>
      </c>
      <c r="I5116" s="1">
        <v>3.3675000000000002</v>
      </c>
    </row>
    <row r="5117" spans="1:9" x14ac:dyDescent="0.35">
      <c r="A5117" s="3" t="s">
        <v>3277</v>
      </c>
      <c r="B5117" s="1" t="s">
        <v>2705</v>
      </c>
      <c r="C5117" s="1" t="s">
        <v>74</v>
      </c>
      <c r="D5117" s="1" t="s">
        <v>75</v>
      </c>
      <c r="E5117" s="1" t="s">
        <v>19</v>
      </c>
      <c r="F5117" s="2" t="s">
        <v>2868</v>
      </c>
      <c r="G5117" s="1">
        <v>3.3039999999999998</v>
      </c>
      <c r="H5117" s="1">
        <v>1</v>
      </c>
      <c r="I5117" s="1">
        <v>1.0738000000000001</v>
      </c>
    </row>
    <row r="5118" spans="1:9" x14ac:dyDescent="0.35">
      <c r="A5118" s="3">
        <v>43050</v>
      </c>
      <c r="B5118" s="1" t="s">
        <v>1316</v>
      </c>
      <c r="C5118" s="1" t="s">
        <v>135</v>
      </c>
      <c r="D5118" s="1" t="s">
        <v>136</v>
      </c>
      <c r="E5118" s="1" t="s">
        <v>26</v>
      </c>
      <c r="F5118" s="2" t="s">
        <v>1732</v>
      </c>
      <c r="G5118" s="1">
        <v>35.479999999999997</v>
      </c>
      <c r="H5118" s="1">
        <v>1</v>
      </c>
      <c r="I5118" s="1">
        <v>0</v>
      </c>
    </row>
    <row r="5119" spans="1:9" x14ac:dyDescent="0.35">
      <c r="A5119" s="3" t="s">
        <v>3197</v>
      </c>
      <c r="B5119" s="1" t="s">
        <v>1543</v>
      </c>
      <c r="C5119" s="1" t="s">
        <v>1061</v>
      </c>
      <c r="D5119" s="1" t="s">
        <v>136</v>
      </c>
      <c r="E5119" s="1" t="s">
        <v>137</v>
      </c>
      <c r="F5119" s="2" t="s">
        <v>523</v>
      </c>
      <c r="G5119" s="1">
        <v>34.44</v>
      </c>
      <c r="H5119" s="1">
        <v>3</v>
      </c>
      <c r="I5119" s="1">
        <v>16.186800000000002</v>
      </c>
    </row>
    <row r="5120" spans="1:9" x14ac:dyDescent="0.35">
      <c r="A5120" s="3" t="s">
        <v>3197</v>
      </c>
      <c r="B5120" s="1" t="s">
        <v>1543</v>
      </c>
      <c r="C5120" s="1" t="s">
        <v>1061</v>
      </c>
      <c r="D5120" s="1" t="s">
        <v>136</v>
      </c>
      <c r="E5120" s="1" t="s">
        <v>338</v>
      </c>
      <c r="F5120" s="2" t="s">
        <v>2583</v>
      </c>
      <c r="G5120" s="1">
        <v>629.92999999999995</v>
      </c>
      <c r="H5120" s="1">
        <v>7</v>
      </c>
      <c r="I5120" s="1">
        <v>296.06709999999998</v>
      </c>
    </row>
    <row r="5121" spans="1:9" x14ac:dyDescent="0.35">
      <c r="A5121" s="3" t="s">
        <v>3197</v>
      </c>
      <c r="B5121" s="1" t="s">
        <v>1543</v>
      </c>
      <c r="C5121" s="1" t="s">
        <v>1061</v>
      </c>
      <c r="D5121" s="1" t="s">
        <v>136</v>
      </c>
      <c r="E5121" s="1" t="s">
        <v>35</v>
      </c>
      <c r="F5121" s="2" t="s">
        <v>1761</v>
      </c>
      <c r="G5121" s="1">
        <v>79.055999999999997</v>
      </c>
      <c r="H5121" s="1">
        <v>9</v>
      </c>
      <c r="I5121" s="1">
        <v>28.657800000000002</v>
      </c>
    </row>
    <row r="5122" spans="1:9" x14ac:dyDescent="0.35">
      <c r="A5122" s="3">
        <v>41733</v>
      </c>
      <c r="B5122" s="1" t="s">
        <v>68</v>
      </c>
      <c r="C5122" s="1" t="s">
        <v>1799</v>
      </c>
      <c r="D5122" s="1" t="s">
        <v>362</v>
      </c>
      <c r="E5122" s="1" t="s">
        <v>26</v>
      </c>
      <c r="F5122" s="2" t="s">
        <v>486</v>
      </c>
      <c r="G5122" s="1">
        <v>232.55</v>
      </c>
      <c r="H5122" s="1">
        <v>5</v>
      </c>
      <c r="I5122" s="1">
        <v>9.3019999999999996</v>
      </c>
    </row>
    <row r="5123" spans="1:9" x14ac:dyDescent="0.35">
      <c r="A5123" s="3">
        <v>41733</v>
      </c>
      <c r="B5123" s="1" t="s">
        <v>68</v>
      </c>
      <c r="C5123" s="1" t="s">
        <v>1799</v>
      </c>
      <c r="D5123" s="1" t="s">
        <v>362</v>
      </c>
      <c r="E5123" s="1" t="s">
        <v>81</v>
      </c>
      <c r="F5123" s="2" t="s">
        <v>1895</v>
      </c>
      <c r="G5123" s="1">
        <v>99.98</v>
      </c>
      <c r="H5123" s="1">
        <v>2</v>
      </c>
      <c r="I5123" s="1">
        <v>42.991399999999999</v>
      </c>
    </row>
    <row r="5124" spans="1:9" x14ac:dyDescent="0.35">
      <c r="A5124" s="3">
        <v>41733</v>
      </c>
      <c r="B5124" s="1" t="s">
        <v>68</v>
      </c>
      <c r="C5124" s="1" t="s">
        <v>1799</v>
      </c>
      <c r="D5124" s="1" t="s">
        <v>362</v>
      </c>
      <c r="E5124" s="1" t="s">
        <v>44</v>
      </c>
      <c r="F5124" s="2" t="s">
        <v>2869</v>
      </c>
      <c r="G5124" s="1">
        <v>19.440000000000001</v>
      </c>
      <c r="H5124" s="1">
        <v>3</v>
      </c>
      <c r="I5124" s="1">
        <v>9.3312000000000008</v>
      </c>
    </row>
    <row r="5125" spans="1:9" x14ac:dyDescent="0.35">
      <c r="A5125" s="3">
        <v>41733</v>
      </c>
      <c r="B5125" s="1" t="s">
        <v>68</v>
      </c>
      <c r="C5125" s="1" t="s">
        <v>1799</v>
      </c>
      <c r="D5125" s="1" t="s">
        <v>362</v>
      </c>
      <c r="E5125" s="1" t="s">
        <v>44</v>
      </c>
      <c r="F5125" s="2" t="s">
        <v>2604</v>
      </c>
      <c r="G5125" s="1">
        <v>12.96</v>
      </c>
      <c r="H5125" s="1">
        <v>2</v>
      </c>
      <c r="I5125" s="1">
        <v>6.3503999999999996</v>
      </c>
    </row>
    <row r="5126" spans="1:9" x14ac:dyDescent="0.35">
      <c r="A5126" s="3" t="s">
        <v>3424</v>
      </c>
      <c r="B5126" s="1" t="s">
        <v>2384</v>
      </c>
      <c r="C5126" s="1" t="s">
        <v>135</v>
      </c>
      <c r="D5126" s="1" t="s">
        <v>136</v>
      </c>
      <c r="E5126" s="1" t="s">
        <v>24</v>
      </c>
      <c r="F5126" s="2" t="s">
        <v>1421</v>
      </c>
      <c r="G5126" s="1">
        <v>464.29199999999997</v>
      </c>
      <c r="H5126" s="1">
        <v>9</v>
      </c>
      <c r="I5126" s="1">
        <v>-108.3348</v>
      </c>
    </row>
    <row r="5127" spans="1:9" x14ac:dyDescent="0.35">
      <c r="A5127" s="3" t="s">
        <v>3424</v>
      </c>
      <c r="B5127" s="1" t="s">
        <v>2384</v>
      </c>
      <c r="C5127" s="1" t="s">
        <v>135</v>
      </c>
      <c r="D5127" s="1" t="s">
        <v>136</v>
      </c>
      <c r="E5127" s="1" t="s">
        <v>87</v>
      </c>
      <c r="F5127" s="2" t="s">
        <v>332</v>
      </c>
      <c r="G5127" s="1">
        <v>68.459999999999994</v>
      </c>
      <c r="H5127" s="1">
        <v>7</v>
      </c>
      <c r="I5127" s="1">
        <v>31.491599999999998</v>
      </c>
    </row>
    <row r="5128" spans="1:9" x14ac:dyDescent="0.35">
      <c r="A5128" s="3" t="s">
        <v>3424</v>
      </c>
      <c r="B5128" s="1" t="s">
        <v>2384</v>
      </c>
      <c r="C5128" s="1" t="s">
        <v>135</v>
      </c>
      <c r="D5128" s="1" t="s">
        <v>136</v>
      </c>
      <c r="E5128" s="1" t="s">
        <v>338</v>
      </c>
      <c r="F5128" s="2" t="s">
        <v>1388</v>
      </c>
      <c r="G5128" s="1">
        <v>2799.96</v>
      </c>
      <c r="H5128" s="1">
        <v>4</v>
      </c>
      <c r="I5128" s="1">
        <v>1371.9803999999999</v>
      </c>
    </row>
    <row r="5129" spans="1:9" x14ac:dyDescent="0.35">
      <c r="A5129" s="3" t="s">
        <v>3424</v>
      </c>
      <c r="B5129" s="1" t="s">
        <v>2384</v>
      </c>
      <c r="C5129" s="1" t="s">
        <v>135</v>
      </c>
      <c r="D5129" s="1" t="s">
        <v>136</v>
      </c>
      <c r="E5129" s="1" t="s">
        <v>37</v>
      </c>
      <c r="F5129" s="2" t="s">
        <v>457</v>
      </c>
      <c r="G5129" s="1">
        <v>601.29999999999995</v>
      </c>
      <c r="H5129" s="1">
        <v>2</v>
      </c>
      <c r="I5129" s="1">
        <v>198.429</v>
      </c>
    </row>
    <row r="5130" spans="1:9" x14ac:dyDescent="0.35">
      <c r="A5130" s="3" t="s">
        <v>3424</v>
      </c>
      <c r="B5130" s="1" t="s">
        <v>2384</v>
      </c>
      <c r="C5130" s="1" t="s">
        <v>135</v>
      </c>
      <c r="D5130" s="1" t="s">
        <v>136</v>
      </c>
      <c r="E5130" s="1" t="s">
        <v>33</v>
      </c>
      <c r="F5130" s="2" t="s">
        <v>2078</v>
      </c>
      <c r="G5130" s="1">
        <v>16.989999999999998</v>
      </c>
      <c r="H5130" s="1">
        <v>1</v>
      </c>
      <c r="I5130" s="1">
        <v>4.4173999999999998</v>
      </c>
    </row>
    <row r="5131" spans="1:9" x14ac:dyDescent="0.35">
      <c r="A5131" s="3" t="s">
        <v>3424</v>
      </c>
      <c r="B5131" s="1" t="s">
        <v>2384</v>
      </c>
      <c r="C5131" s="1" t="s">
        <v>135</v>
      </c>
      <c r="D5131" s="1" t="s">
        <v>136</v>
      </c>
      <c r="E5131" s="1" t="s">
        <v>33</v>
      </c>
      <c r="F5131" s="2" t="s">
        <v>2471</v>
      </c>
      <c r="G5131" s="1">
        <v>287.97000000000003</v>
      </c>
      <c r="H5131" s="1">
        <v>3</v>
      </c>
      <c r="I5131" s="1">
        <v>80.631600000000006</v>
      </c>
    </row>
    <row r="5132" spans="1:9" x14ac:dyDescent="0.35">
      <c r="A5132" s="3" t="s">
        <v>3424</v>
      </c>
      <c r="B5132" s="1" t="s">
        <v>2384</v>
      </c>
      <c r="C5132" s="1" t="s">
        <v>135</v>
      </c>
      <c r="D5132" s="1" t="s">
        <v>136</v>
      </c>
      <c r="E5132" s="1" t="s">
        <v>44</v>
      </c>
      <c r="F5132" s="2" t="s">
        <v>2428</v>
      </c>
      <c r="G5132" s="1">
        <v>44.82</v>
      </c>
      <c r="H5132" s="1">
        <v>9</v>
      </c>
      <c r="I5132" s="1">
        <v>21.0654</v>
      </c>
    </row>
    <row r="5133" spans="1:9" x14ac:dyDescent="0.35">
      <c r="A5133" s="3" t="s">
        <v>3284</v>
      </c>
      <c r="B5133" s="1" t="s">
        <v>542</v>
      </c>
      <c r="C5133" s="1" t="s">
        <v>871</v>
      </c>
      <c r="D5133" s="1" t="s">
        <v>18</v>
      </c>
      <c r="E5133" s="1" t="s">
        <v>29</v>
      </c>
      <c r="F5133" s="2" t="s">
        <v>2175</v>
      </c>
      <c r="G5133" s="1">
        <v>101.12</v>
      </c>
      <c r="H5133" s="1">
        <v>8</v>
      </c>
      <c r="I5133" s="1">
        <v>37.414400000000001</v>
      </c>
    </row>
    <row r="5134" spans="1:9" x14ac:dyDescent="0.35">
      <c r="A5134" s="3" t="s">
        <v>3614</v>
      </c>
      <c r="B5134" s="1" t="s">
        <v>851</v>
      </c>
      <c r="C5134" s="1" t="s">
        <v>1568</v>
      </c>
      <c r="D5134" s="1" t="s">
        <v>23</v>
      </c>
      <c r="E5134" s="1" t="s">
        <v>33</v>
      </c>
      <c r="F5134" s="2" t="s">
        <v>1393</v>
      </c>
      <c r="G5134" s="1">
        <v>107.976</v>
      </c>
      <c r="H5134" s="1">
        <v>3</v>
      </c>
      <c r="I5134" s="1">
        <v>37.791600000000003</v>
      </c>
    </row>
    <row r="5135" spans="1:9" x14ac:dyDescent="0.35">
      <c r="A5135" s="3" t="s">
        <v>3425</v>
      </c>
      <c r="B5135" s="1" t="s">
        <v>1578</v>
      </c>
      <c r="C5135" s="1" t="s">
        <v>135</v>
      </c>
      <c r="D5135" s="1" t="s">
        <v>136</v>
      </c>
      <c r="E5135" s="1" t="s">
        <v>37</v>
      </c>
      <c r="F5135" s="2" t="s">
        <v>2681</v>
      </c>
      <c r="G5135" s="1">
        <v>58.73</v>
      </c>
      <c r="H5135" s="1">
        <v>7</v>
      </c>
      <c r="I5135" s="1">
        <v>14.682499999999999</v>
      </c>
    </row>
    <row r="5136" spans="1:9" x14ac:dyDescent="0.35">
      <c r="A5136" s="3" t="s">
        <v>3425</v>
      </c>
      <c r="B5136" s="1" t="s">
        <v>1578</v>
      </c>
      <c r="C5136" s="1" t="s">
        <v>135</v>
      </c>
      <c r="D5136" s="1" t="s">
        <v>136</v>
      </c>
      <c r="E5136" s="1" t="s">
        <v>35</v>
      </c>
      <c r="F5136" s="2" t="s">
        <v>1223</v>
      </c>
      <c r="G5136" s="1">
        <v>93.343999999999994</v>
      </c>
      <c r="H5136" s="1">
        <v>4</v>
      </c>
      <c r="I5136" s="1">
        <v>32.670400000000001</v>
      </c>
    </row>
    <row r="5137" spans="1:9" x14ac:dyDescent="0.35">
      <c r="A5137" s="3" t="s">
        <v>3615</v>
      </c>
      <c r="B5137" s="1" t="s">
        <v>1581</v>
      </c>
      <c r="C5137" s="1" t="s">
        <v>47</v>
      </c>
      <c r="D5137" s="1" t="s">
        <v>48</v>
      </c>
      <c r="E5137" s="1" t="s">
        <v>137</v>
      </c>
      <c r="F5137" s="2" t="s">
        <v>513</v>
      </c>
      <c r="G5137" s="1">
        <v>17.05</v>
      </c>
      <c r="H5137" s="1">
        <v>5</v>
      </c>
      <c r="I5137" s="1">
        <v>8.1839999999999993</v>
      </c>
    </row>
    <row r="5138" spans="1:9" x14ac:dyDescent="0.35">
      <c r="A5138" s="3" t="s">
        <v>3616</v>
      </c>
      <c r="B5138" s="1" t="s">
        <v>1775</v>
      </c>
      <c r="C5138" s="1" t="s">
        <v>461</v>
      </c>
      <c r="D5138" s="1" t="s">
        <v>18</v>
      </c>
      <c r="E5138" s="1" t="s">
        <v>35</v>
      </c>
      <c r="F5138" s="2" t="s">
        <v>1486</v>
      </c>
      <c r="G5138" s="1">
        <v>8.0960000000000001</v>
      </c>
      <c r="H5138" s="1">
        <v>2</v>
      </c>
      <c r="I5138" s="1">
        <v>2.7324000000000002</v>
      </c>
    </row>
    <row r="5139" spans="1:9" x14ac:dyDescent="0.35">
      <c r="A5139" s="3" t="s">
        <v>3358</v>
      </c>
      <c r="B5139" s="1" t="s">
        <v>2798</v>
      </c>
      <c r="C5139" s="1" t="s">
        <v>1999</v>
      </c>
      <c r="D5139" s="1" t="s">
        <v>322</v>
      </c>
      <c r="E5139" s="1" t="s">
        <v>29</v>
      </c>
      <c r="F5139" s="2" t="s">
        <v>995</v>
      </c>
      <c r="G5139" s="1">
        <v>30.36</v>
      </c>
      <c r="H5139" s="1">
        <v>4</v>
      </c>
      <c r="I5139" s="1">
        <v>13.0548</v>
      </c>
    </row>
    <row r="5140" spans="1:9" x14ac:dyDescent="0.35">
      <c r="A5140" s="3" t="s">
        <v>3555</v>
      </c>
      <c r="B5140" s="1" t="s">
        <v>1279</v>
      </c>
      <c r="C5140" s="1" t="s">
        <v>1042</v>
      </c>
      <c r="D5140" s="1" t="s">
        <v>136</v>
      </c>
      <c r="E5140" s="1" t="s">
        <v>87</v>
      </c>
      <c r="F5140" s="2" t="s">
        <v>332</v>
      </c>
      <c r="G5140" s="1">
        <v>23.34</v>
      </c>
      <c r="H5140" s="1">
        <v>3</v>
      </c>
      <c r="I5140" s="1">
        <v>10.969799999999999</v>
      </c>
    </row>
    <row r="5141" spans="1:9" x14ac:dyDescent="0.35">
      <c r="A5141" s="3" t="s">
        <v>3555</v>
      </c>
      <c r="B5141" s="1" t="s">
        <v>1279</v>
      </c>
      <c r="C5141" s="1" t="s">
        <v>1042</v>
      </c>
      <c r="D5141" s="1" t="s">
        <v>136</v>
      </c>
      <c r="E5141" s="1" t="s">
        <v>44</v>
      </c>
      <c r="F5141" s="2" t="s">
        <v>2565</v>
      </c>
      <c r="G5141" s="1">
        <v>51.55</v>
      </c>
      <c r="H5141" s="1">
        <v>5</v>
      </c>
      <c r="I5141" s="1">
        <v>24.2285</v>
      </c>
    </row>
    <row r="5142" spans="1:9" x14ac:dyDescent="0.35">
      <c r="A5142" s="3">
        <v>42227</v>
      </c>
      <c r="B5142" s="1" t="s">
        <v>1831</v>
      </c>
      <c r="C5142" s="1" t="s">
        <v>64</v>
      </c>
      <c r="D5142" s="1" t="s">
        <v>18</v>
      </c>
      <c r="E5142" s="1" t="s">
        <v>81</v>
      </c>
      <c r="F5142" s="2" t="s">
        <v>506</v>
      </c>
      <c r="G5142" s="1">
        <v>119.9</v>
      </c>
      <c r="H5142" s="1">
        <v>2</v>
      </c>
      <c r="I5142" s="1">
        <v>43.164000000000001</v>
      </c>
    </row>
    <row r="5143" spans="1:9" x14ac:dyDescent="0.35">
      <c r="A5143" s="3">
        <v>42373</v>
      </c>
      <c r="B5143" s="1" t="s">
        <v>885</v>
      </c>
      <c r="C5143" s="1" t="s">
        <v>135</v>
      </c>
      <c r="D5143" s="1" t="s">
        <v>136</v>
      </c>
      <c r="E5143" s="1" t="s">
        <v>14</v>
      </c>
      <c r="F5143" s="2" t="s">
        <v>15</v>
      </c>
      <c r="G5143" s="1">
        <v>1317.492</v>
      </c>
      <c r="H5143" s="1">
        <v>6</v>
      </c>
      <c r="I5143" s="1">
        <v>292.77600000000001</v>
      </c>
    </row>
    <row r="5144" spans="1:9" x14ac:dyDescent="0.35">
      <c r="A5144" s="3">
        <v>42373</v>
      </c>
      <c r="B5144" s="1" t="s">
        <v>885</v>
      </c>
      <c r="C5144" s="1" t="s">
        <v>135</v>
      </c>
      <c r="D5144" s="1" t="s">
        <v>136</v>
      </c>
      <c r="E5144" s="1" t="s">
        <v>289</v>
      </c>
      <c r="F5144" s="2" t="s">
        <v>614</v>
      </c>
      <c r="G5144" s="1">
        <v>63.84</v>
      </c>
      <c r="H5144" s="1">
        <v>8</v>
      </c>
      <c r="I5144" s="1">
        <v>18.5136</v>
      </c>
    </row>
    <row r="5145" spans="1:9" x14ac:dyDescent="0.35">
      <c r="A5145" s="3">
        <v>42373</v>
      </c>
      <c r="B5145" s="1" t="s">
        <v>885</v>
      </c>
      <c r="C5145" s="1" t="s">
        <v>135</v>
      </c>
      <c r="D5145" s="1" t="s">
        <v>136</v>
      </c>
      <c r="E5145" s="1" t="s">
        <v>35</v>
      </c>
      <c r="F5145" s="2" t="s">
        <v>581</v>
      </c>
      <c r="G5145" s="1">
        <v>3.5920000000000001</v>
      </c>
      <c r="H5145" s="1">
        <v>1</v>
      </c>
      <c r="I5145" s="1">
        <v>1.1225000000000001</v>
      </c>
    </row>
    <row r="5146" spans="1:9" x14ac:dyDescent="0.35">
      <c r="A5146" s="3">
        <v>42768</v>
      </c>
      <c r="B5146" s="1" t="s">
        <v>968</v>
      </c>
      <c r="C5146" s="1" t="s">
        <v>17</v>
      </c>
      <c r="D5146" s="1" t="s">
        <v>18</v>
      </c>
      <c r="E5146" s="1" t="s">
        <v>29</v>
      </c>
      <c r="F5146" s="2" t="s">
        <v>868</v>
      </c>
      <c r="G5146" s="1">
        <v>86.26</v>
      </c>
      <c r="H5146" s="1">
        <v>2</v>
      </c>
      <c r="I5146" s="1">
        <v>29.328399999999998</v>
      </c>
    </row>
    <row r="5147" spans="1:9" x14ac:dyDescent="0.35">
      <c r="A5147" s="3">
        <v>42768</v>
      </c>
      <c r="B5147" s="1" t="s">
        <v>968</v>
      </c>
      <c r="C5147" s="1" t="s">
        <v>17</v>
      </c>
      <c r="D5147" s="1" t="s">
        <v>18</v>
      </c>
      <c r="E5147" s="1" t="s">
        <v>26</v>
      </c>
      <c r="F5147" s="2" t="s">
        <v>1929</v>
      </c>
      <c r="G5147" s="1">
        <v>139.04</v>
      </c>
      <c r="H5147" s="1">
        <v>4</v>
      </c>
      <c r="I5147" s="1">
        <v>38.931199999999997</v>
      </c>
    </row>
    <row r="5148" spans="1:9" x14ac:dyDescent="0.35">
      <c r="A5148" s="3">
        <v>42768</v>
      </c>
      <c r="B5148" s="1" t="s">
        <v>968</v>
      </c>
      <c r="C5148" s="1" t="s">
        <v>17</v>
      </c>
      <c r="D5148" s="1" t="s">
        <v>18</v>
      </c>
      <c r="E5148" s="1" t="s">
        <v>37</v>
      </c>
      <c r="F5148" s="2" t="s">
        <v>2098</v>
      </c>
      <c r="G5148" s="1">
        <v>46.8</v>
      </c>
      <c r="H5148" s="1">
        <v>4</v>
      </c>
      <c r="I5148" s="1">
        <v>16.38</v>
      </c>
    </row>
    <row r="5149" spans="1:9" x14ac:dyDescent="0.35">
      <c r="A5149" s="3" t="s">
        <v>3372</v>
      </c>
      <c r="B5149" s="1" t="s">
        <v>1168</v>
      </c>
      <c r="C5149" s="1" t="s">
        <v>2870</v>
      </c>
      <c r="D5149" s="1" t="s">
        <v>158</v>
      </c>
      <c r="E5149" s="1" t="s">
        <v>29</v>
      </c>
      <c r="F5149" s="2" t="s">
        <v>2609</v>
      </c>
      <c r="G5149" s="1">
        <v>8.5440000000000005</v>
      </c>
      <c r="H5149" s="1">
        <v>4</v>
      </c>
      <c r="I5149" s="1">
        <v>1.9224000000000001</v>
      </c>
    </row>
    <row r="5150" spans="1:9" x14ac:dyDescent="0.35">
      <c r="A5150" s="3" t="s">
        <v>3372</v>
      </c>
      <c r="B5150" s="1" t="s">
        <v>1168</v>
      </c>
      <c r="C5150" s="1" t="s">
        <v>2870</v>
      </c>
      <c r="D5150" s="1" t="s">
        <v>158</v>
      </c>
      <c r="E5150" s="1" t="s">
        <v>14</v>
      </c>
      <c r="F5150" s="2" t="s">
        <v>1150</v>
      </c>
      <c r="G5150" s="1">
        <v>842.37599999999998</v>
      </c>
      <c r="H5150" s="1">
        <v>3</v>
      </c>
      <c r="I5150" s="1">
        <v>105.297</v>
      </c>
    </row>
    <row r="5151" spans="1:9" x14ac:dyDescent="0.35">
      <c r="A5151" s="3" t="s">
        <v>3228</v>
      </c>
      <c r="B5151" s="1" t="s">
        <v>1796</v>
      </c>
      <c r="C5151" s="1" t="s">
        <v>559</v>
      </c>
      <c r="D5151" s="1" t="s">
        <v>136</v>
      </c>
      <c r="E5151" s="1" t="s">
        <v>33</v>
      </c>
      <c r="F5151" s="2" t="s">
        <v>2057</v>
      </c>
      <c r="G5151" s="1">
        <v>1214.8499999999999</v>
      </c>
      <c r="H5151" s="1">
        <v>3</v>
      </c>
      <c r="I5151" s="1">
        <v>352.30650000000003</v>
      </c>
    </row>
    <row r="5152" spans="1:9" x14ac:dyDescent="0.35">
      <c r="A5152" s="3">
        <v>42889</v>
      </c>
      <c r="B5152" s="1" t="s">
        <v>292</v>
      </c>
      <c r="C5152" s="1" t="s">
        <v>64</v>
      </c>
      <c r="D5152" s="1" t="s">
        <v>18</v>
      </c>
      <c r="E5152" s="1" t="s">
        <v>26</v>
      </c>
      <c r="F5152" s="2" t="s">
        <v>569</v>
      </c>
      <c r="G5152" s="1">
        <v>67.78</v>
      </c>
      <c r="H5152" s="1">
        <v>2</v>
      </c>
      <c r="I5152" s="1">
        <v>16.945</v>
      </c>
    </row>
    <row r="5153" spans="1:9" x14ac:dyDescent="0.35">
      <c r="A5153" s="3" t="s">
        <v>3339</v>
      </c>
      <c r="B5153" s="1" t="s">
        <v>2249</v>
      </c>
      <c r="C5153" s="1" t="s">
        <v>2871</v>
      </c>
      <c r="D5153" s="1" t="s">
        <v>823</v>
      </c>
      <c r="E5153" s="1" t="s">
        <v>26</v>
      </c>
      <c r="F5153" s="2" t="s">
        <v>1456</v>
      </c>
      <c r="G5153" s="1">
        <v>39.9</v>
      </c>
      <c r="H5153" s="1">
        <v>5</v>
      </c>
      <c r="I5153" s="1">
        <v>10.374000000000001</v>
      </c>
    </row>
    <row r="5154" spans="1:9" x14ac:dyDescent="0.35">
      <c r="A5154" s="3" t="s">
        <v>3231</v>
      </c>
      <c r="B5154" s="1" t="s">
        <v>2822</v>
      </c>
      <c r="C5154" s="1" t="s">
        <v>135</v>
      </c>
      <c r="D5154" s="1" t="s">
        <v>136</v>
      </c>
      <c r="E5154" s="1" t="s">
        <v>35</v>
      </c>
      <c r="F5154" s="2" t="s">
        <v>853</v>
      </c>
      <c r="G5154" s="1">
        <v>2.6880000000000002</v>
      </c>
      <c r="H5154" s="1">
        <v>1</v>
      </c>
      <c r="I5154" s="1">
        <v>0.84</v>
      </c>
    </row>
    <row r="5155" spans="1:9" x14ac:dyDescent="0.35">
      <c r="A5155" s="3" t="s">
        <v>3231</v>
      </c>
      <c r="B5155" s="1" t="s">
        <v>2822</v>
      </c>
      <c r="C5155" s="1" t="s">
        <v>135</v>
      </c>
      <c r="D5155" s="1" t="s">
        <v>136</v>
      </c>
      <c r="E5155" s="1" t="s">
        <v>31</v>
      </c>
      <c r="F5155" s="2" t="s">
        <v>430</v>
      </c>
      <c r="G5155" s="1">
        <v>6.6</v>
      </c>
      <c r="H5155" s="1">
        <v>3</v>
      </c>
      <c r="I5155" s="1">
        <v>2.9039999999999999</v>
      </c>
    </row>
    <row r="5156" spans="1:9" x14ac:dyDescent="0.35">
      <c r="A5156" s="3">
        <v>42193</v>
      </c>
      <c r="B5156" s="1" t="s">
        <v>2171</v>
      </c>
      <c r="C5156" s="1" t="s">
        <v>2872</v>
      </c>
      <c r="D5156" s="1" t="s">
        <v>298</v>
      </c>
      <c r="E5156" s="1" t="s">
        <v>35</v>
      </c>
      <c r="F5156" s="2" t="s">
        <v>67</v>
      </c>
      <c r="G5156" s="1">
        <v>28.4</v>
      </c>
      <c r="H5156" s="1">
        <v>4</v>
      </c>
      <c r="I5156" s="1">
        <v>13.064</v>
      </c>
    </row>
    <row r="5157" spans="1:9" x14ac:dyDescent="0.35">
      <c r="A5157" s="3">
        <v>42193</v>
      </c>
      <c r="B5157" s="1" t="s">
        <v>2171</v>
      </c>
      <c r="C5157" s="1" t="s">
        <v>2872</v>
      </c>
      <c r="D5157" s="1" t="s">
        <v>298</v>
      </c>
      <c r="E5157" s="1" t="s">
        <v>29</v>
      </c>
      <c r="F5157" s="2" t="s">
        <v>2423</v>
      </c>
      <c r="G5157" s="1">
        <v>212.94</v>
      </c>
      <c r="H5157" s="1">
        <v>3</v>
      </c>
      <c r="I5157" s="1">
        <v>34.070399999999999</v>
      </c>
    </row>
    <row r="5158" spans="1:9" x14ac:dyDescent="0.35">
      <c r="A5158" s="3" t="s">
        <v>3206</v>
      </c>
      <c r="B5158" s="1" t="s">
        <v>2493</v>
      </c>
      <c r="C5158" s="1" t="s">
        <v>154</v>
      </c>
      <c r="D5158" s="1" t="s">
        <v>106</v>
      </c>
      <c r="E5158" s="1" t="s">
        <v>33</v>
      </c>
      <c r="F5158" s="2" t="s">
        <v>2859</v>
      </c>
      <c r="G5158" s="1">
        <v>1001.5839999999999</v>
      </c>
      <c r="H5158" s="1">
        <v>2</v>
      </c>
      <c r="I5158" s="1">
        <v>125.19799999999999</v>
      </c>
    </row>
    <row r="5159" spans="1:9" x14ac:dyDescent="0.35">
      <c r="A5159" s="3" t="s">
        <v>3206</v>
      </c>
      <c r="B5159" s="1" t="s">
        <v>2493</v>
      </c>
      <c r="C5159" s="1" t="s">
        <v>154</v>
      </c>
      <c r="D5159" s="1" t="s">
        <v>106</v>
      </c>
      <c r="E5159" s="1" t="s">
        <v>14</v>
      </c>
      <c r="F5159" s="2" t="s">
        <v>2715</v>
      </c>
      <c r="G5159" s="1">
        <v>569.05799999999999</v>
      </c>
      <c r="H5159" s="1">
        <v>3</v>
      </c>
      <c r="I5159" s="1">
        <v>-178.8468</v>
      </c>
    </row>
    <row r="5160" spans="1:9" x14ac:dyDescent="0.35">
      <c r="A5160" s="3" t="s">
        <v>3206</v>
      </c>
      <c r="B5160" s="1" t="s">
        <v>2493</v>
      </c>
      <c r="C5160" s="1" t="s">
        <v>154</v>
      </c>
      <c r="D5160" s="1" t="s">
        <v>106</v>
      </c>
      <c r="E5160" s="1" t="s">
        <v>29</v>
      </c>
      <c r="F5160" s="2" t="s">
        <v>208</v>
      </c>
      <c r="G5160" s="1">
        <v>14.224</v>
      </c>
      <c r="H5160" s="1">
        <v>2</v>
      </c>
      <c r="I5160" s="1">
        <v>-10.3124</v>
      </c>
    </row>
    <row r="5161" spans="1:9" x14ac:dyDescent="0.35">
      <c r="A5161" s="3" t="s">
        <v>3617</v>
      </c>
      <c r="B5161" s="1" t="s">
        <v>497</v>
      </c>
      <c r="C5161" s="1" t="s">
        <v>655</v>
      </c>
      <c r="D5161" s="1" t="s">
        <v>158</v>
      </c>
      <c r="E5161" s="1" t="s">
        <v>33</v>
      </c>
      <c r="F5161" s="2" t="s">
        <v>408</v>
      </c>
      <c r="G5161" s="1">
        <v>105.584</v>
      </c>
      <c r="H5161" s="1">
        <v>2</v>
      </c>
      <c r="I5161" s="1">
        <v>9.2385999999999999</v>
      </c>
    </row>
    <row r="5162" spans="1:9" x14ac:dyDescent="0.35">
      <c r="A5162" s="3" t="s">
        <v>3617</v>
      </c>
      <c r="B5162" s="1" t="s">
        <v>497</v>
      </c>
      <c r="C5162" s="1" t="s">
        <v>655</v>
      </c>
      <c r="D5162" s="1" t="s">
        <v>158</v>
      </c>
      <c r="E5162" s="1" t="s">
        <v>33</v>
      </c>
      <c r="F5162" s="2" t="s">
        <v>2156</v>
      </c>
      <c r="G5162" s="1">
        <v>68.72</v>
      </c>
      <c r="H5162" s="1">
        <v>2</v>
      </c>
      <c r="I5162" s="1">
        <v>-14.603</v>
      </c>
    </row>
    <row r="5163" spans="1:9" x14ac:dyDescent="0.35">
      <c r="A5163" s="3" t="s">
        <v>3618</v>
      </c>
      <c r="B5163" s="1" t="s">
        <v>2798</v>
      </c>
      <c r="C5163" s="1" t="s">
        <v>47</v>
      </c>
      <c r="D5163" s="1" t="s">
        <v>48</v>
      </c>
      <c r="E5163" s="1" t="s">
        <v>12</v>
      </c>
      <c r="F5163" s="2" t="s">
        <v>2543</v>
      </c>
      <c r="G5163" s="1">
        <v>1367.84</v>
      </c>
      <c r="H5163" s="1">
        <v>8</v>
      </c>
      <c r="I5163" s="1">
        <v>259.88959999999997</v>
      </c>
    </row>
    <row r="5164" spans="1:9" x14ac:dyDescent="0.35">
      <c r="A5164" s="3" t="s">
        <v>3182</v>
      </c>
      <c r="B5164" s="1" t="s">
        <v>873</v>
      </c>
      <c r="C5164" s="1" t="s">
        <v>533</v>
      </c>
      <c r="D5164" s="1" t="s">
        <v>120</v>
      </c>
      <c r="E5164" s="1" t="s">
        <v>14</v>
      </c>
      <c r="F5164" s="2" t="s">
        <v>195</v>
      </c>
      <c r="G5164" s="1">
        <v>301.95999999999998</v>
      </c>
      <c r="H5164" s="1">
        <v>2</v>
      </c>
      <c r="I5164" s="1">
        <v>33.215600000000002</v>
      </c>
    </row>
    <row r="5165" spans="1:9" x14ac:dyDescent="0.35">
      <c r="A5165" s="3">
        <v>42162</v>
      </c>
      <c r="B5165" s="1" t="s">
        <v>2517</v>
      </c>
      <c r="C5165" s="1" t="s">
        <v>301</v>
      </c>
      <c r="D5165" s="1" t="s">
        <v>18</v>
      </c>
      <c r="E5165" s="1" t="s">
        <v>14</v>
      </c>
      <c r="F5165" s="2" t="s">
        <v>144</v>
      </c>
      <c r="G5165" s="1">
        <v>170.352</v>
      </c>
      <c r="H5165" s="1">
        <v>3</v>
      </c>
      <c r="I5165" s="1">
        <v>-17.0352</v>
      </c>
    </row>
    <row r="5166" spans="1:9" x14ac:dyDescent="0.35">
      <c r="A5166" s="3">
        <v>41923</v>
      </c>
      <c r="B5166" s="1" t="s">
        <v>2577</v>
      </c>
      <c r="C5166" s="1" t="s">
        <v>2157</v>
      </c>
      <c r="D5166" s="1" t="s">
        <v>120</v>
      </c>
      <c r="E5166" s="1" t="s">
        <v>31</v>
      </c>
      <c r="F5166" s="2" t="s">
        <v>2593</v>
      </c>
      <c r="G5166" s="1">
        <v>3.9</v>
      </c>
      <c r="H5166" s="1">
        <v>2</v>
      </c>
      <c r="I5166" s="1">
        <v>1.5209999999999999</v>
      </c>
    </row>
    <row r="5167" spans="1:9" x14ac:dyDescent="0.35">
      <c r="A5167" s="3">
        <v>41923</v>
      </c>
      <c r="B5167" s="1" t="s">
        <v>2577</v>
      </c>
      <c r="C5167" s="1" t="s">
        <v>2157</v>
      </c>
      <c r="D5167" s="1" t="s">
        <v>120</v>
      </c>
      <c r="E5167" s="1" t="s">
        <v>44</v>
      </c>
      <c r="F5167" s="2" t="s">
        <v>1698</v>
      </c>
      <c r="G5167" s="1">
        <v>12.84</v>
      </c>
      <c r="H5167" s="1">
        <v>3</v>
      </c>
      <c r="I5167" s="1">
        <v>5.7779999999999996</v>
      </c>
    </row>
    <row r="5168" spans="1:9" x14ac:dyDescent="0.35">
      <c r="A5168" s="3">
        <v>41923</v>
      </c>
      <c r="B5168" s="1" t="s">
        <v>2577</v>
      </c>
      <c r="C5168" s="1" t="s">
        <v>2157</v>
      </c>
      <c r="D5168" s="1" t="s">
        <v>120</v>
      </c>
      <c r="E5168" s="1" t="s">
        <v>44</v>
      </c>
      <c r="F5168" s="2" t="s">
        <v>445</v>
      </c>
      <c r="G5168" s="1">
        <v>15.84</v>
      </c>
      <c r="H5168" s="1">
        <v>3</v>
      </c>
      <c r="I5168" s="1">
        <v>7.1280000000000001</v>
      </c>
    </row>
    <row r="5169" spans="1:9" x14ac:dyDescent="0.35">
      <c r="A5169" s="3">
        <v>41923</v>
      </c>
      <c r="B5169" s="1" t="s">
        <v>2577</v>
      </c>
      <c r="C5169" s="1" t="s">
        <v>2157</v>
      </c>
      <c r="D5169" s="1" t="s">
        <v>120</v>
      </c>
      <c r="E5169" s="1" t="s">
        <v>14</v>
      </c>
      <c r="F5169" s="2" t="s">
        <v>891</v>
      </c>
      <c r="G5169" s="1">
        <v>563.94000000000005</v>
      </c>
      <c r="H5169" s="1">
        <v>3</v>
      </c>
      <c r="I5169" s="1">
        <v>112.788</v>
      </c>
    </row>
    <row r="5170" spans="1:9" x14ac:dyDescent="0.35">
      <c r="A5170" s="3">
        <v>41923</v>
      </c>
      <c r="B5170" s="1" t="s">
        <v>2577</v>
      </c>
      <c r="C5170" s="1" t="s">
        <v>2157</v>
      </c>
      <c r="D5170" s="1" t="s">
        <v>120</v>
      </c>
      <c r="E5170" s="1" t="s">
        <v>26</v>
      </c>
      <c r="F5170" s="2" t="s">
        <v>1710</v>
      </c>
      <c r="G5170" s="1">
        <v>62.94</v>
      </c>
      <c r="H5170" s="1">
        <v>3</v>
      </c>
      <c r="I5170" s="1">
        <v>11.958600000000001</v>
      </c>
    </row>
    <row r="5171" spans="1:9" x14ac:dyDescent="0.35">
      <c r="A5171" s="3">
        <v>41923</v>
      </c>
      <c r="B5171" s="1" t="s">
        <v>2577</v>
      </c>
      <c r="C5171" s="1" t="s">
        <v>2157</v>
      </c>
      <c r="D5171" s="1" t="s">
        <v>120</v>
      </c>
      <c r="E5171" s="1" t="s">
        <v>26</v>
      </c>
      <c r="F5171" s="2" t="s">
        <v>925</v>
      </c>
      <c r="G5171" s="1">
        <v>535.41</v>
      </c>
      <c r="H5171" s="1">
        <v>3</v>
      </c>
      <c r="I5171" s="1">
        <v>160.62299999999999</v>
      </c>
    </row>
    <row r="5172" spans="1:9" x14ac:dyDescent="0.35">
      <c r="A5172" s="3" t="s">
        <v>3619</v>
      </c>
      <c r="B5172" s="1" t="s">
        <v>637</v>
      </c>
      <c r="C5172" s="1" t="s">
        <v>429</v>
      </c>
      <c r="D5172" s="1" t="s">
        <v>120</v>
      </c>
      <c r="E5172" s="1" t="s">
        <v>14</v>
      </c>
      <c r="F5172" s="2" t="s">
        <v>867</v>
      </c>
      <c r="G5172" s="1">
        <v>3504.9</v>
      </c>
      <c r="H5172" s="1">
        <v>5</v>
      </c>
      <c r="I5172" s="1">
        <v>700.98</v>
      </c>
    </row>
    <row r="5173" spans="1:9" x14ac:dyDescent="0.35">
      <c r="A5173" s="3" t="s">
        <v>3619</v>
      </c>
      <c r="B5173" s="1" t="s">
        <v>637</v>
      </c>
      <c r="C5173" s="1" t="s">
        <v>429</v>
      </c>
      <c r="D5173" s="1" t="s">
        <v>120</v>
      </c>
      <c r="E5173" s="1" t="s">
        <v>44</v>
      </c>
      <c r="F5173" s="2" t="s">
        <v>1206</v>
      </c>
      <c r="G5173" s="1">
        <v>144.12</v>
      </c>
      <c r="H5173" s="1">
        <v>3</v>
      </c>
      <c r="I5173" s="1">
        <v>69.177599999999998</v>
      </c>
    </row>
    <row r="5174" spans="1:9" x14ac:dyDescent="0.35">
      <c r="A5174" s="3" t="s">
        <v>3619</v>
      </c>
      <c r="B5174" s="1" t="s">
        <v>637</v>
      </c>
      <c r="C5174" s="1" t="s">
        <v>429</v>
      </c>
      <c r="D5174" s="1" t="s">
        <v>120</v>
      </c>
      <c r="E5174" s="1" t="s">
        <v>44</v>
      </c>
      <c r="F5174" s="2" t="s">
        <v>1541</v>
      </c>
      <c r="G5174" s="1">
        <v>314.55</v>
      </c>
      <c r="H5174" s="1">
        <v>3</v>
      </c>
      <c r="I5174" s="1">
        <v>150.98400000000001</v>
      </c>
    </row>
    <row r="5175" spans="1:9" x14ac:dyDescent="0.35">
      <c r="A5175" s="3">
        <v>42219</v>
      </c>
      <c r="B5175" s="1" t="s">
        <v>2590</v>
      </c>
      <c r="C5175" s="1" t="s">
        <v>1551</v>
      </c>
      <c r="D5175" s="1" t="s">
        <v>229</v>
      </c>
      <c r="E5175" s="1" t="s">
        <v>31</v>
      </c>
      <c r="F5175" s="2" t="s">
        <v>601</v>
      </c>
      <c r="G5175" s="1">
        <v>3.4079999999999999</v>
      </c>
      <c r="H5175" s="1">
        <v>1</v>
      </c>
      <c r="I5175" s="1">
        <v>0.89459999999999995</v>
      </c>
    </row>
    <row r="5176" spans="1:9" x14ac:dyDescent="0.35">
      <c r="A5176" s="3" t="s">
        <v>3151</v>
      </c>
      <c r="B5176" s="1" t="s">
        <v>942</v>
      </c>
      <c r="C5176" s="1" t="s">
        <v>2873</v>
      </c>
      <c r="D5176" s="1" t="s">
        <v>52</v>
      </c>
      <c r="E5176" s="1" t="s">
        <v>35</v>
      </c>
      <c r="F5176" s="2" t="s">
        <v>2448</v>
      </c>
      <c r="G5176" s="1">
        <v>2.0720000000000001</v>
      </c>
      <c r="H5176" s="1">
        <v>2</v>
      </c>
      <c r="I5176" s="1">
        <v>-3.5224000000000002</v>
      </c>
    </row>
    <row r="5177" spans="1:9" x14ac:dyDescent="0.35">
      <c r="A5177" s="3" t="s">
        <v>3151</v>
      </c>
      <c r="B5177" s="1" t="s">
        <v>942</v>
      </c>
      <c r="C5177" s="1" t="s">
        <v>2873</v>
      </c>
      <c r="D5177" s="1" t="s">
        <v>52</v>
      </c>
      <c r="E5177" s="1" t="s">
        <v>12</v>
      </c>
      <c r="F5177" s="2" t="s">
        <v>2706</v>
      </c>
      <c r="G5177" s="1">
        <v>328.39920000000001</v>
      </c>
      <c r="H5177" s="1">
        <v>3</v>
      </c>
      <c r="I5177" s="1">
        <v>-91.758600000000001</v>
      </c>
    </row>
    <row r="5178" spans="1:9" x14ac:dyDescent="0.35">
      <c r="A5178" s="3">
        <v>42501</v>
      </c>
      <c r="B5178" s="1" t="s">
        <v>405</v>
      </c>
      <c r="C5178" s="1" t="s">
        <v>64</v>
      </c>
      <c r="D5178" s="1" t="s">
        <v>18</v>
      </c>
      <c r="E5178" s="1" t="s">
        <v>35</v>
      </c>
      <c r="F5178" s="2" t="s">
        <v>1983</v>
      </c>
      <c r="G5178" s="1">
        <v>53.247999999999998</v>
      </c>
      <c r="H5178" s="1">
        <v>2</v>
      </c>
      <c r="I5178" s="1">
        <v>19.968</v>
      </c>
    </row>
    <row r="5179" spans="1:9" x14ac:dyDescent="0.35">
      <c r="A5179" s="3" t="s">
        <v>3378</v>
      </c>
      <c r="B5179" s="1" t="s">
        <v>1098</v>
      </c>
      <c r="C5179" s="1" t="s">
        <v>135</v>
      </c>
      <c r="D5179" s="1" t="s">
        <v>136</v>
      </c>
      <c r="E5179" s="1" t="s">
        <v>35</v>
      </c>
      <c r="F5179" s="2" t="s">
        <v>502</v>
      </c>
      <c r="G5179" s="1">
        <v>4.992</v>
      </c>
      <c r="H5179" s="1">
        <v>3</v>
      </c>
      <c r="I5179" s="1">
        <v>1.6848000000000001</v>
      </c>
    </row>
    <row r="5180" spans="1:9" x14ac:dyDescent="0.35">
      <c r="A5180" s="3" t="s">
        <v>3513</v>
      </c>
      <c r="B5180" s="1" t="s">
        <v>1385</v>
      </c>
      <c r="C5180" s="1" t="s">
        <v>17</v>
      </c>
      <c r="D5180" s="1" t="s">
        <v>18</v>
      </c>
      <c r="E5180" s="1" t="s">
        <v>29</v>
      </c>
      <c r="F5180" s="2" t="s">
        <v>1928</v>
      </c>
      <c r="G5180" s="1">
        <v>37.68</v>
      </c>
      <c r="H5180" s="1">
        <v>2</v>
      </c>
      <c r="I5180" s="1">
        <v>15.8256</v>
      </c>
    </row>
    <row r="5181" spans="1:9" x14ac:dyDescent="0.35">
      <c r="A5181" s="3" t="s">
        <v>3513</v>
      </c>
      <c r="B5181" s="1" t="s">
        <v>1385</v>
      </c>
      <c r="C5181" s="1" t="s">
        <v>17</v>
      </c>
      <c r="D5181" s="1" t="s">
        <v>18</v>
      </c>
      <c r="E5181" s="1" t="s">
        <v>33</v>
      </c>
      <c r="F5181" s="2" t="s">
        <v>568</v>
      </c>
      <c r="G5181" s="1">
        <v>258.57600000000002</v>
      </c>
      <c r="H5181" s="1">
        <v>2</v>
      </c>
      <c r="I5181" s="1">
        <v>19.3932</v>
      </c>
    </row>
    <row r="5182" spans="1:9" x14ac:dyDescent="0.35">
      <c r="A5182" s="3" t="s">
        <v>3513</v>
      </c>
      <c r="B5182" s="1" t="s">
        <v>1385</v>
      </c>
      <c r="C5182" s="1" t="s">
        <v>17</v>
      </c>
      <c r="D5182" s="1" t="s">
        <v>18</v>
      </c>
      <c r="E5182" s="1" t="s">
        <v>37</v>
      </c>
      <c r="F5182" s="2" t="s">
        <v>1650</v>
      </c>
      <c r="G5182" s="1">
        <v>75.84</v>
      </c>
      <c r="H5182" s="1">
        <v>2</v>
      </c>
      <c r="I5182" s="1">
        <v>29.5776</v>
      </c>
    </row>
    <row r="5183" spans="1:9" x14ac:dyDescent="0.35">
      <c r="A5183" s="3">
        <v>43078</v>
      </c>
      <c r="B5183" s="1" t="s">
        <v>564</v>
      </c>
      <c r="C5183" s="1" t="s">
        <v>2684</v>
      </c>
      <c r="D5183" s="1" t="s">
        <v>663</v>
      </c>
      <c r="E5183" s="1" t="s">
        <v>44</v>
      </c>
      <c r="F5183" s="2" t="s">
        <v>2869</v>
      </c>
      <c r="G5183" s="1">
        <v>45.36</v>
      </c>
      <c r="H5183" s="1">
        <v>7</v>
      </c>
      <c r="I5183" s="1">
        <v>21.7728</v>
      </c>
    </row>
    <row r="5184" spans="1:9" x14ac:dyDescent="0.35">
      <c r="A5184" s="3">
        <v>43078</v>
      </c>
      <c r="B5184" s="1" t="s">
        <v>564</v>
      </c>
      <c r="C5184" s="1" t="s">
        <v>2684</v>
      </c>
      <c r="D5184" s="1" t="s">
        <v>663</v>
      </c>
      <c r="E5184" s="1" t="s">
        <v>35</v>
      </c>
      <c r="F5184" s="2" t="s">
        <v>1344</v>
      </c>
      <c r="G5184" s="1">
        <v>45.78</v>
      </c>
      <c r="H5184" s="1">
        <v>3</v>
      </c>
      <c r="I5184" s="1">
        <v>22.89</v>
      </c>
    </row>
    <row r="5185" spans="1:9" x14ac:dyDescent="0.35">
      <c r="A5185" s="3" t="s">
        <v>3404</v>
      </c>
      <c r="B5185" s="1" t="s">
        <v>667</v>
      </c>
      <c r="C5185" s="1" t="s">
        <v>249</v>
      </c>
      <c r="D5185" s="1" t="s">
        <v>604</v>
      </c>
      <c r="E5185" s="1" t="s">
        <v>26</v>
      </c>
      <c r="F5185" s="2" t="s">
        <v>2793</v>
      </c>
      <c r="G5185" s="1">
        <v>40.29</v>
      </c>
      <c r="H5185" s="1">
        <v>3</v>
      </c>
      <c r="I5185" s="1">
        <v>10.0725</v>
      </c>
    </row>
    <row r="5186" spans="1:9" x14ac:dyDescent="0.35">
      <c r="A5186" s="3" t="s">
        <v>3404</v>
      </c>
      <c r="B5186" s="1" t="s">
        <v>667</v>
      </c>
      <c r="C5186" s="1" t="s">
        <v>249</v>
      </c>
      <c r="D5186" s="1" t="s">
        <v>604</v>
      </c>
      <c r="E5186" s="1" t="s">
        <v>35</v>
      </c>
      <c r="F5186" s="2" t="s">
        <v>985</v>
      </c>
      <c r="G5186" s="1">
        <v>38.71</v>
      </c>
      <c r="H5186" s="1">
        <v>7</v>
      </c>
      <c r="I5186" s="1">
        <v>17.8066</v>
      </c>
    </row>
    <row r="5187" spans="1:9" x14ac:dyDescent="0.35">
      <c r="A5187" s="3">
        <v>42287</v>
      </c>
      <c r="B5187" s="1" t="s">
        <v>1708</v>
      </c>
      <c r="C5187" s="1" t="s">
        <v>719</v>
      </c>
      <c r="D5187" s="1" t="s">
        <v>23</v>
      </c>
      <c r="E5187" s="1" t="s">
        <v>26</v>
      </c>
      <c r="F5187" s="2" t="s">
        <v>827</v>
      </c>
      <c r="G5187" s="1">
        <v>1801.6320000000001</v>
      </c>
      <c r="H5187" s="1">
        <v>6</v>
      </c>
      <c r="I5187" s="1">
        <v>-337.80599999999998</v>
      </c>
    </row>
    <row r="5188" spans="1:9" x14ac:dyDescent="0.35">
      <c r="A5188" s="3" t="s">
        <v>3327</v>
      </c>
      <c r="B5188" s="1" t="s">
        <v>987</v>
      </c>
      <c r="C5188" s="1" t="s">
        <v>74</v>
      </c>
      <c r="D5188" s="1" t="s">
        <v>75</v>
      </c>
      <c r="E5188" s="1" t="s">
        <v>33</v>
      </c>
      <c r="F5188" s="2" t="s">
        <v>2655</v>
      </c>
      <c r="G5188" s="1">
        <v>748.75199999999995</v>
      </c>
      <c r="H5188" s="1">
        <v>8</v>
      </c>
      <c r="I5188" s="1">
        <v>-162.2296</v>
      </c>
    </row>
    <row r="5189" spans="1:9" x14ac:dyDescent="0.35">
      <c r="A5189" s="3" t="s">
        <v>3620</v>
      </c>
      <c r="B5189" s="1" t="s">
        <v>908</v>
      </c>
      <c r="C5189" s="1" t="s">
        <v>249</v>
      </c>
      <c r="D5189" s="1" t="s">
        <v>129</v>
      </c>
      <c r="E5189" s="1" t="s">
        <v>81</v>
      </c>
      <c r="F5189" s="2" t="s">
        <v>1612</v>
      </c>
      <c r="G5189" s="1">
        <v>199.96</v>
      </c>
      <c r="H5189" s="1">
        <v>4</v>
      </c>
      <c r="I5189" s="1">
        <v>15.9968</v>
      </c>
    </row>
    <row r="5190" spans="1:9" x14ac:dyDescent="0.35">
      <c r="A5190" s="3" t="s">
        <v>3620</v>
      </c>
      <c r="B5190" s="1" t="s">
        <v>908</v>
      </c>
      <c r="C5190" s="1" t="s">
        <v>249</v>
      </c>
      <c r="D5190" s="1" t="s">
        <v>129</v>
      </c>
      <c r="E5190" s="1" t="s">
        <v>14</v>
      </c>
      <c r="F5190" s="2" t="s">
        <v>705</v>
      </c>
      <c r="G5190" s="1">
        <v>1516.2</v>
      </c>
      <c r="H5190" s="1">
        <v>7</v>
      </c>
      <c r="I5190" s="1">
        <v>394.21199999999999</v>
      </c>
    </row>
    <row r="5191" spans="1:9" x14ac:dyDescent="0.35">
      <c r="A5191" s="3" t="s">
        <v>3621</v>
      </c>
      <c r="B5191" s="1" t="s">
        <v>774</v>
      </c>
      <c r="C5191" s="1" t="s">
        <v>301</v>
      </c>
      <c r="D5191" s="1" t="s">
        <v>52</v>
      </c>
      <c r="E5191" s="1" t="s">
        <v>81</v>
      </c>
      <c r="F5191" s="2" t="s">
        <v>1789</v>
      </c>
      <c r="G5191" s="1">
        <v>167.952</v>
      </c>
      <c r="H5191" s="1">
        <v>6</v>
      </c>
      <c r="I5191" s="1">
        <v>-27.292200000000001</v>
      </c>
    </row>
    <row r="5192" spans="1:9" x14ac:dyDescent="0.35">
      <c r="A5192" s="3" t="s">
        <v>3621</v>
      </c>
      <c r="B5192" s="1" t="s">
        <v>774</v>
      </c>
      <c r="C5192" s="1" t="s">
        <v>301</v>
      </c>
      <c r="D5192" s="1" t="s">
        <v>52</v>
      </c>
      <c r="E5192" s="1" t="s">
        <v>31</v>
      </c>
      <c r="F5192" s="2" t="s">
        <v>2451</v>
      </c>
      <c r="G5192" s="1">
        <v>45.04</v>
      </c>
      <c r="H5192" s="1">
        <v>2</v>
      </c>
      <c r="I5192" s="1">
        <v>4.5039999999999996</v>
      </c>
    </row>
    <row r="5193" spans="1:9" x14ac:dyDescent="0.35">
      <c r="A5193" s="3">
        <v>42860</v>
      </c>
      <c r="B5193" s="1" t="s">
        <v>854</v>
      </c>
      <c r="C5193" s="1" t="s">
        <v>64</v>
      </c>
      <c r="D5193" s="1" t="s">
        <v>18</v>
      </c>
      <c r="E5193" s="1" t="s">
        <v>87</v>
      </c>
      <c r="F5193" s="2" t="s">
        <v>2874</v>
      </c>
      <c r="G5193" s="1">
        <v>23.16</v>
      </c>
      <c r="H5193" s="1">
        <v>2</v>
      </c>
      <c r="I5193" s="1">
        <v>11.58</v>
      </c>
    </row>
    <row r="5194" spans="1:9" x14ac:dyDescent="0.35">
      <c r="A5194" s="3" t="s">
        <v>3478</v>
      </c>
      <c r="B5194" s="1" t="s">
        <v>1092</v>
      </c>
      <c r="C5194" s="1" t="s">
        <v>193</v>
      </c>
      <c r="D5194" s="1" t="s">
        <v>194</v>
      </c>
      <c r="E5194" s="1" t="s">
        <v>29</v>
      </c>
      <c r="F5194" s="2" t="s">
        <v>277</v>
      </c>
      <c r="G5194" s="1">
        <v>397.6</v>
      </c>
      <c r="H5194" s="1">
        <v>5</v>
      </c>
      <c r="I5194" s="1">
        <v>43.735999999999997</v>
      </c>
    </row>
    <row r="5195" spans="1:9" x14ac:dyDescent="0.35">
      <c r="A5195" s="3" t="s">
        <v>3478</v>
      </c>
      <c r="B5195" s="1" t="s">
        <v>1092</v>
      </c>
      <c r="C5195" s="1" t="s">
        <v>193</v>
      </c>
      <c r="D5195" s="1" t="s">
        <v>194</v>
      </c>
      <c r="E5195" s="1" t="s">
        <v>44</v>
      </c>
      <c r="F5195" s="2" t="s">
        <v>2727</v>
      </c>
      <c r="G5195" s="1">
        <v>85.96</v>
      </c>
      <c r="H5195" s="1">
        <v>7</v>
      </c>
      <c r="I5195" s="1">
        <v>40.401200000000003</v>
      </c>
    </row>
    <row r="5196" spans="1:9" x14ac:dyDescent="0.35">
      <c r="A5196" s="3" t="s">
        <v>3478</v>
      </c>
      <c r="B5196" s="1" t="s">
        <v>1092</v>
      </c>
      <c r="C5196" s="1" t="s">
        <v>193</v>
      </c>
      <c r="D5196" s="1" t="s">
        <v>194</v>
      </c>
      <c r="E5196" s="1" t="s">
        <v>31</v>
      </c>
      <c r="F5196" s="2" t="s">
        <v>647</v>
      </c>
      <c r="G5196" s="1">
        <v>13.12</v>
      </c>
      <c r="H5196" s="1">
        <v>4</v>
      </c>
      <c r="I5196" s="1">
        <v>4.3296000000000001</v>
      </c>
    </row>
    <row r="5197" spans="1:9" x14ac:dyDescent="0.35">
      <c r="A5197" s="3" t="s">
        <v>3478</v>
      </c>
      <c r="B5197" s="1" t="s">
        <v>1092</v>
      </c>
      <c r="C5197" s="1" t="s">
        <v>193</v>
      </c>
      <c r="D5197" s="1" t="s">
        <v>194</v>
      </c>
      <c r="E5197" s="1" t="s">
        <v>35</v>
      </c>
      <c r="F5197" s="2" t="s">
        <v>633</v>
      </c>
      <c r="G5197" s="1">
        <v>45.66</v>
      </c>
      <c r="H5197" s="1">
        <v>3</v>
      </c>
      <c r="I5197" s="1">
        <v>22.3734</v>
      </c>
    </row>
    <row r="5198" spans="1:9" x14ac:dyDescent="0.35">
      <c r="A5198" s="3">
        <v>41917</v>
      </c>
      <c r="B5198" s="1" t="s">
        <v>1718</v>
      </c>
      <c r="C5198" s="1" t="s">
        <v>1793</v>
      </c>
      <c r="D5198" s="1" t="s">
        <v>48</v>
      </c>
      <c r="E5198" s="1" t="s">
        <v>87</v>
      </c>
      <c r="F5198" s="2" t="s">
        <v>798</v>
      </c>
      <c r="G5198" s="1">
        <v>158.13</v>
      </c>
      <c r="H5198" s="1">
        <v>3</v>
      </c>
      <c r="I5198" s="1">
        <v>77.483699999999999</v>
      </c>
    </row>
    <row r="5199" spans="1:9" x14ac:dyDescent="0.35">
      <c r="A5199" s="3">
        <v>41917</v>
      </c>
      <c r="B5199" s="1" t="s">
        <v>1718</v>
      </c>
      <c r="C5199" s="1" t="s">
        <v>1793</v>
      </c>
      <c r="D5199" s="1" t="s">
        <v>48</v>
      </c>
      <c r="E5199" s="1" t="s">
        <v>33</v>
      </c>
      <c r="F5199" s="2" t="s">
        <v>126</v>
      </c>
      <c r="G5199" s="1">
        <v>43.6</v>
      </c>
      <c r="H5199" s="1">
        <v>5</v>
      </c>
      <c r="I5199" s="1">
        <v>4.3600000000000003</v>
      </c>
    </row>
    <row r="5200" spans="1:9" x14ac:dyDescent="0.35">
      <c r="A5200" s="3">
        <v>42432</v>
      </c>
      <c r="B5200" s="1" t="s">
        <v>1446</v>
      </c>
      <c r="C5200" s="1" t="s">
        <v>1277</v>
      </c>
      <c r="D5200" s="1" t="s">
        <v>52</v>
      </c>
      <c r="E5200" s="1" t="s">
        <v>289</v>
      </c>
      <c r="F5200" s="2" t="s">
        <v>2251</v>
      </c>
      <c r="G5200" s="1">
        <v>3930.0720000000001</v>
      </c>
      <c r="H5200" s="1">
        <v>3</v>
      </c>
      <c r="I5200" s="1">
        <v>-786.01440000000002</v>
      </c>
    </row>
    <row r="5201" spans="1:9" x14ac:dyDescent="0.35">
      <c r="A5201" s="3">
        <v>42432</v>
      </c>
      <c r="B5201" s="1" t="s">
        <v>1446</v>
      </c>
      <c r="C5201" s="1" t="s">
        <v>1277</v>
      </c>
      <c r="D5201" s="1" t="s">
        <v>52</v>
      </c>
      <c r="E5201" s="1" t="s">
        <v>137</v>
      </c>
      <c r="F5201" s="2" t="s">
        <v>2630</v>
      </c>
      <c r="G5201" s="1">
        <v>2.3039999999999998</v>
      </c>
      <c r="H5201" s="1">
        <v>1</v>
      </c>
      <c r="I5201" s="1">
        <v>0.77759999999999996</v>
      </c>
    </row>
    <row r="5202" spans="1:9" x14ac:dyDescent="0.35">
      <c r="A5202" s="3">
        <v>42432</v>
      </c>
      <c r="B5202" s="1" t="s">
        <v>1446</v>
      </c>
      <c r="C5202" s="1" t="s">
        <v>1277</v>
      </c>
      <c r="D5202" s="1" t="s">
        <v>52</v>
      </c>
      <c r="E5202" s="1" t="s">
        <v>33</v>
      </c>
      <c r="F5202" s="2" t="s">
        <v>1917</v>
      </c>
      <c r="G5202" s="1">
        <v>431.976</v>
      </c>
      <c r="H5202" s="1">
        <v>3</v>
      </c>
      <c r="I5202" s="1">
        <v>32.398200000000003</v>
      </c>
    </row>
    <row r="5203" spans="1:9" x14ac:dyDescent="0.35">
      <c r="A5203" s="3">
        <v>42432</v>
      </c>
      <c r="B5203" s="1" t="s">
        <v>1446</v>
      </c>
      <c r="C5203" s="1" t="s">
        <v>1277</v>
      </c>
      <c r="D5203" s="1" t="s">
        <v>52</v>
      </c>
      <c r="E5203" s="1" t="s">
        <v>81</v>
      </c>
      <c r="F5203" s="2" t="s">
        <v>958</v>
      </c>
      <c r="G5203" s="1">
        <v>41.72</v>
      </c>
      <c r="H5203" s="1">
        <v>7</v>
      </c>
      <c r="I5203" s="1">
        <v>5.7365000000000004</v>
      </c>
    </row>
    <row r="5204" spans="1:9" x14ac:dyDescent="0.35">
      <c r="A5204" s="3" t="s">
        <v>3216</v>
      </c>
      <c r="B5204" s="1" t="s">
        <v>2463</v>
      </c>
      <c r="C5204" s="1" t="s">
        <v>1391</v>
      </c>
      <c r="D5204" s="1" t="s">
        <v>18</v>
      </c>
      <c r="E5204" s="1" t="s">
        <v>29</v>
      </c>
      <c r="F5204" s="2" t="s">
        <v>1588</v>
      </c>
      <c r="G5204" s="1">
        <v>104.23</v>
      </c>
      <c r="H5204" s="1">
        <v>7</v>
      </c>
      <c r="I5204" s="1">
        <v>28.142099999999999</v>
      </c>
    </row>
    <row r="5205" spans="1:9" x14ac:dyDescent="0.35">
      <c r="A5205" s="3" t="s">
        <v>3216</v>
      </c>
      <c r="B5205" s="1" t="s">
        <v>2463</v>
      </c>
      <c r="C5205" s="1" t="s">
        <v>1391</v>
      </c>
      <c r="D5205" s="1" t="s">
        <v>18</v>
      </c>
      <c r="E5205" s="1" t="s">
        <v>26</v>
      </c>
      <c r="F5205" s="2" t="s">
        <v>2058</v>
      </c>
      <c r="G5205" s="1">
        <v>70.260000000000005</v>
      </c>
      <c r="H5205" s="1">
        <v>3</v>
      </c>
      <c r="I5205" s="1">
        <v>18.970199999999998</v>
      </c>
    </row>
    <row r="5206" spans="1:9" x14ac:dyDescent="0.35">
      <c r="A5206" s="3">
        <v>42347</v>
      </c>
      <c r="B5206" s="1" t="s">
        <v>2205</v>
      </c>
      <c r="C5206" s="1" t="s">
        <v>734</v>
      </c>
      <c r="D5206" s="1" t="s">
        <v>136</v>
      </c>
      <c r="E5206" s="1" t="s">
        <v>31</v>
      </c>
      <c r="F5206" s="2" t="s">
        <v>384</v>
      </c>
      <c r="G5206" s="1">
        <v>9.26</v>
      </c>
      <c r="H5206" s="1">
        <v>2</v>
      </c>
      <c r="I5206" s="1">
        <v>3.0558000000000001</v>
      </c>
    </row>
    <row r="5207" spans="1:9" x14ac:dyDescent="0.35">
      <c r="A5207" s="3">
        <v>42347</v>
      </c>
      <c r="B5207" s="1" t="s">
        <v>2205</v>
      </c>
      <c r="C5207" s="1" t="s">
        <v>734</v>
      </c>
      <c r="D5207" s="1" t="s">
        <v>136</v>
      </c>
      <c r="E5207" s="1" t="s">
        <v>26</v>
      </c>
      <c r="F5207" s="2" t="s">
        <v>121</v>
      </c>
      <c r="G5207" s="1">
        <v>105.98</v>
      </c>
      <c r="H5207" s="1">
        <v>2</v>
      </c>
      <c r="I5207" s="1">
        <v>4.2392000000000003</v>
      </c>
    </row>
    <row r="5208" spans="1:9" x14ac:dyDescent="0.35">
      <c r="A5208" s="3">
        <v>42347</v>
      </c>
      <c r="B5208" s="1" t="s">
        <v>2205</v>
      </c>
      <c r="C5208" s="1" t="s">
        <v>734</v>
      </c>
      <c r="D5208" s="1" t="s">
        <v>136</v>
      </c>
      <c r="E5208" s="1" t="s">
        <v>137</v>
      </c>
      <c r="F5208" s="2" t="s">
        <v>585</v>
      </c>
      <c r="G5208" s="1">
        <v>1.24</v>
      </c>
      <c r="H5208" s="1">
        <v>1</v>
      </c>
      <c r="I5208" s="1">
        <v>0.58279999999999998</v>
      </c>
    </row>
    <row r="5209" spans="1:9" x14ac:dyDescent="0.35">
      <c r="A5209" s="3">
        <v>42347</v>
      </c>
      <c r="B5209" s="1" t="s">
        <v>2205</v>
      </c>
      <c r="C5209" s="1" t="s">
        <v>734</v>
      </c>
      <c r="D5209" s="1" t="s">
        <v>136</v>
      </c>
      <c r="E5209" s="1" t="s">
        <v>19</v>
      </c>
      <c r="F5209" s="2" t="s">
        <v>501</v>
      </c>
      <c r="G5209" s="1">
        <v>20.7</v>
      </c>
      <c r="H5209" s="1">
        <v>2</v>
      </c>
      <c r="I5209" s="1">
        <v>9.9359999999999999</v>
      </c>
    </row>
    <row r="5210" spans="1:9" x14ac:dyDescent="0.35">
      <c r="A5210" s="3">
        <v>42347</v>
      </c>
      <c r="B5210" s="1" t="s">
        <v>2205</v>
      </c>
      <c r="C5210" s="1" t="s">
        <v>734</v>
      </c>
      <c r="D5210" s="1" t="s">
        <v>136</v>
      </c>
      <c r="E5210" s="1" t="s">
        <v>44</v>
      </c>
      <c r="F5210" s="2" t="s">
        <v>1696</v>
      </c>
      <c r="G5210" s="1">
        <v>28.9</v>
      </c>
      <c r="H5210" s="1">
        <v>5</v>
      </c>
      <c r="I5210" s="1">
        <v>14.161</v>
      </c>
    </row>
    <row r="5211" spans="1:9" x14ac:dyDescent="0.35">
      <c r="A5211" s="3">
        <v>42347</v>
      </c>
      <c r="B5211" s="1" t="s">
        <v>2205</v>
      </c>
      <c r="C5211" s="1" t="s">
        <v>734</v>
      </c>
      <c r="D5211" s="1" t="s">
        <v>136</v>
      </c>
      <c r="E5211" s="1" t="s">
        <v>87</v>
      </c>
      <c r="F5211" s="2" t="s">
        <v>254</v>
      </c>
      <c r="G5211" s="1">
        <v>27.18</v>
      </c>
      <c r="H5211" s="1">
        <v>1</v>
      </c>
      <c r="I5211" s="1">
        <v>12.7746</v>
      </c>
    </row>
    <row r="5212" spans="1:9" x14ac:dyDescent="0.35">
      <c r="A5212" s="3">
        <v>42339</v>
      </c>
      <c r="B5212" s="1" t="s">
        <v>1632</v>
      </c>
      <c r="C5212" s="1" t="s">
        <v>303</v>
      </c>
      <c r="D5212" s="1" t="s">
        <v>124</v>
      </c>
      <c r="E5212" s="1" t="s">
        <v>26</v>
      </c>
      <c r="F5212" s="2" t="s">
        <v>2408</v>
      </c>
      <c r="G5212" s="1">
        <v>465.18</v>
      </c>
      <c r="H5212" s="1">
        <v>3</v>
      </c>
      <c r="I5212" s="1">
        <v>120.9468</v>
      </c>
    </row>
    <row r="5213" spans="1:9" x14ac:dyDescent="0.35">
      <c r="A5213" s="3">
        <v>42343</v>
      </c>
      <c r="B5213" s="1" t="s">
        <v>2217</v>
      </c>
      <c r="C5213" s="1" t="s">
        <v>135</v>
      </c>
      <c r="D5213" s="1" t="s">
        <v>136</v>
      </c>
      <c r="E5213" s="1" t="s">
        <v>26</v>
      </c>
      <c r="F5213" s="2" t="s">
        <v>1311</v>
      </c>
      <c r="G5213" s="1">
        <v>36.630000000000003</v>
      </c>
      <c r="H5213" s="1">
        <v>3</v>
      </c>
      <c r="I5213" s="1">
        <v>9.8901000000000003</v>
      </c>
    </row>
    <row r="5214" spans="1:9" x14ac:dyDescent="0.35">
      <c r="A5214" s="3" t="s">
        <v>3220</v>
      </c>
      <c r="B5214" s="1" t="s">
        <v>1193</v>
      </c>
      <c r="C5214" s="1" t="s">
        <v>381</v>
      </c>
      <c r="D5214" s="1" t="s">
        <v>18</v>
      </c>
      <c r="E5214" s="1" t="s">
        <v>26</v>
      </c>
      <c r="F5214" s="2" t="s">
        <v>825</v>
      </c>
      <c r="G5214" s="1">
        <v>51.45</v>
      </c>
      <c r="H5214" s="1">
        <v>3</v>
      </c>
      <c r="I5214" s="1">
        <v>13.891500000000001</v>
      </c>
    </row>
    <row r="5215" spans="1:9" x14ac:dyDescent="0.35">
      <c r="A5215" s="3" t="s">
        <v>3220</v>
      </c>
      <c r="B5215" s="1" t="s">
        <v>1193</v>
      </c>
      <c r="C5215" s="1" t="s">
        <v>381</v>
      </c>
      <c r="D5215" s="1" t="s">
        <v>18</v>
      </c>
      <c r="E5215" s="1" t="s">
        <v>19</v>
      </c>
      <c r="F5215" s="2" t="s">
        <v>1595</v>
      </c>
      <c r="G5215" s="1">
        <v>7.83</v>
      </c>
      <c r="H5215" s="1">
        <v>3</v>
      </c>
      <c r="I5215" s="1">
        <v>3.6017999999999999</v>
      </c>
    </row>
    <row r="5216" spans="1:9" x14ac:dyDescent="0.35">
      <c r="A5216" s="3" t="s">
        <v>3220</v>
      </c>
      <c r="B5216" s="1" t="s">
        <v>1193</v>
      </c>
      <c r="C5216" s="1" t="s">
        <v>381</v>
      </c>
      <c r="D5216" s="1" t="s">
        <v>18</v>
      </c>
      <c r="E5216" s="1" t="s">
        <v>31</v>
      </c>
      <c r="F5216" s="2" t="s">
        <v>2763</v>
      </c>
      <c r="G5216" s="1">
        <v>35.4</v>
      </c>
      <c r="H5216" s="1">
        <v>5</v>
      </c>
      <c r="I5216" s="1">
        <v>13.452</v>
      </c>
    </row>
    <row r="5217" spans="1:9" x14ac:dyDescent="0.35">
      <c r="A5217" s="3" t="s">
        <v>3220</v>
      </c>
      <c r="B5217" s="1" t="s">
        <v>1193</v>
      </c>
      <c r="C5217" s="1" t="s">
        <v>381</v>
      </c>
      <c r="D5217" s="1" t="s">
        <v>18</v>
      </c>
      <c r="E5217" s="1" t="s">
        <v>44</v>
      </c>
      <c r="F5217" s="2" t="s">
        <v>826</v>
      </c>
      <c r="G5217" s="1">
        <v>29.9</v>
      </c>
      <c r="H5217" s="1">
        <v>5</v>
      </c>
      <c r="I5217" s="1">
        <v>13.455</v>
      </c>
    </row>
    <row r="5218" spans="1:9" x14ac:dyDescent="0.35">
      <c r="A5218" s="3">
        <v>42987</v>
      </c>
      <c r="B5218" s="1" t="s">
        <v>2446</v>
      </c>
      <c r="C5218" s="1" t="s">
        <v>283</v>
      </c>
      <c r="D5218" s="1" t="s">
        <v>120</v>
      </c>
      <c r="E5218" s="1" t="s">
        <v>87</v>
      </c>
      <c r="F5218" s="2" t="s">
        <v>1299</v>
      </c>
      <c r="G5218" s="1">
        <v>17.48</v>
      </c>
      <c r="H5218" s="1">
        <v>2</v>
      </c>
      <c r="I5218" s="1">
        <v>8.2156000000000002</v>
      </c>
    </row>
    <row r="5219" spans="1:9" x14ac:dyDescent="0.35">
      <c r="A5219" s="3" t="s">
        <v>3144</v>
      </c>
      <c r="B5219" s="1" t="s">
        <v>1351</v>
      </c>
      <c r="C5219" s="1" t="s">
        <v>17</v>
      </c>
      <c r="D5219" s="1" t="s">
        <v>18</v>
      </c>
      <c r="E5219" s="1" t="s">
        <v>44</v>
      </c>
      <c r="F5219" s="2" t="s">
        <v>316</v>
      </c>
      <c r="G5219" s="1">
        <v>79.14</v>
      </c>
      <c r="H5219" s="1">
        <v>3</v>
      </c>
      <c r="I5219" s="1">
        <v>36.404400000000003</v>
      </c>
    </row>
    <row r="5220" spans="1:9" x14ac:dyDescent="0.35">
      <c r="A5220" s="3">
        <v>43014</v>
      </c>
      <c r="B5220" s="1" t="s">
        <v>104</v>
      </c>
      <c r="C5220" s="1" t="s">
        <v>135</v>
      </c>
      <c r="D5220" s="1" t="s">
        <v>136</v>
      </c>
      <c r="E5220" s="1" t="s">
        <v>31</v>
      </c>
      <c r="F5220" s="2" t="s">
        <v>147</v>
      </c>
      <c r="G5220" s="1">
        <v>8.4</v>
      </c>
      <c r="H5220" s="1">
        <v>5</v>
      </c>
      <c r="I5220" s="1">
        <v>4.2</v>
      </c>
    </row>
    <row r="5221" spans="1:9" x14ac:dyDescent="0.35">
      <c r="A5221" s="3">
        <v>42744</v>
      </c>
      <c r="B5221" s="1" t="s">
        <v>881</v>
      </c>
      <c r="C5221" s="1" t="s">
        <v>429</v>
      </c>
      <c r="D5221" s="1" t="s">
        <v>120</v>
      </c>
      <c r="E5221" s="1" t="s">
        <v>14</v>
      </c>
      <c r="F5221" s="2" t="s">
        <v>2422</v>
      </c>
      <c r="G5221" s="1">
        <v>498.26</v>
      </c>
      <c r="H5221" s="1">
        <v>7</v>
      </c>
      <c r="I5221" s="1">
        <v>134.53020000000001</v>
      </c>
    </row>
    <row r="5222" spans="1:9" x14ac:dyDescent="0.35">
      <c r="A5222" s="3" t="s">
        <v>3622</v>
      </c>
      <c r="B5222" s="1" t="s">
        <v>2443</v>
      </c>
      <c r="C5222" s="1" t="s">
        <v>429</v>
      </c>
      <c r="D5222" s="1" t="s">
        <v>120</v>
      </c>
      <c r="E5222" s="1" t="s">
        <v>12</v>
      </c>
      <c r="F5222" s="2" t="s">
        <v>2702</v>
      </c>
      <c r="G5222" s="1">
        <v>212.94</v>
      </c>
      <c r="H5222" s="1">
        <v>3</v>
      </c>
      <c r="I5222" s="1">
        <v>57.4938</v>
      </c>
    </row>
    <row r="5223" spans="1:9" x14ac:dyDescent="0.35">
      <c r="A5223" s="3" t="s">
        <v>3270</v>
      </c>
      <c r="B5223" s="1" t="s">
        <v>1626</v>
      </c>
      <c r="C5223" s="1" t="s">
        <v>162</v>
      </c>
      <c r="D5223" s="1" t="s">
        <v>298</v>
      </c>
      <c r="E5223" s="1" t="s">
        <v>37</v>
      </c>
      <c r="F5223" s="2" t="s">
        <v>2875</v>
      </c>
      <c r="G5223" s="1">
        <v>706.86</v>
      </c>
      <c r="H5223" s="1">
        <v>7</v>
      </c>
      <c r="I5223" s="1">
        <v>197.92080000000001</v>
      </c>
    </row>
    <row r="5224" spans="1:9" x14ac:dyDescent="0.35">
      <c r="A5224" s="3" t="s">
        <v>3270</v>
      </c>
      <c r="B5224" s="1" t="s">
        <v>1626</v>
      </c>
      <c r="C5224" s="1" t="s">
        <v>162</v>
      </c>
      <c r="D5224" s="1" t="s">
        <v>298</v>
      </c>
      <c r="E5224" s="1" t="s">
        <v>33</v>
      </c>
      <c r="F5224" s="2" t="s">
        <v>832</v>
      </c>
      <c r="G5224" s="1">
        <v>114.95</v>
      </c>
      <c r="H5224" s="1">
        <v>5</v>
      </c>
      <c r="I5224" s="1">
        <v>2.2989999999999999</v>
      </c>
    </row>
    <row r="5225" spans="1:9" x14ac:dyDescent="0.35">
      <c r="A5225" s="3" t="s">
        <v>3270</v>
      </c>
      <c r="B5225" s="1" t="s">
        <v>1626</v>
      </c>
      <c r="C5225" s="1" t="s">
        <v>162</v>
      </c>
      <c r="D5225" s="1" t="s">
        <v>298</v>
      </c>
      <c r="E5225" s="1" t="s">
        <v>35</v>
      </c>
      <c r="F5225" s="2" t="s">
        <v>2476</v>
      </c>
      <c r="G5225" s="1">
        <v>43.19</v>
      </c>
      <c r="H5225" s="1">
        <v>7</v>
      </c>
      <c r="I5225" s="1">
        <v>20.731200000000001</v>
      </c>
    </row>
    <row r="5226" spans="1:9" x14ac:dyDescent="0.35">
      <c r="A5226" s="3">
        <v>43078</v>
      </c>
      <c r="B5226" s="1" t="s">
        <v>2244</v>
      </c>
      <c r="C5226" s="1" t="s">
        <v>17</v>
      </c>
      <c r="D5226" s="1" t="s">
        <v>18</v>
      </c>
      <c r="E5226" s="1" t="s">
        <v>44</v>
      </c>
      <c r="F5226" s="2" t="s">
        <v>761</v>
      </c>
      <c r="G5226" s="1">
        <v>166.44</v>
      </c>
      <c r="H5226" s="1">
        <v>3</v>
      </c>
      <c r="I5226" s="1">
        <v>79.891199999999998</v>
      </c>
    </row>
    <row r="5227" spans="1:9" x14ac:dyDescent="0.35">
      <c r="A5227" s="3" t="s">
        <v>3623</v>
      </c>
      <c r="B5227" s="1" t="s">
        <v>1952</v>
      </c>
      <c r="C5227" s="1" t="s">
        <v>135</v>
      </c>
      <c r="D5227" s="1" t="s">
        <v>136</v>
      </c>
      <c r="E5227" s="1" t="s">
        <v>35</v>
      </c>
      <c r="F5227" s="2" t="s">
        <v>2183</v>
      </c>
      <c r="G5227" s="1">
        <v>36.56</v>
      </c>
      <c r="H5227" s="1">
        <v>5</v>
      </c>
      <c r="I5227" s="1">
        <v>12.795999999999999</v>
      </c>
    </row>
    <row r="5228" spans="1:9" x14ac:dyDescent="0.35">
      <c r="A5228" s="3" t="s">
        <v>3623</v>
      </c>
      <c r="B5228" s="1" t="s">
        <v>1952</v>
      </c>
      <c r="C5228" s="1" t="s">
        <v>135</v>
      </c>
      <c r="D5228" s="1" t="s">
        <v>136</v>
      </c>
      <c r="E5228" s="1" t="s">
        <v>35</v>
      </c>
      <c r="F5228" s="2" t="s">
        <v>2603</v>
      </c>
      <c r="G5228" s="1">
        <v>186.14400000000001</v>
      </c>
      <c r="H5228" s="1">
        <v>6</v>
      </c>
      <c r="I5228" s="1">
        <v>60.4968</v>
      </c>
    </row>
    <row r="5229" spans="1:9" x14ac:dyDescent="0.35">
      <c r="A5229" s="3" t="s">
        <v>3623</v>
      </c>
      <c r="B5229" s="1" t="s">
        <v>1952</v>
      </c>
      <c r="C5229" s="1" t="s">
        <v>135</v>
      </c>
      <c r="D5229" s="1" t="s">
        <v>136</v>
      </c>
      <c r="E5229" s="1" t="s">
        <v>12</v>
      </c>
      <c r="F5229" s="2" t="s">
        <v>1036</v>
      </c>
      <c r="G5229" s="1">
        <v>353.56799999999998</v>
      </c>
      <c r="H5229" s="1">
        <v>2</v>
      </c>
      <c r="I5229" s="1">
        <v>-44.195999999999998</v>
      </c>
    </row>
    <row r="5230" spans="1:9" x14ac:dyDescent="0.35">
      <c r="A5230" s="3" t="s">
        <v>3164</v>
      </c>
      <c r="B5230" s="1" t="s">
        <v>275</v>
      </c>
      <c r="C5230" s="1" t="s">
        <v>64</v>
      </c>
      <c r="D5230" s="1" t="s">
        <v>18</v>
      </c>
      <c r="E5230" s="1" t="s">
        <v>44</v>
      </c>
      <c r="F5230" s="2" t="s">
        <v>2535</v>
      </c>
      <c r="G5230" s="1">
        <v>81.98</v>
      </c>
      <c r="H5230" s="1">
        <v>2</v>
      </c>
      <c r="I5230" s="1">
        <v>40.170200000000001</v>
      </c>
    </row>
    <row r="5231" spans="1:9" x14ac:dyDescent="0.35">
      <c r="A5231" s="3" t="s">
        <v>3539</v>
      </c>
      <c r="B5231" s="1" t="s">
        <v>782</v>
      </c>
      <c r="C5231" s="1" t="s">
        <v>1510</v>
      </c>
      <c r="D5231" s="1" t="s">
        <v>18</v>
      </c>
      <c r="E5231" s="1" t="s">
        <v>35</v>
      </c>
      <c r="F5231" s="2" t="s">
        <v>2183</v>
      </c>
      <c r="G5231" s="1">
        <v>14.624000000000001</v>
      </c>
      <c r="H5231" s="1">
        <v>2</v>
      </c>
      <c r="I5231" s="1">
        <v>5.1184000000000003</v>
      </c>
    </row>
    <row r="5232" spans="1:9" x14ac:dyDescent="0.35">
      <c r="A5232" s="3" t="s">
        <v>3539</v>
      </c>
      <c r="B5232" s="1" t="s">
        <v>782</v>
      </c>
      <c r="C5232" s="1" t="s">
        <v>1510</v>
      </c>
      <c r="D5232" s="1" t="s">
        <v>18</v>
      </c>
      <c r="E5232" s="1" t="s">
        <v>24</v>
      </c>
      <c r="F5232" s="2" t="s">
        <v>1086</v>
      </c>
      <c r="G5232" s="1">
        <v>697.16</v>
      </c>
      <c r="H5232" s="1">
        <v>5</v>
      </c>
      <c r="I5232" s="1">
        <v>8.7144999999999992</v>
      </c>
    </row>
    <row r="5233" spans="1:9" x14ac:dyDescent="0.35">
      <c r="A5233" s="3" t="s">
        <v>3539</v>
      </c>
      <c r="B5233" s="1" t="s">
        <v>782</v>
      </c>
      <c r="C5233" s="1" t="s">
        <v>1510</v>
      </c>
      <c r="D5233" s="1" t="s">
        <v>18</v>
      </c>
      <c r="E5233" s="1" t="s">
        <v>29</v>
      </c>
      <c r="F5233" s="2" t="s">
        <v>2382</v>
      </c>
      <c r="G5233" s="1">
        <v>30.93</v>
      </c>
      <c r="H5233" s="1">
        <v>1</v>
      </c>
      <c r="I5233" s="1">
        <v>12.6813</v>
      </c>
    </row>
    <row r="5234" spans="1:9" x14ac:dyDescent="0.35">
      <c r="A5234" s="3" t="s">
        <v>3539</v>
      </c>
      <c r="B5234" s="1" t="s">
        <v>782</v>
      </c>
      <c r="C5234" s="1" t="s">
        <v>1510</v>
      </c>
      <c r="D5234" s="1" t="s">
        <v>18</v>
      </c>
      <c r="E5234" s="1" t="s">
        <v>35</v>
      </c>
      <c r="F5234" s="2" t="s">
        <v>390</v>
      </c>
      <c r="G5234" s="1">
        <v>27.495999999999999</v>
      </c>
      <c r="H5234" s="1">
        <v>7</v>
      </c>
      <c r="I5234" s="1">
        <v>9.2798999999999996</v>
      </c>
    </row>
    <row r="5235" spans="1:9" x14ac:dyDescent="0.35">
      <c r="A5235" s="3" t="s">
        <v>3612</v>
      </c>
      <c r="B5235" s="1" t="s">
        <v>2249</v>
      </c>
      <c r="C5235" s="1" t="s">
        <v>2662</v>
      </c>
      <c r="D5235" s="1" t="s">
        <v>797</v>
      </c>
      <c r="E5235" s="1" t="s">
        <v>14</v>
      </c>
      <c r="F5235" s="2" t="s">
        <v>2861</v>
      </c>
      <c r="G5235" s="1">
        <v>605.34</v>
      </c>
      <c r="H5235" s="1">
        <v>6</v>
      </c>
      <c r="I5235" s="1">
        <v>145.2816</v>
      </c>
    </row>
    <row r="5236" spans="1:9" x14ac:dyDescent="0.35">
      <c r="A5236" s="3" t="s">
        <v>3624</v>
      </c>
      <c r="B5236" s="1" t="s">
        <v>2787</v>
      </c>
      <c r="C5236" s="1" t="s">
        <v>64</v>
      </c>
      <c r="D5236" s="1" t="s">
        <v>18</v>
      </c>
      <c r="E5236" s="1" t="s">
        <v>24</v>
      </c>
      <c r="F5236" s="2" t="s">
        <v>256</v>
      </c>
      <c r="G5236" s="1">
        <v>210.00800000000001</v>
      </c>
      <c r="H5236" s="1">
        <v>1</v>
      </c>
      <c r="I5236" s="1">
        <v>2.6251000000000002</v>
      </c>
    </row>
    <row r="5237" spans="1:9" x14ac:dyDescent="0.35">
      <c r="A5237" s="3" t="s">
        <v>3625</v>
      </c>
      <c r="B5237" s="1" t="s">
        <v>2307</v>
      </c>
      <c r="C5237" s="1" t="s">
        <v>1840</v>
      </c>
      <c r="D5237" s="1" t="s">
        <v>129</v>
      </c>
      <c r="E5237" s="1" t="s">
        <v>37</v>
      </c>
      <c r="F5237" s="2" t="s">
        <v>2584</v>
      </c>
      <c r="G5237" s="1">
        <v>54.96</v>
      </c>
      <c r="H5237" s="1">
        <v>3</v>
      </c>
      <c r="I5237" s="1">
        <v>15.9384</v>
      </c>
    </row>
    <row r="5238" spans="1:9" x14ac:dyDescent="0.35">
      <c r="A5238" s="3" t="s">
        <v>3177</v>
      </c>
      <c r="B5238" s="1" t="s">
        <v>185</v>
      </c>
      <c r="C5238" s="1" t="s">
        <v>193</v>
      </c>
      <c r="D5238" s="1" t="s">
        <v>1217</v>
      </c>
      <c r="E5238" s="1" t="s">
        <v>29</v>
      </c>
      <c r="F5238" s="2" t="s">
        <v>1454</v>
      </c>
      <c r="G5238" s="1">
        <v>164.22</v>
      </c>
      <c r="H5238" s="1">
        <v>3</v>
      </c>
      <c r="I5238" s="1">
        <v>50.908200000000001</v>
      </c>
    </row>
    <row r="5239" spans="1:9" x14ac:dyDescent="0.35">
      <c r="A5239" s="3" t="s">
        <v>3177</v>
      </c>
      <c r="B5239" s="1" t="s">
        <v>185</v>
      </c>
      <c r="C5239" s="1" t="s">
        <v>193</v>
      </c>
      <c r="D5239" s="1" t="s">
        <v>1217</v>
      </c>
      <c r="E5239" s="1" t="s">
        <v>12</v>
      </c>
      <c r="F5239" s="2" t="s">
        <v>780</v>
      </c>
      <c r="G5239" s="1">
        <v>362.94</v>
      </c>
      <c r="H5239" s="1">
        <v>3</v>
      </c>
      <c r="I5239" s="1">
        <v>36.293999999999997</v>
      </c>
    </row>
    <row r="5240" spans="1:9" x14ac:dyDescent="0.35">
      <c r="A5240" s="3" t="s">
        <v>3177</v>
      </c>
      <c r="B5240" s="1" t="s">
        <v>185</v>
      </c>
      <c r="C5240" s="1" t="s">
        <v>193</v>
      </c>
      <c r="D5240" s="1" t="s">
        <v>1217</v>
      </c>
      <c r="E5240" s="1" t="s">
        <v>81</v>
      </c>
      <c r="F5240" s="2" t="s">
        <v>490</v>
      </c>
      <c r="G5240" s="1">
        <v>59.98</v>
      </c>
      <c r="H5240" s="1">
        <v>2</v>
      </c>
      <c r="I5240" s="1">
        <v>26.391200000000001</v>
      </c>
    </row>
    <row r="5241" spans="1:9" x14ac:dyDescent="0.35">
      <c r="A5241" s="3">
        <v>42683</v>
      </c>
      <c r="B5241" s="1" t="s">
        <v>2482</v>
      </c>
      <c r="C5241" s="1" t="s">
        <v>314</v>
      </c>
      <c r="D5241" s="1" t="s">
        <v>18</v>
      </c>
      <c r="E5241" s="1" t="s">
        <v>26</v>
      </c>
      <c r="F5241" s="2" t="s">
        <v>58</v>
      </c>
      <c r="G5241" s="1">
        <v>332.94</v>
      </c>
      <c r="H5241" s="1">
        <v>3</v>
      </c>
      <c r="I5241" s="1">
        <v>6.6588000000000003</v>
      </c>
    </row>
    <row r="5242" spans="1:9" x14ac:dyDescent="0.35">
      <c r="A5242" s="3">
        <v>42683</v>
      </c>
      <c r="B5242" s="1" t="s">
        <v>2482</v>
      </c>
      <c r="C5242" s="1" t="s">
        <v>314</v>
      </c>
      <c r="D5242" s="1" t="s">
        <v>18</v>
      </c>
      <c r="E5242" s="1" t="s">
        <v>35</v>
      </c>
      <c r="F5242" s="2" t="s">
        <v>806</v>
      </c>
      <c r="G5242" s="1">
        <v>39.872</v>
      </c>
      <c r="H5242" s="1">
        <v>2</v>
      </c>
      <c r="I5242" s="1">
        <v>12.958399999999999</v>
      </c>
    </row>
    <row r="5243" spans="1:9" x14ac:dyDescent="0.35">
      <c r="A5243" s="3" t="s">
        <v>3443</v>
      </c>
      <c r="B5243" s="1" t="s">
        <v>2523</v>
      </c>
      <c r="C5243" s="1" t="s">
        <v>47</v>
      </c>
      <c r="D5243" s="1" t="s">
        <v>48</v>
      </c>
      <c r="E5243" s="1" t="s">
        <v>289</v>
      </c>
      <c r="F5243" s="2" t="s">
        <v>2876</v>
      </c>
      <c r="G5243" s="1">
        <v>13.68</v>
      </c>
      <c r="H5243" s="1">
        <v>2</v>
      </c>
      <c r="I5243" s="1">
        <v>3.6936</v>
      </c>
    </row>
    <row r="5244" spans="1:9" x14ac:dyDescent="0.35">
      <c r="A5244" s="3">
        <v>42833</v>
      </c>
      <c r="B5244" s="1" t="s">
        <v>1607</v>
      </c>
      <c r="C5244" s="1" t="s">
        <v>1779</v>
      </c>
      <c r="D5244" s="1" t="s">
        <v>52</v>
      </c>
      <c r="E5244" s="1" t="s">
        <v>35</v>
      </c>
      <c r="F5244" s="2" t="s">
        <v>985</v>
      </c>
      <c r="G5244" s="1">
        <v>3.3180000000000001</v>
      </c>
      <c r="H5244" s="1">
        <v>3</v>
      </c>
      <c r="I5244" s="1">
        <v>-5.6406000000000001</v>
      </c>
    </row>
    <row r="5245" spans="1:9" x14ac:dyDescent="0.35">
      <c r="A5245" s="3" t="s">
        <v>3317</v>
      </c>
      <c r="B5245" s="1" t="s">
        <v>1637</v>
      </c>
      <c r="C5245" s="1" t="s">
        <v>540</v>
      </c>
      <c r="D5245" s="1" t="s">
        <v>163</v>
      </c>
      <c r="E5245" s="1" t="s">
        <v>35</v>
      </c>
      <c r="F5245" s="2" t="s">
        <v>1460</v>
      </c>
      <c r="G5245" s="1">
        <v>10.44</v>
      </c>
      <c r="H5245" s="1">
        <v>1</v>
      </c>
      <c r="I5245" s="1">
        <v>4.8023999999999996</v>
      </c>
    </row>
    <row r="5246" spans="1:9" x14ac:dyDescent="0.35">
      <c r="A5246" s="3">
        <v>42408</v>
      </c>
      <c r="B5246" s="1" t="s">
        <v>1089</v>
      </c>
      <c r="C5246" s="1" t="s">
        <v>17</v>
      </c>
      <c r="D5246" s="1" t="s">
        <v>18</v>
      </c>
      <c r="E5246" s="1" t="s">
        <v>24</v>
      </c>
      <c r="F5246" s="2" t="s">
        <v>2877</v>
      </c>
      <c r="G5246" s="1">
        <v>136.464</v>
      </c>
      <c r="H5246" s="1">
        <v>2</v>
      </c>
      <c r="I5246" s="1">
        <v>15.3522</v>
      </c>
    </row>
    <row r="5247" spans="1:9" x14ac:dyDescent="0.35">
      <c r="A5247" s="3">
        <v>42408</v>
      </c>
      <c r="B5247" s="1" t="s">
        <v>1089</v>
      </c>
      <c r="C5247" s="1" t="s">
        <v>17</v>
      </c>
      <c r="D5247" s="1" t="s">
        <v>18</v>
      </c>
      <c r="E5247" s="1" t="s">
        <v>33</v>
      </c>
      <c r="F5247" s="2" t="s">
        <v>404</v>
      </c>
      <c r="G5247" s="1">
        <v>333.57600000000002</v>
      </c>
      <c r="H5247" s="1">
        <v>3</v>
      </c>
      <c r="I5247" s="1">
        <v>33.357599999999998</v>
      </c>
    </row>
    <row r="5248" spans="1:9" x14ac:dyDescent="0.35">
      <c r="A5248" s="3">
        <v>42408</v>
      </c>
      <c r="B5248" s="1" t="s">
        <v>1089</v>
      </c>
      <c r="C5248" s="1" t="s">
        <v>17</v>
      </c>
      <c r="D5248" s="1" t="s">
        <v>18</v>
      </c>
      <c r="E5248" s="1" t="s">
        <v>35</v>
      </c>
      <c r="F5248" s="2" t="s">
        <v>830</v>
      </c>
      <c r="G5248" s="1">
        <v>12.544</v>
      </c>
      <c r="H5248" s="1">
        <v>2</v>
      </c>
      <c r="I5248" s="1">
        <v>4.7039999999999997</v>
      </c>
    </row>
    <row r="5249" spans="1:9" x14ac:dyDescent="0.35">
      <c r="A5249" s="3" t="s">
        <v>3626</v>
      </c>
      <c r="B5249" s="1" t="s">
        <v>169</v>
      </c>
      <c r="C5249" s="1" t="s">
        <v>2878</v>
      </c>
      <c r="D5249" s="1" t="s">
        <v>106</v>
      </c>
      <c r="E5249" s="1" t="s">
        <v>37</v>
      </c>
      <c r="F5249" s="2" t="s">
        <v>220</v>
      </c>
      <c r="G5249" s="1">
        <v>20.768000000000001</v>
      </c>
      <c r="H5249" s="1">
        <v>8</v>
      </c>
      <c r="I5249" s="1">
        <v>-52.958399999999997</v>
      </c>
    </row>
    <row r="5250" spans="1:9" x14ac:dyDescent="0.35">
      <c r="A5250" s="3">
        <v>42805</v>
      </c>
      <c r="B5250" s="1" t="s">
        <v>1506</v>
      </c>
      <c r="C5250" s="1" t="s">
        <v>47</v>
      </c>
      <c r="D5250" s="1" t="s">
        <v>48</v>
      </c>
      <c r="E5250" s="1" t="s">
        <v>81</v>
      </c>
      <c r="F5250" s="2" t="s">
        <v>365</v>
      </c>
      <c r="G5250" s="1">
        <v>43.5</v>
      </c>
      <c r="H5250" s="1">
        <v>3</v>
      </c>
      <c r="I5250" s="1">
        <v>10.875</v>
      </c>
    </row>
    <row r="5251" spans="1:9" x14ac:dyDescent="0.35">
      <c r="A5251" s="3" t="s">
        <v>3627</v>
      </c>
      <c r="B5251" s="1" t="s">
        <v>1031</v>
      </c>
      <c r="C5251" s="1" t="s">
        <v>74</v>
      </c>
      <c r="D5251" s="1" t="s">
        <v>75</v>
      </c>
      <c r="E5251" s="1" t="s">
        <v>137</v>
      </c>
      <c r="F5251" s="2" t="s">
        <v>281</v>
      </c>
      <c r="G5251" s="1">
        <v>12.576000000000001</v>
      </c>
      <c r="H5251" s="1">
        <v>4</v>
      </c>
      <c r="I5251" s="1">
        <v>4.0872000000000002</v>
      </c>
    </row>
    <row r="5252" spans="1:9" x14ac:dyDescent="0.35">
      <c r="A5252" s="3">
        <v>42716</v>
      </c>
      <c r="B5252" s="1" t="s">
        <v>2477</v>
      </c>
      <c r="C5252" s="1" t="s">
        <v>249</v>
      </c>
      <c r="D5252" s="1" t="s">
        <v>604</v>
      </c>
      <c r="E5252" s="1" t="s">
        <v>81</v>
      </c>
      <c r="F5252" s="2" t="s">
        <v>1612</v>
      </c>
      <c r="G5252" s="1">
        <v>249.95</v>
      </c>
      <c r="H5252" s="1">
        <v>5</v>
      </c>
      <c r="I5252" s="1">
        <v>19.995999999999999</v>
      </c>
    </row>
    <row r="5253" spans="1:9" x14ac:dyDescent="0.35">
      <c r="A5253" s="3">
        <v>42716</v>
      </c>
      <c r="B5253" s="1" t="s">
        <v>2477</v>
      </c>
      <c r="C5253" s="1" t="s">
        <v>249</v>
      </c>
      <c r="D5253" s="1" t="s">
        <v>604</v>
      </c>
      <c r="E5253" s="1" t="s">
        <v>44</v>
      </c>
      <c r="F5253" s="2" t="s">
        <v>2484</v>
      </c>
      <c r="G5253" s="1">
        <v>49.12</v>
      </c>
      <c r="H5253" s="1">
        <v>4</v>
      </c>
      <c r="I5253" s="1">
        <v>23.086400000000001</v>
      </c>
    </row>
    <row r="5254" spans="1:9" x14ac:dyDescent="0.35">
      <c r="A5254" s="3" t="s">
        <v>3432</v>
      </c>
      <c r="B5254" s="1" t="s">
        <v>2258</v>
      </c>
      <c r="C5254" s="1" t="s">
        <v>1306</v>
      </c>
      <c r="D5254" s="1" t="s">
        <v>163</v>
      </c>
      <c r="E5254" s="1" t="s">
        <v>37</v>
      </c>
      <c r="F5254" s="2" t="s">
        <v>2173</v>
      </c>
      <c r="G5254" s="1">
        <v>182.91</v>
      </c>
      <c r="H5254" s="1">
        <v>3</v>
      </c>
      <c r="I5254" s="1">
        <v>53.043900000000001</v>
      </c>
    </row>
    <row r="5255" spans="1:9" x14ac:dyDescent="0.35">
      <c r="A5255" s="3">
        <v>41823</v>
      </c>
      <c r="B5255" s="1" t="s">
        <v>1688</v>
      </c>
      <c r="C5255" s="1" t="s">
        <v>651</v>
      </c>
      <c r="D5255" s="1" t="s">
        <v>48</v>
      </c>
      <c r="E5255" s="1" t="s">
        <v>35</v>
      </c>
      <c r="F5255" s="2" t="s">
        <v>1812</v>
      </c>
      <c r="G5255" s="1">
        <v>107.648</v>
      </c>
      <c r="H5255" s="1">
        <v>2</v>
      </c>
      <c r="I5255" s="1">
        <v>33.64</v>
      </c>
    </row>
    <row r="5256" spans="1:9" x14ac:dyDescent="0.35">
      <c r="A5256" s="3">
        <v>42127</v>
      </c>
      <c r="B5256" s="1" t="s">
        <v>508</v>
      </c>
      <c r="C5256" s="1" t="s">
        <v>2879</v>
      </c>
      <c r="D5256" s="1" t="s">
        <v>75</v>
      </c>
      <c r="E5256" s="1" t="s">
        <v>14</v>
      </c>
      <c r="F5256" s="2" t="s">
        <v>856</v>
      </c>
      <c r="G5256" s="1">
        <v>99.372</v>
      </c>
      <c r="H5256" s="1">
        <v>2</v>
      </c>
      <c r="I5256" s="1">
        <v>-7.0979999999999999</v>
      </c>
    </row>
    <row r="5257" spans="1:9" x14ac:dyDescent="0.35">
      <c r="A5257" s="3">
        <v>42127</v>
      </c>
      <c r="B5257" s="1" t="s">
        <v>508</v>
      </c>
      <c r="C5257" s="1" t="s">
        <v>2879</v>
      </c>
      <c r="D5257" s="1" t="s">
        <v>75</v>
      </c>
      <c r="E5257" s="1" t="s">
        <v>29</v>
      </c>
      <c r="F5257" s="2" t="s">
        <v>2460</v>
      </c>
      <c r="G5257" s="1">
        <v>33.567999999999998</v>
      </c>
      <c r="H5257" s="1">
        <v>2</v>
      </c>
      <c r="I5257" s="1">
        <v>-5.4547999999999996</v>
      </c>
    </row>
    <row r="5258" spans="1:9" x14ac:dyDescent="0.35">
      <c r="A5258" s="3">
        <v>42590</v>
      </c>
      <c r="B5258" s="1" t="s">
        <v>901</v>
      </c>
      <c r="C5258" s="1" t="s">
        <v>1999</v>
      </c>
      <c r="D5258" s="1" t="s">
        <v>322</v>
      </c>
      <c r="E5258" s="1" t="s">
        <v>44</v>
      </c>
      <c r="F5258" s="2" t="s">
        <v>2385</v>
      </c>
      <c r="G5258" s="1">
        <v>10.56</v>
      </c>
      <c r="H5258" s="1">
        <v>2</v>
      </c>
      <c r="I5258" s="1">
        <v>4.7519999999999998</v>
      </c>
    </row>
    <row r="5259" spans="1:9" x14ac:dyDescent="0.35">
      <c r="A5259" s="3">
        <v>42795</v>
      </c>
      <c r="B5259" s="1" t="s">
        <v>463</v>
      </c>
      <c r="C5259" s="1" t="s">
        <v>2044</v>
      </c>
      <c r="D5259" s="1" t="s">
        <v>18</v>
      </c>
      <c r="E5259" s="1" t="s">
        <v>44</v>
      </c>
      <c r="F5259" s="2" t="s">
        <v>1412</v>
      </c>
      <c r="G5259" s="1">
        <v>38.880000000000003</v>
      </c>
      <c r="H5259" s="1">
        <v>6</v>
      </c>
      <c r="I5259" s="1">
        <v>18.662400000000002</v>
      </c>
    </row>
    <row r="5260" spans="1:9" x14ac:dyDescent="0.35">
      <c r="A5260" s="3">
        <v>42988</v>
      </c>
      <c r="B5260" s="1" t="s">
        <v>774</v>
      </c>
      <c r="C5260" s="1" t="s">
        <v>17</v>
      </c>
      <c r="D5260" s="1" t="s">
        <v>18</v>
      </c>
      <c r="E5260" s="1" t="s">
        <v>44</v>
      </c>
      <c r="F5260" s="2" t="s">
        <v>1260</v>
      </c>
      <c r="G5260" s="1">
        <v>35.200000000000003</v>
      </c>
      <c r="H5260" s="1">
        <v>5</v>
      </c>
      <c r="I5260" s="1">
        <v>16.544</v>
      </c>
    </row>
    <row r="5261" spans="1:9" x14ac:dyDescent="0.35">
      <c r="A5261" s="3" t="s">
        <v>3259</v>
      </c>
      <c r="B5261" s="1" t="s">
        <v>92</v>
      </c>
      <c r="C5261" s="1" t="s">
        <v>74</v>
      </c>
      <c r="D5261" s="1" t="s">
        <v>75</v>
      </c>
      <c r="E5261" s="1" t="s">
        <v>44</v>
      </c>
      <c r="F5261" s="2" t="s">
        <v>1126</v>
      </c>
      <c r="G5261" s="1">
        <v>45.527999999999999</v>
      </c>
      <c r="H5261" s="1">
        <v>3</v>
      </c>
      <c r="I5261" s="1">
        <v>15.934799999999999</v>
      </c>
    </row>
    <row r="5262" spans="1:9" x14ac:dyDescent="0.35">
      <c r="A5262" s="3">
        <v>41829</v>
      </c>
      <c r="B5262" s="1" t="s">
        <v>1613</v>
      </c>
      <c r="C5262" s="1" t="s">
        <v>93</v>
      </c>
      <c r="D5262" s="1" t="s">
        <v>52</v>
      </c>
      <c r="E5262" s="1" t="s">
        <v>33</v>
      </c>
      <c r="F5262" s="2" t="s">
        <v>2253</v>
      </c>
      <c r="G5262" s="1">
        <v>196.77600000000001</v>
      </c>
      <c r="H5262" s="1">
        <v>3</v>
      </c>
      <c r="I5262" s="1">
        <v>14.7582</v>
      </c>
    </row>
    <row r="5263" spans="1:9" x14ac:dyDescent="0.35">
      <c r="A5263" s="3">
        <v>41829</v>
      </c>
      <c r="B5263" s="1" t="s">
        <v>1613</v>
      </c>
      <c r="C5263" s="1" t="s">
        <v>93</v>
      </c>
      <c r="D5263" s="1" t="s">
        <v>52</v>
      </c>
      <c r="E5263" s="1" t="s">
        <v>35</v>
      </c>
      <c r="F5263" s="2" t="s">
        <v>649</v>
      </c>
      <c r="G5263" s="1">
        <v>2.92</v>
      </c>
      <c r="H5263" s="1">
        <v>2</v>
      </c>
      <c r="I5263" s="1">
        <v>-4.8179999999999996</v>
      </c>
    </row>
    <row r="5264" spans="1:9" x14ac:dyDescent="0.35">
      <c r="A5264" s="3">
        <v>41829</v>
      </c>
      <c r="B5264" s="1" t="s">
        <v>1613</v>
      </c>
      <c r="C5264" s="1" t="s">
        <v>93</v>
      </c>
      <c r="D5264" s="1" t="s">
        <v>52</v>
      </c>
      <c r="E5264" s="1" t="s">
        <v>24</v>
      </c>
      <c r="F5264" s="2" t="s">
        <v>1273</v>
      </c>
      <c r="G5264" s="1">
        <v>200.79499999999999</v>
      </c>
      <c r="H5264" s="1">
        <v>1</v>
      </c>
      <c r="I5264" s="1">
        <v>-22.948</v>
      </c>
    </row>
    <row r="5265" spans="1:9" x14ac:dyDescent="0.35">
      <c r="A5265" s="3">
        <v>41829</v>
      </c>
      <c r="B5265" s="1" t="s">
        <v>1613</v>
      </c>
      <c r="C5265" s="1" t="s">
        <v>93</v>
      </c>
      <c r="D5265" s="1" t="s">
        <v>52</v>
      </c>
      <c r="E5265" s="1" t="s">
        <v>81</v>
      </c>
      <c r="F5265" s="2" t="s">
        <v>1996</v>
      </c>
      <c r="G5265" s="1">
        <v>46.688000000000002</v>
      </c>
      <c r="H5265" s="1">
        <v>4</v>
      </c>
      <c r="I5265" s="1">
        <v>-2.9180000000000001</v>
      </c>
    </row>
    <row r="5266" spans="1:9" x14ac:dyDescent="0.35">
      <c r="A5266" s="3">
        <v>41829</v>
      </c>
      <c r="B5266" s="1" t="s">
        <v>1613</v>
      </c>
      <c r="C5266" s="1" t="s">
        <v>93</v>
      </c>
      <c r="D5266" s="1" t="s">
        <v>52</v>
      </c>
      <c r="E5266" s="1" t="s">
        <v>31</v>
      </c>
      <c r="F5266" s="2" t="s">
        <v>2638</v>
      </c>
      <c r="G5266" s="1">
        <v>21.864000000000001</v>
      </c>
      <c r="H5266" s="1">
        <v>3</v>
      </c>
      <c r="I5266" s="1">
        <v>3.5529000000000002</v>
      </c>
    </row>
    <row r="5267" spans="1:9" x14ac:dyDescent="0.35">
      <c r="A5267" s="3" t="s">
        <v>3628</v>
      </c>
      <c r="B5267" s="1" t="s">
        <v>2488</v>
      </c>
      <c r="C5267" s="1" t="s">
        <v>47</v>
      </c>
      <c r="D5267" s="1" t="s">
        <v>48</v>
      </c>
      <c r="E5267" s="1" t="s">
        <v>44</v>
      </c>
      <c r="F5267" s="2" t="s">
        <v>1706</v>
      </c>
      <c r="G5267" s="1">
        <v>11.76</v>
      </c>
      <c r="H5267" s="1">
        <v>2</v>
      </c>
      <c r="I5267" s="1">
        <v>5.7624000000000004</v>
      </c>
    </row>
    <row r="5268" spans="1:9" x14ac:dyDescent="0.35">
      <c r="A5268" s="3" t="s">
        <v>3628</v>
      </c>
      <c r="B5268" s="1" t="s">
        <v>2488</v>
      </c>
      <c r="C5268" s="1" t="s">
        <v>47</v>
      </c>
      <c r="D5268" s="1" t="s">
        <v>48</v>
      </c>
      <c r="E5268" s="1" t="s">
        <v>44</v>
      </c>
      <c r="F5268" s="2" t="s">
        <v>2599</v>
      </c>
      <c r="G5268" s="1">
        <v>167.94</v>
      </c>
      <c r="H5268" s="1">
        <v>3</v>
      </c>
      <c r="I5268" s="1">
        <v>82.290599999999998</v>
      </c>
    </row>
    <row r="5269" spans="1:9" x14ac:dyDescent="0.35">
      <c r="A5269" s="3" t="s">
        <v>3628</v>
      </c>
      <c r="B5269" s="1" t="s">
        <v>2488</v>
      </c>
      <c r="C5269" s="1" t="s">
        <v>47</v>
      </c>
      <c r="D5269" s="1" t="s">
        <v>48</v>
      </c>
      <c r="E5269" s="1" t="s">
        <v>37</v>
      </c>
      <c r="F5269" s="2" t="s">
        <v>1737</v>
      </c>
      <c r="G5269" s="1">
        <v>3.89</v>
      </c>
      <c r="H5269" s="1">
        <v>1</v>
      </c>
      <c r="I5269" s="1">
        <v>1.0114000000000001</v>
      </c>
    </row>
    <row r="5270" spans="1:9" x14ac:dyDescent="0.35">
      <c r="A5270" s="3" t="s">
        <v>3283</v>
      </c>
      <c r="B5270" s="1" t="s">
        <v>1516</v>
      </c>
      <c r="C5270" s="1" t="s">
        <v>1387</v>
      </c>
      <c r="D5270" s="1" t="s">
        <v>136</v>
      </c>
      <c r="E5270" s="1" t="s">
        <v>338</v>
      </c>
      <c r="F5270" s="2" t="s">
        <v>2880</v>
      </c>
      <c r="G5270" s="1">
        <v>52.44</v>
      </c>
      <c r="H5270" s="1">
        <v>4</v>
      </c>
      <c r="I5270" s="1">
        <v>24.122399999999999</v>
      </c>
    </row>
    <row r="5271" spans="1:9" x14ac:dyDescent="0.35">
      <c r="A5271" s="3">
        <v>43048</v>
      </c>
      <c r="B5271" s="1" t="s">
        <v>382</v>
      </c>
      <c r="C5271" s="1" t="s">
        <v>64</v>
      </c>
      <c r="D5271" s="1" t="s">
        <v>18</v>
      </c>
      <c r="E5271" s="1" t="s">
        <v>29</v>
      </c>
      <c r="F5271" s="2" t="s">
        <v>177</v>
      </c>
      <c r="G5271" s="1">
        <v>32.36</v>
      </c>
      <c r="H5271" s="1">
        <v>4</v>
      </c>
      <c r="I5271" s="1">
        <v>11.6496</v>
      </c>
    </row>
    <row r="5272" spans="1:9" x14ac:dyDescent="0.35">
      <c r="A5272" s="3">
        <v>43048</v>
      </c>
      <c r="B5272" s="1" t="s">
        <v>382</v>
      </c>
      <c r="C5272" s="1" t="s">
        <v>64</v>
      </c>
      <c r="D5272" s="1" t="s">
        <v>18</v>
      </c>
      <c r="E5272" s="1" t="s">
        <v>37</v>
      </c>
      <c r="F5272" s="2" t="s">
        <v>1251</v>
      </c>
      <c r="G5272" s="1">
        <v>406.6</v>
      </c>
      <c r="H5272" s="1">
        <v>5</v>
      </c>
      <c r="I5272" s="1">
        <v>113.848</v>
      </c>
    </row>
    <row r="5273" spans="1:9" x14ac:dyDescent="0.35">
      <c r="A5273" s="3" t="s">
        <v>3629</v>
      </c>
      <c r="B5273" s="1" t="s">
        <v>2561</v>
      </c>
      <c r="C5273" s="1" t="s">
        <v>17</v>
      </c>
      <c r="D5273" s="1" t="s">
        <v>18</v>
      </c>
      <c r="E5273" s="1" t="s">
        <v>29</v>
      </c>
      <c r="F5273" s="2" t="s">
        <v>30</v>
      </c>
      <c r="G5273" s="1">
        <v>27.92</v>
      </c>
      <c r="H5273" s="1">
        <v>4</v>
      </c>
      <c r="I5273" s="1">
        <v>8.0968</v>
      </c>
    </row>
    <row r="5274" spans="1:9" x14ac:dyDescent="0.35">
      <c r="A5274" s="3" t="s">
        <v>3629</v>
      </c>
      <c r="B5274" s="1" t="s">
        <v>2561</v>
      </c>
      <c r="C5274" s="1" t="s">
        <v>17</v>
      </c>
      <c r="D5274" s="1" t="s">
        <v>18</v>
      </c>
      <c r="E5274" s="1" t="s">
        <v>24</v>
      </c>
      <c r="F5274" s="2" t="s">
        <v>1244</v>
      </c>
      <c r="G5274" s="1">
        <v>399.67200000000003</v>
      </c>
      <c r="H5274" s="1">
        <v>7</v>
      </c>
      <c r="I5274" s="1">
        <v>-14.9877</v>
      </c>
    </row>
    <row r="5275" spans="1:9" x14ac:dyDescent="0.35">
      <c r="A5275" s="3" t="s">
        <v>3630</v>
      </c>
      <c r="B5275" s="1" t="s">
        <v>238</v>
      </c>
      <c r="C5275" s="1" t="s">
        <v>672</v>
      </c>
      <c r="D5275" s="1" t="s">
        <v>23</v>
      </c>
      <c r="E5275" s="1" t="s">
        <v>35</v>
      </c>
      <c r="F5275" s="2" t="s">
        <v>1285</v>
      </c>
      <c r="G5275" s="1">
        <v>3.7440000000000002</v>
      </c>
      <c r="H5275" s="1">
        <v>4</v>
      </c>
      <c r="I5275" s="1">
        <v>-2.6208</v>
      </c>
    </row>
    <row r="5276" spans="1:9" x14ac:dyDescent="0.35">
      <c r="A5276" s="3">
        <v>42196</v>
      </c>
      <c r="B5276" s="1" t="s">
        <v>2326</v>
      </c>
      <c r="C5276" s="1" t="s">
        <v>1011</v>
      </c>
      <c r="D5276" s="1" t="s">
        <v>2122</v>
      </c>
      <c r="E5276" s="1" t="s">
        <v>14</v>
      </c>
      <c r="F5276" s="2" t="s">
        <v>842</v>
      </c>
      <c r="G5276" s="1">
        <v>715.2</v>
      </c>
      <c r="H5276" s="1">
        <v>3</v>
      </c>
      <c r="I5276" s="1">
        <v>178.8</v>
      </c>
    </row>
    <row r="5277" spans="1:9" x14ac:dyDescent="0.35">
      <c r="A5277" s="3" t="s">
        <v>3305</v>
      </c>
      <c r="B5277" s="1" t="s">
        <v>517</v>
      </c>
      <c r="C5277" s="1" t="s">
        <v>796</v>
      </c>
      <c r="D5277" s="1" t="s">
        <v>797</v>
      </c>
      <c r="E5277" s="1" t="s">
        <v>81</v>
      </c>
      <c r="F5277" s="2" t="s">
        <v>479</v>
      </c>
      <c r="G5277" s="1">
        <v>159.80000000000001</v>
      </c>
      <c r="H5277" s="1">
        <v>4</v>
      </c>
      <c r="I5277" s="1">
        <v>70.311999999999998</v>
      </c>
    </row>
    <row r="5278" spans="1:9" x14ac:dyDescent="0.35">
      <c r="A5278" s="3" t="s">
        <v>3305</v>
      </c>
      <c r="B5278" s="1" t="s">
        <v>517</v>
      </c>
      <c r="C5278" s="1" t="s">
        <v>796</v>
      </c>
      <c r="D5278" s="1" t="s">
        <v>797</v>
      </c>
      <c r="E5278" s="1" t="s">
        <v>81</v>
      </c>
      <c r="F5278" s="2" t="s">
        <v>1760</v>
      </c>
      <c r="G5278" s="1">
        <v>44.75</v>
      </c>
      <c r="H5278" s="1">
        <v>5</v>
      </c>
      <c r="I5278" s="1">
        <v>8.5024999999999995</v>
      </c>
    </row>
    <row r="5279" spans="1:9" x14ac:dyDescent="0.35">
      <c r="A5279" s="3" t="s">
        <v>3434</v>
      </c>
      <c r="B5279" s="1" t="s">
        <v>2159</v>
      </c>
      <c r="C5279" s="1" t="s">
        <v>2627</v>
      </c>
      <c r="D5279" s="1" t="s">
        <v>52</v>
      </c>
      <c r="E5279" s="1" t="s">
        <v>14</v>
      </c>
      <c r="F5279" s="2" t="s">
        <v>354</v>
      </c>
      <c r="G5279" s="1">
        <v>340.11599999999999</v>
      </c>
      <c r="H5279" s="1">
        <v>6</v>
      </c>
      <c r="I5279" s="1">
        <v>-9.7175999999999991</v>
      </c>
    </row>
    <row r="5280" spans="1:9" x14ac:dyDescent="0.35">
      <c r="A5280" s="3">
        <v>41832</v>
      </c>
      <c r="B5280" s="1" t="s">
        <v>567</v>
      </c>
      <c r="C5280" s="1" t="s">
        <v>1306</v>
      </c>
      <c r="D5280" s="1" t="s">
        <v>163</v>
      </c>
      <c r="E5280" s="1" t="s">
        <v>44</v>
      </c>
      <c r="F5280" s="2" t="s">
        <v>1603</v>
      </c>
      <c r="G5280" s="1">
        <v>105.52</v>
      </c>
      <c r="H5280" s="1">
        <v>4</v>
      </c>
      <c r="I5280" s="1">
        <v>48.539200000000001</v>
      </c>
    </row>
    <row r="5281" spans="1:9" x14ac:dyDescent="0.35">
      <c r="A5281" s="3">
        <v>42925</v>
      </c>
      <c r="B5281" s="1" t="s">
        <v>667</v>
      </c>
      <c r="C5281" s="1" t="s">
        <v>1147</v>
      </c>
      <c r="D5281" s="1" t="s">
        <v>57</v>
      </c>
      <c r="E5281" s="1" t="s">
        <v>81</v>
      </c>
      <c r="F5281" s="2" t="s">
        <v>2594</v>
      </c>
      <c r="G5281" s="1">
        <v>13.48</v>
      </c>
      <c r="H5281" s="1">
        <v>1</v>
      </c>
      <c r="I5281" s="1">
        <v>1.8872</v>
      </c>
    </row>
    <row r="5282" spans="1:9" x14ac:dyDescent="0.35">
      <c r="A5282" s="3">
        <v>42926</v>
      </c>
      <c r="B5282" s="1" t="s">
        <v>828</v>
      </c>
      <c r="C5282" s="1" t="s">
        <v>429</v>
      </c>
      <c r="D5282" s="1" t="s">
        <v>120</v>
      </c>
      <c r="E5282" s="1" t="s">
        <v>26</v>
      </c>
      <c r="F5282" s="2" t="s">
        <v>2239</v>
      </c>
      <c r="G5282" s="1">
        <v>85.52</v>
      </c>
      <c r="H5282" s="1">
        <v>2</v>
      </c>
      <c r="I5282" s="1">
        <v>22.235199999999999</v>
      </c>
    </row>
    <row r="5283" spans="1:9" x14ac:dyDescent="0.35">
      <c r="A5283" s="3">
        <v>42133</v>
      </c>
      <c r="B5283" s="1" t="s">
        <v>553</v>
      </c>
      <c r="C5283" s="1" t="s">
        <v>197</v>
      </c>
      <c r="D5283" s="1" t="s">
        <v>115</v>
      </c>
      <c r="E5283" s="1" t="s">
        <v>29</v>
      </c>
      <c r="F5283" s="2" t="s">
        <v>132</v>
      </c>
      <c r="G5283" s="1">
        <v>6.16</v>
      </c>
      <c r="H5283" s="1">
        <v>2</v>
      </c>
      <c r="I5283" s="1">
        <v>2.9567999999999999</v>
      </c>
    </row>
    <row r="5284" spans="1:9" x14ac:dyDescent="0.35">
      <c r="A5284" s="3">
        <v>42133</v>
      </c>
      <c r="B5284" s="1" t="s">
        <v>553</v>
      </c>
      <c r="C5284" s="1" t="s">
        <v>197</v>
      </c>
      <c r="D5284" s="1" t="s">
        <v>115</v>
      </c>
      <c r="E5284" s="1" t="s">
        <v>44</v>
      </c>
      <c r="F5284" s="2" t="s">
        <v>595</v>
      </c>
      <c r="G5284" s="1">
        <v>36.840000000000003</v>
      </c>
      <c r="H5284" s="1">
        <v>3</v>
      </c>
      <c r="I5284" s="1">
        <v>17.314800000000002</v>
      </c>
    </row>
    <row r="5285" spans="1:9" x14ac:dyDescent="0.35">
      <c r="A5285" s="3" t="s">
        <v>3294</v>
      </c>
      <c r="B5285" s="1" t="s">
        <v>473</v>
      </c>
      <c r="C5285" s="1" t="s">
        <v>47</v>
      </c>
      <c r="D5285" s="1" t="s">
        <v>48</v>
      </c>
      <c r="E5285" s="1" t="s">
        <v>26</v>
      </c>
      <c r="F5285" s="2" t="s">
        <v>2501</v>
      </c>
      <c r="G5285" s="1">
        <v>15.84</v>
      </c>
      <c r="H5285" s="1">
        <v>3</v>
      </c>
      <c r="I5285" s="1">
        <v>0</v>
      </c>
    </row>
    <row r="5286" spans="1:9" x14ac:dyDescent="0.35">
      <c r="A5286" s="3" t="s">
        <v>3294</v>
      </c>
      <c r="B5286" s="1" t="s">
        <v>473</v>
      </c>
      <c r="C5286" s="1" t="s">
        <v>47</v>
      </c>
      <c r="D5286" s="1" t="s">
        <v>48</v>
      </c>
      <c r="E5286" s="1" t="s">
        <v>19</v>
      </c>
      <c r="F5286" s="2" t="s">
        <v>1025</v>
      </c>
      <c r="G5286" s="1">
        <v>44.4</v>
      </c>
      <c r="H5286" s="1">
        <v>3</v>
      </c>
      <c r="I5286" s="1">
        <v>22.2</v>
      </c>
    </row>
    <row r="5287" spans="1:9" x14ac:dyDescent="0.35">
      <c r="A5287" s="3">
        <v>42860</v>
      </c>
      <c r="B5287" s="1" t="s">
        <v>1091</v>
      </c>
      <c r="C5287" s="1" t="s">
        <v>697</v>
      </c>
      <c r="D5287" s="1" t="s">
        <v>229</v>
      </c>
      <c r="E5287" s="1" t="s">
        <v>87</v>
      </c>
      <c r="F5287" s="2" t="s">
        <v>252</v>
      </c>
      <c r="G5287" s="1">
        <v>21.24</v>
      </c>
      <c r="H5287" s="1">
        <v>9</v>
      </c>
      <c r="I5287" s="1">
        <v>7.4340000000000002</v>
      </c>
    </row>
    <row r="5288" spans="1:9" x14ac:dyDescent="0.35">
      <c r="A5288" s="3">
        <v>42860</v>
      </c>
      <c r="B5288" s="1" t="s">
        <v>1091</v>
      </c>
      <c r="C5288" s="1" t="s">
        <v>697</v>
      </c>
      <c r="D5288" s="1" t="s">
        <v>229</v>
      </c>
      <c r="E5288" s="1" t="s">
        <v>35</v>
      </c>
      <c r="F5288" s="2" t="s">
        <v>273</v>
      </c>
      <c r="G5288" s="1">
        <v>9.5519999999999996</v>
      </c>
      <c r="H5288" s="1">
        <v>8</v>
      </c>
      <c r="I5288" s="1">
        <v>-7.3231999999999999</v>
      </c>
    </row>
    <row r="5289" spans="1:9" x14ac:dyDescent="0.35">
      <c r="A5289" s="3">
        <v>42860</v>
      </c>
      <c r="B5289" s="1" t="s">
        <v>1091</v>
      </c>
      <c r="C5289" s="1" t="s">
        <v>697</v>
      </c>
      <c r="D5289" s="1" t="s">
        <v>229</v>
      </c>
      <c r="E5289" s="1" t="s">
        <v>12</v>
      </c>
      <c r="F5289" s="2" t="s">
        <v>1512</v>
      </c>
      <c r="G5289" s="1">
        <v>89.991</v>
      </c>
      <c r="H5289" s="1">
        <v>3</v>
      </c>
      <c r="I5289" s="1">
        <v>-152.9847</v>
      </c>
    </row>
    <row r="5290" spans="1:9" x14ac:dyDescent="0.35">
      <c r="A5290" s="3" t="s">
        <v>3255</v>
      </c>
      <c r="B5290" s="1" t="s">
        <v>266</v>
      </c>
      <c r="C5290" s="1" t="s">
        <v>64</v>
      </c>
      <c r="D5290" s="1" t="s">
        <v>18</v>
      </c>
      <c r="E5290" s="1" t="s">
        <v>44</v>
      </c>
      <c r="F5290" s="2" t="s">
        <v>1879</v>
      </c>
      <c r="G5290" s="1">
        <v>163.96</v>
      </c>
      <c r="H5290" s="1">
        <v>4</v>
      </c>
      <c r="I5290" s="1">
        <v>80.340400000000002</v>
      </c>
    </row>
    <row r="5291" spans="1:9" x14ac:dyDescent="0.35">
      <c r="A5291" s="3">
        <v>41860</v>
      </c>
      <c r="B5291" s="1" t="s">
        <v>1605</v>
      </c>
      <c r="C5291" s="1" t="s">
        <v>93</v>
      </c>
      <c r="D5291" s="1" t="s">
        <v>52</v>
      </c>
      <c r="E5291" s="1" t="s">
        <v>44</v>
      </c>
      <c r="F5291" s="2" t="s">
        <v>1458</v>
      </c>
      <c r="G5291" s="1">
        <v>17.904</v>
      </c>
      <c r="H5291" s="1">
        <v>2</v>
      </c>
      <c r="I5291" s="1">
        <v>6.2664</v>
      </c>
    </row>
    <row r="5292" spans="1:9" x14ac:dyDescent="0.35">
      <c r="A5292" s="3">
        <v>41860</v>
      </c>
      <c r="B5292" s="1" t="s">
        <v>1605</v>
      </c>
      <c r="C5292" s="1" t="s">
        <v>93</v>
      </c>
      <c r="D5292" s="1" t="s">
        <v>52</v>
      </c>
      <c r="E5292" s="1" t="s">
        <v>14</v>
      </c>
      <c r="F5292" s="2" t="s">
        <v>341</v>
      </c>
      <c r="G5292" s="1">
        <v>966.7</v>
      </c>
      <c r="H5292" s="1">
        <v>5</v>
      </c>
      <c r="I5292" s="1">
        <v>-13.81</v>
      </c>
    </row>
    <row r="5293" spans="1:9" x14ac:dyDescent="0.35">
      <c r="A5293" s="3">
        <v>41860</v>
      </c>
      <c r="B5293" s="1" t="s">
        <v>1605</v>
      </c>
      <c r="C5293" s="1" t="s">
        <v>93</v>
      </c>
      <c r="D5293" s="1" t="s">
        <v>52</v>
      </c>
      <c r="E5293" s="1" t="s">
        <v>44</v>
      </c>
      <c r="F5293" s="2" t="s">
        <v>164</v>
      </c>
      <c r="G5293" s="1">
        <v>182.11199999999999</v>
      </c>
      <c r="H5293" s="1">
        <v>6</v>
      </c>
      <c r="I5293" s="1">
        <v>61.462800000000001</v>
      </c>
    </row>
    <row r="5294" spans="1:9" x14ac:dyDescent="0.35">
      <c r="A5294" s="3" t="s">
        <v>3631</v>
      </c>
      <c r="B5294" s="1" t="s">
        <v>1143</v>
      </c>
      <c r="C5294" s="1" t="s">
        <v>672</v>
      </c>
      <c r="D5294" s="1" t="s">
        <v>23</v>
      </c>
      <c r="E5294" s="1" t="s">
        <v>26</v>
      </c>
      <c r="F5294" s="2" t="s">
        <v>2366</v>
      </c>
      <c r="G5294" s="1">
        <v>4.4640000000000004</v>
      </c>
      <c r="H5294" s="1">
        <v>1</v>
      </c>
      <c r="I5294" s="1">
        <v>0.33479999999999999</v>
      </c>
    </row>
    <row r="5295" spans="1:9" x14ac:dyDescent="0.35">
      <c r="A5295" s="3" t="s">
        <v>3632</v>
      </c>
      <c r="B5295" s="1" t="s">
        <v>1765</v>
      </c>
      <c r="C5295" s="1" t="s">
        <v>414</v>
      </c>
      <c r="D5295" s="1" t="s">
        <v>250</v>
      </c>
      <c r="E5295" s="1" t="s">
        <v>24</v>
      </c>
      <c r="F5295" s="2" t="s">
        <v>1421</v>
      </c>
      <c r="G5295" s="1">
        <v>51.588000000000001</v>
      </c>
      <c r="H5295" s="1">
        <v>1</v>
      </c>
      <c r="I5295" s="1">
        <v>-15.4764</v>
      </c>
    </row>
    <row r="5296" spans="1:9" x14ac:dyDescent="0.35">
      <c r="A5296" s="3" t="s">
        <v>3187</v>
      </c>
      <c r="B5296" s="1" t="s">
        <v>2296</v>
      </c>
      <c r="C5296" s="1" t="s">
        <v>283</v>
      </c>
      <c r="D5296" s="1" t="s">
        <v>115</v>
      </c>
      <c r="E5296" s="1" t="s">
        <v>19</v>
      </c>
      <c r="F5296" s="2" t="s">
        <v>2881</v>
      </c>
      <c r="G5296" s="1">
        <v>50.4</v>
      </c>
      <c r="H5296" s="1">
        <v>8</v>
      </c>
      <c r="I5296" s="1">
        <v>23.184000000000001</v>
      </c>
    </row>
    <row r="5297" spans="1:9" x14ac:dyDescent="0.35">
      <c r="A5297" s="3">
        <v>42828</v>
      </c>
      <c r="B5297" s="1" t="s">
        <v>127</v>
      </c>
      <c r="C5297" s="1" t="s">
        <v>93</v>
      </c>
      <c r="D5297" s="1" t="s">
        <v>52</v>
      </c>
      <c r="E5297" s="1" t="s">
        <v>44</v>
      </c>
      <c r="F5297" s="2" t="s">
        <v>1621</v>
      </c>
      <c r="G5297" s="1">
        <v>89.567999999999998</v>
      </c>
      <c r="H5297" s="1">
        <v>2</v>
      </c>
      <c r="I5297" s="1">
        <v>32.468400000000003</v>
      </c>
    </row>
    <row r="5298" spans="1:9" x14ac:dyDescent="0.35">
      <c r="A5298" s="3" t="s">
        <v>3504</v>
      </c>
      <c r="B5298" s="1" t="s">
        <v>2787</v>
      </c>
      <c r="C5298" s="1" t="s">
        <v>1387</v>
      </c>
      <c r="D5298" s="1" t="s">
        <v>136</v>
      </c>
      <c r="E5298" s="1" t="s">
        <v>29</v>
      </c>
      <c r="F5298" s="2" t="s">
        <v>1588</v>
      </c>
      <c r="G5298" s="1">
        <v>14.89</v>
      </c>
      <c r="H5298" s="1">
        <v>1</v>
      </c>
      <c r="I5298" s="1">
        <v>4.0202999999999998</v>
      </c>
    </row>
    <row r="5299" spans="1:9" x14ac:dyDescent="0.35">
      <c r="A5299" s="3" t="s">
        <v>3504</v>
      </c>
      <c r="B5299" s="1" t="s">
        <v>2787</v>
      </c>
      <c r="C5299" s="1" t="s">
        <v>1387</v>
      </c>
      <c r="D5299" s="1" t="s">
        <v>136</v>
      </c>
      <c r="E5299" s="1" t="s">
        <v>33</v>
      </c>
      <c r="F5299" s="2" t="s">
        <v>1221</v>
      </c>
      <c r="G5299" s="1">
        <v>543.91999999999996</v>
      </c>
      <c r="H5299" s="1">
        <v>8</v>
      </c>
      <c r="I5299" s="1">
        <v>135.97999999999999</v>
      </c>
    </row>
    <row r="5300" spans="1:9" x14ac:dyDescent="0.35">
      <c r="A5300" s="3" t="s">
        <v>3443</v>
      </c>
      <c r="B5300" s="1" t="s">
        <v>16</v>
      </c>
      <c r="C5300" s="1" t="s">
        <v>461</v>
      </c>
      <c r="D5300" s="1" t="s">
        <v>18</v>
      </c>
      <c r="E5300" s="1" t="s">
        <v>87</v>
      </c>
      <c r="F5300" s="2" t="s">
        <v>88</v>
      </c>
      <c r="G5300" s="1">
        <v>4.08</v>
      </c>
      <c r="H5300" s="1">
        <v>2</v>
      </c>
      <c r="I5300" s="1">
        <v>1.9176</v>
      </c>
    </row>
    <row r="5301" spans="1:9" x14ac:dyDescent="0.35">
      <c r="A5301" s="3" t="s">
        <v>3443</v>
      </c>
      <c r="B5301" s="1" t="s">
        <v>16</v>
      </c>
      <c r="C5301" s="1" t="s">
        <v>461</v>
      </c>
      <c r="D5301" s="1" t="s">
        <v>18</v>
      </c>
      <c r="E5301" s="1" t="s">
        <v>19</v>
      </c>
      <c r="F5301" s="2" t="s">
        <v>351</v>
      </c>
      <c r="G5301" s="1">
        <v>18.899999999999999</v>
      </c>
      <c r="H5301" s="1">
        <v>3</v>
      </c>
      <c r="I5301" s="1">
        <v>8.6940000000000008</v>
      </c>
    </row>
    <row r="5302" spans="1:9" x14ac:dyDescent="0.35">
      <c r="A5302" s="3" t="s">
        <v>3633</v>
      </c>
      <c r="B5302" s="1" t="s">
        <v>2562</v>
      </c>
      <c r="C5302" s="1" t="s">
        <v>162</v>
      </c>
      <c r="D5302" s="1" t="s">
        <v>163</v>
      </c>
      <c r="E5302" s="1" t="s">
        <v>24</v>
      </c>
      <c r="F5302" s="2" t="s">
        <v>2214</v>
      </c>
      <c r="G5302" s="1">
        <v>2275.5</v>
      </c>
      <c r="H5302" s="1">
        <v>10</v>
      </c>
      <c r="I5302" s="1">
        <v>386.83499999999998</v>
      </c>
    </row>
    <row r="5303" spans="1:9" x14ac:dyDescent="0.35">
      <c r="A5303" s="3" t="s">
        <v>3633</v>
      </c>
      <c r="B5303" s="1" t="s">
        <v>2562</v>
      </c>
      <c r="C5303" s="1" t="s">
        <v>162</v>
      </c>
      <c r="D5303" s="1" t="s">
        <v>163</v>
      </c>
      <c r="E5303" s="1" t="s">
        <v>81</v>
      </c>
      <c r="F5303" s="2" t="s">
        <v>1313</v>
      </c>
      <c r="G5303" s="1">
        <v>1979.7</v>
      </c>
      <c r="H5303" s="1">
        <v>6</v>
      </c>
      <c r="I5303" s="1">
        <v>653.30100000000004</v>
      </c>
    </row>
    <row r="5304" spans="1:9" x14ac:dyDescent="0.35">
      <c r="A5304" s="3" t="s">
        <v>3633</v>
      </c>
      <c r="B5304" s="1" t="s">
        <v>2562</v>
      </c>
      <c r="C5304" s="1" t="s">
        <v>162</v>
      </c>
      <c r="D5304" s="1" t="s">
        <v>163</v>
      </c>
      <c r="E5304" s="1" t="s">
        <v>19</v>
      </c>
      <c r="F5304" s="2" t="s">
        <v>876</v>
      </c>
      <c r="G5304" s="1">
        <v>62.1</v>
      </c>
      <c r="H5304" s="1">
        <v>6</v>
      </c>
      <c r="I5304" s="1">
        <v>29.808</v>
      </c>
    </row>
    <row r="5305" spans="1:9" x14ac:dyDescent="0.35">
      <c r="A5305" s="3" t="s">
        <v>3449</v>
      </c>
      <c r="B5305" s="1" t="s">
        <v>1020</v>
      </c>
      <c r="C5305" s="1" t="s">
        <v>181</v>
      </c>
      <c r="D5305" s="1" t="s">
        <v>106</v>
      </c>
      <c r="E5305" s="1" t="s">
        <v>14</v>
      </c>
      <c r="F5305" s="2" t="s">
        <v>2305</v>
      </c>
      <c r="G5305" s="1">
        <v>37.295999999999999</v>
      </c>
      <c r="H5305" s="1">
        <v>2</v>
      </c>
      <c r="I5305" s="1">
        <v>-1.0656000000000001</v>
      </c>
    </row>
    <row r="5306" spans="1:9" x14ac:dyDescent="0.35">
      <c r="A5306" s="3" t="s">
        <v>3258</v>
      </c>
      <c r="B5306" s="1" t="s">
        <v>755</v>
      </c>
      <c r="C5306" s="1" t="s">
        <v>1230</v>
      </c>
      <c r="D5306" s="1" t="s">
        <v>52</v>
      </c>
      <c r="E5306" s="1" t="s">
        <v>29</v>
      </c>
      <c r="F5306" s="2" t="s">
        <v>2399</v>
      </c>
      <c r="G5306" s="1">
        <v>8.5440000000000005</v>
      </c>
      <c r="H5306" s="1">
        <v>2</v>
      </c>
      <c r="I5306" s="1">
        <v>-7.476</v>
      </c>
    </row>
    <row r="5307" spans="1:9" x14ac:dyDescent="0.35">
      <c r="A5307" s="3" t="s">
        <v>3313</v>
      </c>
      <c r="B5307" s="1" t="s">
        <v>1101</v>
      </c>
      <c r="C5307" s="1" t="s">
        <v>1061</v>
      </c>
      <c r="D5307" s="1" t="s">
        <v>136</v>
      </c>
      <c r="E5307" s="1" t="s">
        <v>29</v>
      </c>
      <c r="F5307" s="2" t="s">
        <v>215</v>
      </c>
      <c r="G5307" s="1">
        <v>68.95</v>
      </c>
      <c r="H5307" s="1">
        <v>5</v>
      </c>
      <c r="I5307" s="1">
        <v>28.959</v>
      </c>
    </row>
    <row r="5308" spans="1:9" x14ac:dyDescent="0.35">
      <c r="A5308" s="3" t="s">
        <v>3313</v>
      </c>
      <c r="B5308" s="1" t="s">
        <v>1101</v>
      </c>
      <c r="C5308" s="1" t="s">
        <v>1061</v>
      </c>
      <c r="D5308" s="1" t="s">
        <v>136</v>
      </c>
      <c r="E5308" s="1" t="s">
        <v>26</v>
      </c>
      <c r="F5308" s="2" t="s">
        <v>1051</v>
      </c>
      <c r="G5308" s="1">
        <v>296.37</v>
      </c>
      <c r="H5308" s="1">
        <v>3</v>
      </c>
      <c r="I5308" s="1">
        <v>80.019900000000007</v>
      </c>
    </row>
    <row r="5309" spans="1:9" x14ac:dyDescent="0.35">
      <c r="A5309" s="3" t="s">
        <v>3313</v>
      </c>
      <c r="B5309" s="1" t="s">
        <v>1101</v>
      </c>
      <c r="C5309" s="1" t="s">
        <v>1061</v>
      </c>
      <c r="D5309" s="1" t="s">
        <v>136</v>
      </c>
      <c r="E5309" s="1" t="s">
        <v>33</v>
      </c>
      <c r="F5309" s="2" t="s">
        <v>2882</v>
      </c>
      <c r="G5309" s="1">
        <v>39.979999999999997</v>
      </c>
      <c r="H5309" s="1">
        <v>2</v>
      </c>
      <c r="I5309" s="1">
        <v>1.9990000000000001</v>
      </c>
    </row>
    <row r="5310" spans="1:9" x14ac:dyDescent="0.35">
      <c r="A5310" s="3" t="s">
        <v>3194</v>
      </c>
      <c r="B5310" s="1" t="s">
        <v>2639</v>
      </c>
      <c r="C5310" s="1" t="s">
        <v>93</v>
      </c>
      <c r="D5310" s="1" t="s">
        <v>52</v>
      </c>
      <c r="E5310" s="1" t="s">
        <v>14</v>
      </c>
      <c r="F5310" s="2" t="s">
        <v>1997</v>
      </c>
      <c r="G5310" s="1">
        <v>191.05799999999999</v>
      </c>
      <c r="H5310" s="1">
        <v>3</v>
      </c>
      <c r="I5310" s="1">
        <v>-46.399799999999999</v>
      </c>
    </row>
    <row r="5311" spans="1:9" x14ac:dyDescent="0.35">
      <c r="A5311" s="3" t="s">
        <v>3194</v>
      </c>
      <c r="B5311" s="1" t="s">
        <v>2639</v>
      </c>
      <c r="C5311" s="1" t="s">
        <v>93</v>
      </c>
      <c r="D5311" s="1" t="s">
        <v>52</v>
      </c>
      <c r="E5311" s="1" t="s">
        <v>31</v>
      </c>
      <c r="F5311" s="2" t="s">
        <v>2883</v>
      </c>
      <c r="G5311" s="1">
        <v>13.04</v>
      </c>
      <c r="H5311" s="1">
        <v>5</v>
      </c>
      <c r="I5311" s="1">
        <v>3.9119999999999999</v>
      </c>
    </row>
    <row r="5312" spans="1:9" x14ac:dyDescent="0.35">
      <c r="A5312" s="3" t="s">
        <v>3194</v>
      </c>
      <c r="B5312" s="1" t="s">
        <v>2639</v>
      </c>
      <c r="C5312" s="1" t="s">
        <v>93</v>
      </c>
      <c r="D5312" s="1" t="s">
        <v>52</v>
      </c>
      <c r="E5312" s="1" t="s">
        <v>35</v>
      </c>
      <c r="F5312" s="2" t="s">
        <v>815</v>
      </c>
      <c r="G5312" s="1">
        <v>1525.1880000000001</v>
      </c>
      <c r="H5312" s="1">
        <v>6</v>
      </c>
      <c r="I5312" s="1">
        <v>-2287.7820000000002</v>
      </c>
    </row>
    <row r="5313" spans="1:9" x14ac:dyDescent="0.35">
      <c r="A5313" s="3" t="s">
        <v>3634</v>
      </c>
      <c r="B5313" s="1" t="s">
        <v>2581</v>
      </c>
      <c r="C5313" s="1" t="s">
        <v>1522</v>
      </c>
      <c r="D5313" s="1" t="s">
        <v>43</v>
      </c>
      <c r="E5313" s="1" t="s">
        <v>19</v>
      </c>
      <c r="F5313" s="2" t="s">
        <v>2256</v>
      </c>
      <c r="G5313" s="1">
        <v>9.2159999999999993</v>
      </c>
      <c r="H5313" s="1">
        <v>4</v>
      </c>
      <c r="I5313" s="1">
        <v>3.3408000000000002</v>
      </c>
    </row>
    <row r="5314" spans="1:9" x14ac:dyDescent="0.35">
      <c r="A5314" s="3" t="s">
        <v>3634</v>
      </c>
      <c r="B5314" s="1" t="s">
        <v>2581</v>
      </c>
      <c r="C5314" s="1" t="s">
        <v>1522</v>
      </c>
      <c r="D5314" s="1" t="s">
        <v>43</v>
      </c>
      <c r="E5314" s="1" t="s">
        <v>289</v>
      </c>
      <c r="F5314" s="2" t="s">
        <v>666</v>
      </c>
      <c r="G5314" s="1">
        <v>28.047999999999998</v>
      </c>
      <c r="H5314" s="1">
        <v>2</v>
      </c>
      <c r="I5314" s="1">
        <v>3.5059999999999998</v>
      </c>
    </row>
    <row r="5315" spans="1:9" x14ac:dyDescent="0.35">
      <c r="A5315" s="3" t="s">
        <v>3255</v>
      </c>
      <c r="B5315" s="1" t="s">
        <v>564</v>
      </c>
      <c r="C5315" s="1" t="s">
        <v>64</v>
      </c>
      <c r="D5315" s="1" t="s">
        <v>18</v>
      </c>
      <c r="E5315" s="1" t="s">
        <v>29</v>
      </c>
      <c r="F5315" s="2" t="s">
        <v>1053</v>
      </c>
      <c r="G5315" s="1">
        <v>64.959999999999994</v>
      </c>
      <c r="H5315" s="1">
        <v>2</v>
      </c>
      <c r="I5315" s="1">
        <v>21.436800000000002</v>
      </c>
    </row>
    <row r="5316" spans="1:9" x14ac:dyDescent="0.35">
      <c r="A5316" s="3" t="s">
        <v>3255</v>
      </c>
      <c r="B5316" s="1" t="s">
        <v>564</v>
      </c>
      <c r="C5316" s="1" t="s">
        <v>64</v>
      </c>
      <c r="D5316" s="1" t="s">
        <v>18</v>
      </c>
      <c r="E5316" s="1" t="s">
        <v>87</v>
      </c>
      <c r="F5316" s="2" t="s">
        <v>1040</v>
      </c>
      <c r="G5316" s="1">
        <v>30.56</v>
      </c>
      <c r="H5316" s="1">
        <v>4</v>
      </c>
      <c r="I5316" s="1">
        <v>14.974399999999999</v>
      </c>
    </row>
    <row r="5317" spans="1:9" x14ac:dyDescent="0.35">
      <c r="A5317" s="3">
        <v>42405</v>
      </c>
      <c r="B5317" s="1" t="s">
        <v>1106</v>
      </c>
      <c r="C5317" s="1" t="s">
        <v>1874</v>
      </c>
      <c r="D5317" s="1" t="s">
        <v>43</v>
      </c>
      <c r="E5317" s="1" t="s">
        <v>14</v>
      </c>
      <c r="F5317" s="2" t="s">
        <v>1355</v>
      </c>
      <c r="G5317" s="1">
        <v>187.05600000000001</v>
      </c>
      <c r="H5317" s="1">
        <v>9</v>
      </c>
      <c r="I5317" s="1">
        <v>11.691000000000001</v>
      </c>
    </row>
    <row r="5318" spans="1:9" x14ac:dyDescent="0.35">
      <c r="A5318" s="3">
        <v>42776</v>
      </c>
      <c r="B5318" s="1" t="s">
        <v>2363</v>
      </c>
      <c r="C5318" s="1" t="s">
        <v>2099</v>
      </c>
      <c r="D5318" s="1" t="s">
        <v>171</v>
      </c>
      <c r="E5318" s="1" t="s">
        <v>29</v>
      </c>
      <c r="F5318" s="2" t="s">
        <v>2074</v>
      </c>
      <c r="G5318" s="1">
        <v>11.808</v>
      </c>
      <c r="H5318" s="1">
        <v>2</v>
      </c>
      <c r="I5318" s="1">
        <v>1.3284</v>
      </c>
    </row>
    <row r="5319" spans="1:9" x14ac:dyDescent="0.35">
      <c r="A5319" s="3">
        <v>42776</v>
      </c>
      <c r="B5319" s="1" t="s">
        <v>2363</v>
      </c>
      <c r="C5319" s="1" t="s">
        <v>2099</v>
      </c>
      <c r="D5319" s="1" t="s">
        <v>171</v>
      </c>
      <c r="E5319" s="1" t="s">
        <v>29</v>
      </c>
      <c r="F5319" s="2" t="s">
        <v>2884</v>
      </c>
      <c r="G5319" s="1">
        <v>9.6560000000000006</v>
      </c>
      <c r="H5319" s="1">
        <v>1</v>
      </c>
      <c r="I5319" s="1">
        <v>1.5690999999999999</v>
      </c>
    </row>
    <row r="5320" spans="1:9" x14ac:dyDescent="0.35">
      <c r="A5320" s="3">
        <v>42776</v>
      </c>
      <c r="B5320" s="1" t="s">
        <v>2363</v>
      </c>
      <c r="C5320" s="1" t="s">
        <v>2099</v>
      </c>
      <c r="D5320" s="1" t="s">
        <v>171</v>
      </c>
      <c r="E5320" s="1" t="s">
        <v>44</v>
      </c>
      <c r="F5320" s="2" t="s">
        <v>1455</v>
      </c>
      <c r="G5320" s="1">
        <v>20.736000000000001</v>
      </c>
      <c r="H5320" s="1">
        <v>4</v>
      </c>
      <c r="I5320" s="1">
        <v>7.2576000000000001</v>
      </c>
    </row>
    <row r="5321" spans="1:9" x14ac:dyDescent="0.35">
      <c r="A5321" s="3">
        <v>42776</v>
      </c>
      <c r="B5321" s="1" t="s">
        <v>2363</v>
      </c>
      <c r="C5321" s="1" t="s">
        <v>2099</v>
      </c>
      <c r="D5321" s="1" t="s">
        <v>171</v>
      </c>
      <c r="E5321" s="1" t="s">
        <v>35</v>
      </c>
      <c r="F5321" s="2" t="s">
        <v>1672</v>
      </c>
      <c r="G5321" s="1">
        <v>27.36</v>
      </c>
      <c r="H5321" s="1">
        <v>3</v>
      </c>
      <c r="I5321" s="1">
        <v>-21.888000000000002</v>
      </c>
    </row>
    <row r="5322" spans="1:9" x14ac:dyDescent="0.35">
      <c r="A5322" s="3">
        <v>42776</v>
      </c>
      <c r="B5322" s="1" t="s">
        <v>2363</v>
      </c>
      <c r="C5322" s="1" t="s">
        <v>2099</v>
      </c>
      <c r="D5322" s="1" t="s">
        <v>171</v>
      </c>
      <c r="E5322" s="1" t="s">
        <v>24</v>
      </c>
      <c r="F5322" s="2" t="s">
        <v>1050</v>
      </c>
      <c r="G5322" s="1">
        <v>2314.116</v>
      </c>
      <c r="H5322" s="1">
        <v>7</v>
      </c>
      <c r="I5322" s="1">
        <v>-1002.7836</v>
      </c>
    </row>
    <row r="5323" spans="1:9" x14ac:dyDescent="0.35">
      <c r="A5323" s="3">
        <v>42776</v>
      </c>
      <c r="B5323" s="1" t="s">
        <v>2363</v>
      </c>
      <c r="C5323" s="1" t="s">
        <v>2099</v>
      </c>
      <c r="D5323" s="1" t="s">
        <v>171</v>
      </c>
      <c r="E5323" s="1" t="s">
        <v>35</v>
      </c>
      <c r="F5323" s="2" t="s">
        <v>1210</v>
      </c>
      <c r="G5323" s="1">
        <v>34.235999999999997</v>
      </c>
      <c r="H5323" s="1">
        <v>4</v>
      </c>
      <c r="I5323" s="1">
        <v>-26.247599999999998</v>
      </c>
    </row>
    <row r="5324" spans="1:9" x14ac:dyDescent="0.35">
      <c r="A5324" s="3">
        <v>42776</v>
      </c>
      <c r="B5324" s="1" t="s">
        <v>2363</v>
      </c>
      <c r="C5324" s="1" t="s">
        <v>2099</v>
      </c>
      <c r="D5324" s="1" t="s">
        <v>171</v>
      </c>
      <c r="E5324" s="1" t="s">
        <v>29</v>
      </c>
      <c r="F5324" s="2" t="s">
        <v>1502</v>
      </c>
      <c r="G5324" s="1">
        <v>19.760000000000002</v>
      </c>
      <c r="H5324" s="1">
        <v>2</v>
      </c>
      <c r="I5324" s="1">
        <v>5.9279999999999999</v>
      </c>
    </row>
    <row r="5325" spans="1:9" x14ac:dyDescent="0.35">
      <c r="A5325" s="3" t="s">
        <v>3179</v>
      </c>
      <c r="B5325" s="1" t="s">
        <v>2205</v>
      </c>
      <c r="C5325" s="1" t="s">
        <v>2885</v>
      </c>
      <c r="D5325" s="1" t="s">
        <v>70</v>
      </c>
      <c r="E5325" s="1" t="s">
        <v>44</v>
      </c>
      <c r="F5325" s="2" t="s">
        <v>456</v>
      </c>
      <c r="G5325" s="1">
        <v>15.96</v>
      </c>
      <c r="H5325" s="1">
        <v>2</v>
      </c>
      <c r="I5325" s="1">
        <v>7.98</v>
      </c>
    </row>
    <row r="5326" spans="1:9" x14ac:dyDescent="0.35">
      <c r="A5326" s="3">
        <v>42106</v>
      </c>
      <c r="B5326" s="1" t="s">
        <v>1295</v>
      </c>
      <c r="C5326" s="1" t="s">
        <v>536</v>
      </c>
      <c r="D5326" s="1" t="s">
        <v>18</v>
      </c>
      <c r="E5326" s="1" t="s">
        <v>31</v>
      </c>
      <c r="F5326" s="2" t="s">
        <v>1949</v>
      </c>
      <c r="G5326" s="1">
        <v>16.899999999999999</v>
      </c>
      <c r="H5326" s="1">
        <v>5</v>
      </c>
      <c r="I5326" s="1">
        <v>6.2530000000000001</v>
      </c>
    </row>
    <row r="5327" spans="1:9" x14ac:dyDescent="0.35">
      <c r="A5327" s="3">
        <v>42106</v>
      </c>
      <c r="B5327" s="1" t="s">
        <v>1295</v>
      </c>
      <c r="C5327" s="1" t="s">
        <v>536</v>
      </c>
      <c r="D5327" s="1" t="s">
        <v>18</v>
      </c>
      <c r="E5327" s="1" t="s">
        <v>29</v>
      </c>
      <c r="F5327" s="2" t="s">
        <v>1687</v>
      </c>
      <c r="G5327" s="1">
        <v>25.08</v>
      </c>
      <c r="H5327" s="1">
        <v>6</v>
      </c>
      <c r="I5327" s="1">
        <v>9.0288000000000004</v>
      </c>
    </row>
    <row r="5328" spans="1:9" x14ac:dyDescent="0.35">
      <c r="A5328" s="3" t="s">
        <v>3635</v>
      </c>
      <c r="B5328" s="1" t="s">
        <v>2180</v>
      </c>
      <c r="C5328" s="1" t="s">
        <v>700</v>
      </c>
      <c r="D5328" s="1" t="s">
        <v>592</v>
      </c>
      <c r="E5328" s="1" t="s">
        <v>31</v>
      </c>
      <c r="F5328" s="2" t="s">
        <v>2338</v>
      </c>
      <c r="G5328" s="1">
        <v>6.68</v>
      </c>
      <c r="H5328" s="1">
        <v>2</v>
      </c>
      <c r="I5328" s="1">
        <v>2.004</v>
      </c>
    </row>
    <row r="5329" spans="1:9" x14ac:dyDescent="0.35">
      <c r="A5329" s="3">
        <v>41791</v>
      </c>
      <c r="B5329" s="1" t="s">
        <v>2644</v>
      </c>
      <c r="C5329" s="1" t="s">
        <v>17</v>
      </c>
      <c r="D5329" s="1" t="s">
        <v>18</v>
      </c>
      <c r="E5329" s="1" t="s">
        <v>44</v>
      </c>
      <c r="F5329" s="2" t="s">
        <v>911</v>
      </c>
      <c r="G5329" s="1">
        <v>19.440000000000001</v>
      </c>
      <c r="H5329" s="1">
        <v>3</v>
      </c>
      <c r="I5329" s="1">
        <v>9.3312000000000008</v>
      </c>
    </row>
    <row r="5330" spans="1:9" x14ac:dyDescent="0.35">
      <c r="A5330" s="3">
        <v>42127</v>
      </c>
      <c r="B5330" s="1" t="s">
        <v>648</v>
      </c>
      <c r="C5330" s="1" t="s">
        <v>93</v>
      </c>
      <c r="D5330" s="1" t="s">
        <v>52</v>
      </c>
      <c r="E5330" s="1" t="s">
        <v>33</v>
      </c>
      <c r="F5330" s="2" t="s">
        <v>769</v>
      </c>
      <c r="G5330" s="1">
        <v>31.92</v>
      </c>
      <c r="H5330" s="1">
        <v>2</v>
      </c>
      <c r="I5330" s="1">
        <v>2.3940000000000001</v>
      </c>
    </row>
    <row r="5331" spans="1:9" x14ac:dyDescent="0.35">
      <c r="A5331" s="3" t="s">
        <v>3636</v>
      </c>
      <c r="B5331" s="1" t="s">
        <v>1371</v>
      </c>
      <c r="C5331" s="1" t="s">
        <v>135</v>
      </c>
      <c r="D5331" s="1" t="s">
        <v>136</v>
      </c>
      <c r="E5331" s="1" t="s">
        <v>35</v>
      </c>
      <c r="F5331" s="2" t="s">
        <v>572</v>
      </c>
      <c r="G5331" s="1">
        <v>33.567999999999998</v>
      </c>
      <c r="H5331" s="1">
        <v>2</v>
      </c>
      <c r="I5331" s="1">
        <v>11.748799999999999</v>
      </c>
    </row>
    <row r="5332" spans="1:9" x14ac:dyDescent="0.35">
      <c r="A5332" s="3">
        <v>42469</v>
      </c>
      <c r="B5332" s="1" t="s">
        <v>2194</v>
      </c>
      <c r="C5332" s="1" t="s">
        <v>135</v>
      </c>
      <c r="D5332" s="1" t="s">
        <v>136</v>
      </c>
      <c r="E5332" s="1" t="s">
        <v>29</v>
      </c>
      <c r="F5332" s="2" t="s">
        <v>2101</v>
      </c>
      <c r="G5332" s="1">
        <v>63.94</v>
      </c>
      <c r="H5332" s="1">
        <v>1</v>
      </c>
      <c r="I5332" s="1">
        <v>24.936599999999999</v>
      </c>
    </row>
    <row r="5333" spans="1:9" x14ac:dyDescent="0.35">
      <c r="A5333" s="3">
        <v>42469</v>
      </c>
      <c r="B5333" s="1" t="s">
        <v>2194</v>
      </c>
      <c r="C5333" s="1" t="s">
        <v>135</v>
      </c>
      <c r="D5333" s="1" t="s">
        <v>136</v>
      </c>
      <c r="E5333" s="1" t="s">
        <v>35</v>
      </c>
      <c r="F5333" s="2" t="s">
        <v>146</v>
      </c>
      <c r="G5333" s="1">
        <v>60.6</v>
      </c>
      <c r="H5333" s="1">
        <v>5</v>
      </c>
      <c r="I5333" s="1">
        <v>20.452500000000001</v>
      </c>
    </row>
    <row r="5334" spans="1:9" x14ac:dyDescent="0.35">
      <c r="A5334" s="3">
        <v>42469</v>
      </c>
      <c r="B5334" s="1" t="s">
        <v>2194</v>
      </c>
      <c r="C5334" s="1" t="s">
        <v>135</v>
      </c>
      <c r="D5334" s="1" t="s">
        <v>136</v>
      </c>
      <c r="E5334" s="1" t="s">
        <v>289</v>
      </c>
      <c r="F5334" s="2" t="s">
        <v>1176</v>
      </c>
      <c r="G5334" s="1">
        <v>22.72</v>
      </c>
      <c r="H5334" s="1">
        <v>4</v>
      </c>
      <c r="I5334" s="1">
        <v>6.5888</v>
      </c>
    </row>
    <row r="5335" spans="1:9" x14ac:dyDescent="0.35">
      <c r="A5335" s="3" t="s">
        <v>3637</v>
      </c>
      <c r="B5335" s="1" t="s">
        <v>205</v>
      </c>
      <c r="C5335" s="1" t="s">
        <v>303</v>
      </c>
      <c r="D5335" s="1" t="s">
        <v>124</v>
      </c>
      <c r="E5335" s="1" t="s">
        <v>29</v>
      </c>
      <c r="F5335" s="2" t="s">
        <v>2609</v>
      </c>
      <c r="G5335" s="1">
        <v>10.68</v>
      </c>
      <c r="H5335" s="1">
        <v>4</v>
      </c>
      <c r="I5335" s="1">
        <v>4.0583999999999998</v>
      </c>
    </row>
    <row r="5336" spans="1:9" x14ac:dyDescent="0.35">
      <c r="A5336" s="3" t="s">
        <v>3637</v>
      </c>
      <c r="B5336" s="1" t="s">
        <v>205</v>
      </c>
      <c r="C5336" s="1" t="s">
        <v>303</v>
      </c>
      <c r="D5336" s="1" t="s">
        <v>124</v>
      </c>
      <c r="E5336" s="1" t="s">
        <v>44</v>
      </c>
      <c r="F5336" s="2" t="s">
        <v>2004</v>
      </c>
      <c r="G5336" s="1">
        <v>17.34</v>
      </c>
      <c r="H5336" s="1">
        <v>3</v>
      </c>
      <c r="I5336" s="1">
        <v>8.4966000000000008</v>
      </c>
    </row>
    <row r="5337" spans="1:9" x14ac:dyDescent="0.35">
      <c r="A5337" s="3" t="s">
        <v>3637</v>
      </c>
      <c r="B5337" s="1" t="s">
        <v>205</v>
      </c>
      <c r="C5337" s="1" t="s">
        <v>303</v>
      </c>
      <c r="D5337" s="1" t="s">
        <v>124</v>
      </c>
      <c r="E5337" s="1" t="s">
        <v>44</v>
      </c>
      <c r="F5337" s="2" t="s">
        <v>1574</v>
      </c>
      <c r="G5337" s="1">
        <v>3.38</v>
      </c>
      <c r="H5337" s="1">
        <v>1</v>
      </c>
      <c r="I5337" s="1">
        <v>1.5548</v>
      </c>
    </row>
    <row r="5338" spans="1:9" x14ac:dyDescent="0.35">
      <c r="A5338" s="3" t="s">
        <v>3626</v>
      </c>
      <c r="B5338" s="1" t="s">
        <v>1940</v>
      </c>
      <c r="C5338" s="1" t="s">
        <v>47</v>
      </c>
      <c r="D5338" s="1" t="s">
        <v>48</v>
      </c>
      <c r="E5338" s="1" t="s">
        <v>35</v>
      </c>
      <c r="F5338" s="2" t="s">
        <v>1175</v>
      </c>
      <c r="G5338" s="1">
        <v>26.975999999999999</v>
      </c>
      <c r="H5338" s="1">
        <v>4</v>
      </c>
      <c r="I5338" s="1">
        <v>8.7672000000000008</v>
      </c>
    </row>
    <row r="5339" spans="1:9" x14ac:dyDescent="0.35">
      <c r="A5339" s="3" t="s">
        <v>3638</v>
      </c>
      <c r="B5339" s="1" t="s">
        <v>1197</v>
      </c>
      <c r="C5339" s="1" t="s">
        <v>311</v>
      </c>
      <c r="D5339" s="1" t="s">
        <v>158</v>
      </c>
      <c r="E5339" s="1" t="s">
        <v>44</v>
      </c>
      <c r="F5339" s="2" t="s">
        <v>2315</v>
      </c>
      <c r="G5339" s="1">
        <v>307.77600000000001</v>
      </c>
      <c r="H5339" s="1">
        <v>7</v>
      </c>
      <c r="I5339" s="1">
        <v>111.5688</v>
      </c>
    </row>
    <row r="5340" spans="1:9" x14ac:dyDescent="0.35">
      <c r="A5340" s="3">
        <v>42258</v>
      </c>
      <c r="B5340" s="1" t="s">
        <v>903</v>
      </c>
      <c r="C5340" s="1" t="s">
        <v>1061</v>
      </c>
      <c r="D5340" s="1" t="s">
        <v>136</v>
      </c>
      <c r="E5340" s="1" t="s">
        <v>26</v>
      </c>
      <c r="F5340" s="2" t="s">
        <v>1939</v>
      </c>
      <c r="G5340" s="1">
        <v>244.55</v>
      </c>
      <c r="H5340" s="1">
        <v>5</v>
      </c>
      <c r="I5340" s="1">
        <v>4.891</v>
      </c>
    </row>
    <row r="5341" spans="1:9" x14ac:dyDescent="0.35">
      <c r="A5341" s="3">
        <v>42258</v>
      </c>
      <c r="B5341" s="1" t="s">
        <v>903</v>
      </c>
      <c r="C5341" s="1" t="s">
        <v>1061</v>
      </c>
      <c r="D5341" s="1" t="s">
        <v>136</v>
      </c>
      <c r="E5341" s="1" t="s">
        <v>87</v>
      </c>
      <c r="F5341" s="2" t="s">
        <v>88</v>
      </c>
      <c r="G5341" s="1">
        <v>12.24</v>
      </c>
      <c r="H5341" s="1">
        <v>6</v>
      </c>
      <c r="I5341" s="1">
        <v>5.7527999999999997</v>
      </c>
    </row>
    <row r="5342" spans="1:9" x14ac:dyDescent="0.35">
      <c r="A5342" s="3">
        <v>42258</v>
      </c>
      <c r="B5342" s="1" t="s">
        <v>903</v>
      </c>
      <c r="C5342" s="1" t="s">
        <v>1061</v>
      </c>
      <c r="D5342" s="1" t="s">
        <v>136</v>
      </c>
      <c r="E5342" s="1" t="s">
        <v>81</v>
      </c>
      <c r="F5342" s="2" t="s">
        <v>2819</v>
      </c>
      <c r="G5342" s="1">
        <v>13.98</v>
      </c>
      <c r="H5342" s="1">
        <v>2</v>
      </c>
      <c r="I5342" s="1">
        <v>6.0114000000000001</v>
      </c>
    </row>
    <row r="5343" spans="1:9" x14ac:dyDescent="0.35">
      <c r="A5343" s="3">
        <v>42258</v>
      </c>
      <c r="B5343" s="1" t="s">
        <v>903</v>
      </c>
      <c r="C5343" s="1" t="s">
        <v>1061</v>
      </c>
      <c r="D5343" s="1" t="s">
        <v>136</v>
      </c>
      <c r="E5343" s="1" t="s">
        <v>81</v>
      </c>
      <c r="F5343" s="2" t="s">
        <v>2202</v>
      </c>
      <c r="G5343" s="1">
        <v>899.95</v>
      </c>
      <c r="H5343" s="1">
        <v>5</v>
      </c>
      <c r="I5343" s="1">
        <v>53.997</v>
      </c>
    </row>
    <row r="5344" spans="1:9" x14ac:dyDescent="0.35">
      <c r="A5344" s="3" t="s">
        <v>3386</v>
      </c>
      <c r="B5344" s="1" t="s">
        <v>2886</v>
      </c>
      <c r="C5344" s="1" t="s">
        <v>399</v>
      </c>
      <c r="D5344" s="1" t="s">
        <v>52</v>
      </c>
      <c r="E5344" s="1" t="s">
        <v>87</v>
      </c>
      <c r="F5344" s="2" t="s">
        <v>88</v>
      </c>
      <c r="G5344" s="1">
        <v>1.6319999999999999</v>
      </c>
      <c r="H5344" s="1">
        <v>1</v>
      </c>
      <c r="I5344" s="1">
        <v>0.55079999999999996</v>
      </c>
    </row>
    <row r="5345" spans="1:9" x14ac:dyDescent="0.35">
      <c r="A5345" s="3" t="s">
        <v>3386</v>
      </c>
      <c r="B5345" s="1" t="s">
        <v>2886</v>
      </c>
      <c r="C5345" s="1" t="s">
        <v>399</v>
      </c>
      <c r="D5345" s="1" t="s">
        <v>52</v>
      </c>
      <c r="E5345" s="1" t="s">
        <v>33</v>
      </c>
      <c r="F5345" s="2" t="s">
        <v>1821</v>
      </c>
      <c r="G5345" s="1">
        <v>267.95999999999998</v>
      </c>
      <c r="H5345" s="1">
        <v>5</v>
      </c>
      <c r="I5345" s="1">
        <v>16.747499999999999</v>
      </c>
    </row>
    <row r="5346" spans="1:9" x14ac:dyDescent="0.35">
      <c r="A5346" s="3">
        <v>42318</v>
      </c>
      <c r="B5346" s="1" t="s">
        <v>539</v>
      </c>
      <c r="C5346" s="1" t="s">
        <v>197</v>
      </c>
      <c r="D5346" s="1" t="s">
        <v>136</v>
      </c>
      <c r="E5346" s="1" t="s">
        <v>81</v>
      </c>
      <c r="F5346" s="2" t="s">
        <v>2600</v>
      </c>
      <c r="G5346" s="1">
        <v>31.95</v>
      </c>
      <c r="H5346" s="1">
        <v>1</v>
      </c>
      <c r="I5346" s="1">
        <v>2.2364999999999999</v>
      </c>
    </row>
    <row r="5347" spans="1:9" x14ac:dyDescent="0.35">
      <c r="A5347" s="3" t="s">
        <v>3551</v>
      </c>
      <c r="B5347" s="1" t="s">
        <v>260</v>
      </c>
      <c r="C5347" s="1" t="s">
        <v>17</v>
      </c>
      <c r="D5347" s="1" t="s">
        <v>18</v>
      </c>
      <c r="E5347" s="1" t="s">
        <v>26</v>
      </c>
      <c r="F5347" s="2" t="s">
        <v>489</v>
      </c>
      <c r="G5347" s="1">
        <v>725.84</v>
      </c>
      <c r="H5347" s="1">
        <v>4</v>
      </c>
      <c r="I5347" s="1">
        <v>210.49359999999999</v>
      </c>
    </row>
    <row r="5348" spans="1:9" x14ac:dyDescent="0.35">
      <c r="A5348" s="3" t="s">
        <v>3551</v>
      </c>
      <c r="B5348" s="1" t="s">
        <v>260</v>
      </c>
      <c r="C5348" s="1" t="s">
        <v>17</v>
      </c>
      <c r="D5348" s="1" t="s">
        <v>18</v>
      </c>
      <c r="E5348" s="1" t="s">
        <v>35</v>
      </c>
      <c r="F5348" s="2" t="s">
        <v>247</v>
      </c>
      <c r="G5348" s="1">
        <v>10.896000000000001</v>
      </c>
      <c r="H5348" s="1">
        <v>3</v>
      </c>
      <c r="I5348" s="1">
        <v>3.9498000000000002</v>
      </c>
    </row>
    <row r="5349" spans="1:9" x14ac:dyDescent="0.35">
      <c r="A5349" s="3" t="s">
        <v>3551</v>
      </c>
      <c r="B5349" s="1" t="s">
        <v>260</v>
      </c>
      <c r="C5349" s="1" t="s">
        <v>17</v>
      </c>
      <c r="D5349" s="1" t="s">
        <v>18</v>
      </c>
      <c r="E5349" s="1" t="s">
        <v>35</v>
      </c>
      <c r="F5349" s="2" t="s">
        <v>1484</v>
      </c>
      <c r="G5349" s="1">
        <v>8.5440000000000005</v>
      </c>
      <c r="H5349" s="1">
        <v>2</v>
      </c>
      <c r="I5349" s="1">
        <v>2.8835999999999999</v>
      </c>
    </row>
    <row r="5350" spans="1:9" x14ac:dyDescent="0.35">
      <c r="A5350" s="3">
        <v>42095</v>
      </c>
      <c r="B5350" s="1" t="s">
        <v>1092</v>
      </c>
      <c r="C5350" s="1" t="s">
        <v>2887</v>
      </c>
      <c r="D5350" s="1" t="s">
        <v>115</v>
      </c>
      <c r="E5350" s="1" t="s">
        <v>35</v>
      </c>
      <c r="F5350" s="2" t="s">
        <v>1409</v>
      </c>
      <c r="G5350" s="1">
        <v>32.340000000000003</v>
      </c>
      <c r="H5350" s="1">
        <v>3</v>
      </c>
      <c r="I5350" s="1">
        <v>15.523199999999999</v>
      </c>
    </row>
    <row r="5351" spans="1:9" x14ac:dyDescent="0.35">
      <c r="A5351" s="3">
        <v>42095</v>
      </c>
      <c r="B5351" s="1" t="s">
        <v>1092</v>
      </c>
      <c r="C5351" s="1" t="s">
        <v>2887</v>
      </c>
      <c r="D5351" s="1" t="s">
        <v>115</v>
      </c>
      <c r="E5351" s="1" t="s">
        <v>44</v>
      </c>
      <c r="F5351" s="2" t="s">
        <v>456</v>
      </c>
      <c r="G5351" s="1">
        <v>39.9</v>
      </c>
      <c r="H5351" s="1">
        <v>5</v>
      </c>
      <c r="I5351" s="1">
        <v>19.95</v>
      </c>
    </row>
    <row r="5352" spans="1:9" x14ac:dyDescent="0.35">
      <c r="A5352" s="3">
        <v>42990</v>
      </c>
      <c r="B5352" s="1" t="s">
        <v>122</v>
      </c>
      <c r="C5352" s="1" t="s">
        <v>756</v>
      </c>
      <c r="D5352" s="1" t="s">
        <v>106</v>
      </c>
      <c r="E5352" s="1" t="s">
        <v>44</v>
      </c>
      <c r="F5352" s="2" t="s">
        <v>1189</v>
      </c>
      <c r="G5352" s="1">
        <v>143.85599999999999</v>
      </c>
      <c r="H5352" s="1">
        <v>9</v>
      </c>
      <c r="I5352" s="1">
        <v>48.551400000000001</v>
      </c>
    </row>
    <row r="5353" spans="1:9" x14ac:dyDescent="0.35">
      <c r="A5353" s="3">
        <v>42530</v>
      </c>
      <c r="B5353" s="1" t="s">
        <v>1084</v>
      </c>
      <c r="C5353" s="1" t="s">
        <v>399</v>
      </c>
      <c r="D5353" s="1" t="s">
        <v>52</v>
      </c>
      <c r="E5353" s="1" t="s">
        <v>44</v>
      </c>
      <c r="F5353" s="2" t="s">
        <v>2324</v>
      </c>
      <c r="G5353" s="1">
        <v>41.92</v>
      </c>
      <c r="H5353" s="1">
        <v>4</v>
      </c>
      <c r="I5353" s="1">
        <v>15.196</v>
      </c>
    </row>
    <row r="5354" spans="1:9" x14ac:dyDescent="0.35">
      <c r="A5354" s="3">
        <v>42530</v>
      </c>
      <c r="B5354" s="1" t="s">
        <v>1084</v>
      </c>
      <c r="C5354" s="1" t="s">
        <v>399</v>
      </c>
      <c r="D5354" s="1" t="s">
        <v>52</v>
      </c>
      <c r="E5354" s="1" t="s">
        <v>33</v>
      </c>
      <c r="F5354" s="2" t="s">
        <v>139</v>
      </c>
      <c r="G5354" s="1">
        <v>329.584</v>
      </c>
      <c r="H5354" s="1">
        <v>2</v>
      </c>
      <c r="I5354" s="1">
        <v>37.078200000000002</v>
      </c>
    </row>
    <row r="5355" spans="1:9" x14ac:dyDescent="0.35">
      <c r="A5355" s="3">
        <v>42438</v>
      </c>
      <c r="B5355" s="1" t="s">
        <v>1390</v>
      </c>
      <c r="C5355" s="1" t="s">
        <v>361</v>
      </c>
      <c r="D5355" s="1" t="s">
        <v>362</v>
      </c>
      <c r="E5355" s="1" t="s">
        <v>35</v>
      </c>
      <c r="F5355" s="2" t="s">
        <v>1115</v>
      </c>
      <c r="G5355" s="1">
        <v>87.28</v>
      </c>
      <c r="H5355" s="1">
        <v>8</v>
      </c>
      <c r="I5355" s="1">
        <v>41.021599999999999</v>
      </c>
    </row>
    <row r="5356" spans="1:9" x14ac:dyDescent="0.35">
      <c r="A5356" s="3" t="s">
        <v>3146</v>
      </c>
      <c r="B5356" s="1" t="s">
        <v>2506</v>
      </c>
      <c r="C5356" s="1" t="s">
        <v>17</v>
      </c>
      <c r="D5356" s="1" t="s">
        <v>18</v>
      </c>
      <c r="E5356" s="1" t="s">
        <v>14</v>
      </c>
      <c r="F5356" s="2" t="s">
        <v>2218</v>
      </c>
      <c r="G5356" s="1">
        <v>279.45600000000002</v>
      </c>
      <c r="H5356" s="1">
        <v>6</v>
      </c>
      <c r="I5356" s="1">
        <v>20.959199999999999</v>
      </c>
    </row>
    <row r="5357" spans="1:9" x14ac:dyDescent="0.35">
      <c r="A5357" s="3" t="s">
        <v>3146</v>
      </c>
      <c r="B5357" s="1" t="s">
        <v>2506</v>
      </c>
      <c r="C5357" s="1" t="s">
        <v>17</v>
      </c>
      <c r="D5357" s="1" t="s">
        <v>18</v>
      </c>
      <c r="E5357" s="1" t="s">
        <v>44</v>
      </c>
      <c r="F5357" s="2" t="s">
        <v>2888</v>
      </c>
      <c r="G5357" s="1">
        <v>8</v>
      </c>
      <c r="H5357" s="1">
        <v>2</v>
      </c>
      <c r="I5357" s="1">
        <v>3.84</v>
      </c>
    </row>
    <row r="5358" spans="1:9" x14ac:dyDescent="0.35">
      <c r="A5358" s="3" t="s">
        <v>3405</v>
      </c>
      <c r="B5358" s="1" t="s">
        <v>1715</v>
      </c>
      <c r="C5358" s="1" t="s">
        <v>64</v>
      </c>
      <c r="D5358" s="1" t="s">
        <v>18</v>
      </c>
      <c r="E5358" s="1" t="s">
        <v>35</v>
      </c>
      <c r="F5358" s="2" t="s">
        <v>2127</v>
      </c>
      <c r="G5358" s="1">
        <v>27.24</v>
      </c>
      <c r="H5358" s="1">
        <v>5</v>
      </c>
      <c r="I5358" s="1">
        <v>9.5340000000000007</v>
      </c>
    </row>
    <row r="5359" spans="1:9" x14ac:dyDescent="0.35">
      <c r="A5359" s="3">
        <v>41767</v>
      </c>
      <c r="B5359" s="1" t="s">
        <v>791</v>
      </c>
      <c r="C5359" s="1" t="s">
        <v>64</v>
      </c>
      <c r="D5359" s="1" t="s">
        <v>18</v>
      </c>
      <c r="E5359" s="1" t="s">
        <v>81</v>
      </c>
      <c r="F5359" s="2" t="s">
        <v>1615</v>
      </c>
      <c r="G5359" s="1">
        <v>16.36</v>
      </c>
      <c r="H5359" s="1">
        <v>1</v>
      </c>
      <c r="I5359" s="1">
        <v>1.6359999999999999</v>
      </c>
    </row>
    <row r="5360" spans="1:9" x14ac:dyDescent="0.35">
      <c r="A5360" s="3">
        <v>41767</v>
      </c>
      <c r="B5360" s="1" t="s">
        <v>791</v>
      </c>
      <c r="C5360" s="1" t="s">
        <v>64</v>
      </c>
      <c r="D5360" s="1" t="s">
        <v>18</v>
      </c>
      <c r="E5360" s="1" t="s">
        <v>26</v>
      </c>
      <c r="F5360" s="2" t="s">
        <v>2592</v>
      </c>
      <c r="G5360" s="1">
        <v>15.78</v>
      </c>
      <c r="H5360" s="1">
        <v>2</v>
      </c>
      <c r="I5360" s="1">
        <v>0.63119999999999998</v>
      </c>
    </row>
    <row r="5361" spans="1:9" x14ac:dyDescent="0.35">
      <c r="A5361" s="3">
        <v>41767</v>
      </c>
      <c r="B5361" s="1" t="s">
        <v>791</v>
      </c>
      <c r="C5361" s="1" t="s">
        <v>64</v>
      </c>
      <c r="D5361" s="1" t="s">
        <v>18</v>
      </c>
      <c r="E5361" s="1" t="s">
        <v>31</v>
      </c>
      <c r="F5361" s="2" t="s">
        <v>2050</v>
      </c>
      <c r="G5361" s="1">
        <v>45.98</v>
      </c>
      <c r="H5361" s="1">
        <v>2</v>
      </c>
      <c r="I5361" s="1">
        <v>12.8744</v>
      </c>
    </row>
    <row r="5362" spans="1:9" x14ac:dyDescent="0.35">
      <c r="A5362" s="3" t="s">
        <v>3225</v>
      </c>
      <c r="B5362" s="1" t="s">
        <v>278</v>
      </c>
      <c r="C5362" s="1" t="s">
        <v>796</v>
      </c>
      <c r="D5362" s="1" t="s">
        <v>43</v>
      </c>
      <c r="E5362" s="1" t="s">
        <v>12</v>
      </c>
      <c r="F5362" s="2" t="s">
        <v>1556</v>
      </c>
      <c r="G5362" s="1">
        <v>198.27199999999999</v>
      </c>
      <c r="H5362" s="1">
        <v>8</v>
      </c>
      <c r="I5362" s="1">
        <v>-32.219200000000001</v>
      </c>
    </row>
    <row r="5363" spans="1:9" x14ac:dyDescent="0.35">
      <c r="A5363" s="3">
        <v>42984</v>
      </c>
      <c r="B5363" s="1" t="s">
        <v>1935</v>
      </c>
      <c r="C5363" s="1" t="s">
        <v>399</v>
      </c>
      <c r="D5363" s="1" t="s">
        <v>52</v>
      </c>
      <c r="E5363" s="1" t="s">
        <v>26</v>
      </c>
      <c r="F5363" s="2" t="s">
        <v>1269</v>
      </c>
      <c r="G5363" s="1">
        <v>720.76</v>
      </c>
      <c r="H5363" s="1">
        <v>5</v>
      </c>
      <c r="I5363" s="1">
        <v>54.057000000000002</v>
      </c>
    </row>
    <row r="5364" spans="1:9" x14ac:dyDescent="0.35">
      <c r="A5364" s="3" t="s">
        <v>3218</v>
      </c>
      <c r="B5364" s="1" t="s">
        <v>1128</v>
      </c>
      <c r="C5364" s="1" t="s">
        <v>2711</v>
      </c>
      <c r="D5364" s="1" t="s">
        <v>1891</v>
      </c>
      <c r="E5364" s="1" t="s">
        <v>29</v>
      </c>
      <c r="F5364" s="2" t="s">
        <v>2545</v>
      </c>
      <c r="G5364" s="1">
        <v>70.56</v>
      </c>
      <c r="H5364" s="1">
        <v>6</v>
      </c>
      <c r="I5364" s="1">
        <v>23.990400000000001</v>
      </c>
    </row>
    <row r="5365" spans="1:9" x14ac:dyDescent="0.35">
      <c r="A5365" s="3" t="s">
        <v>3218</v>
      </c>
      <c r="B5365" s="1" t="s">
        <v>1128</v>
      </c>
      <c r="C5365" s="1" t="s">
        <v>2711</v>
      </c>
      <c r="D5365" s="1" t="s">
        <v>1891</v>
      </c>
      <c r="E5365" s="1" t="s">
        <v>37</v>
      </c>
      <c r="F5365" s="2" t="s">
        <v>2252</v>
      </c>
      <c r="G5365" s="1">
        <v>81.96</v>
      </c>
      <c r="H5365" s="1">
        <v>2</v>
      </c>
      <c r="I5365" s="1">
        <v>22.948799999999999</v>
      </c>
    </row>
    <row r="5366" spans="1:9" x14ac:dyDescent="0.35">
      <c r="A5366" s="3" t="s">
        <v>3639</v>
      </c>
      <c r="B5366" s="1" t="s">
        <v>2515</v>
      </c>
      <c r="C5366" s="1" t="s">
        <v>162</v>
      </c>
      <c r="D5366" s="1" t="s">
        <v>212</v>
      </c>
      <c r="E5366" s="1" t="s">
        <v>37</v>
      </c>
      <c r="F5366" s="2" t="s">
        <v>2097</v>
      </c>
      <c r="G5366" s="1">
        <v>64.864000000000004</v>
      </c>
      <c r="H5366" s="1">
        <v>4</v>
      </c>
      <c r="I5366" s="1">
        <v>6.4863999999999997</v>
      </c>
    </row>
    <row r="5367" spans="1:9" x14ac:dyDescent="0.35">
      <c r="A5367" s="3" t="s">
        <v>3355</v>
      </c>
      <c r="B5367" s="1" t="s">
        <v>1967</v>
      </c>
      <c r="C5367" s="1" t="s">
        <v>93</v>
      </c>
      <c r="D5367" s="1" t="s">
        <v>52</v>
      </c>
      <c r="E5367" s="1" t="s">
        <v>33</v>
      </c>
      <c r="F5367" s="2" t="s">
        <v>1466</v>
      </c>
      <c r="G5367" s="1">
        <v>151.19200000000001</v>
      </c>
      <c r="H5367" s="1">
        <v>1</v>
      </c>
      <c r="I5367" s="1">
        <v>13.2293</v>
      </c>
    </row>
    <row r="5368" spans="1:9" x14ac:dyDescent="0.35">
      <c r="A5368" s="3">
        <v>43014</v>
      </c>
      <c r="B5368" s="1" t="s">
        <v>866</v>
      </c>
      <c r="C5368" s="1" t="s">
        <v>47</v>
      </c>
      <c r="D5368" s="1" t="s">
        <v>48</v>
      </c>
      <c r="E5368" s="1" t="s">
        <v>33</v>
      </c>
      <c r="F5368" s="2" t="s">
        <v>1196</v>
      </c>
      <c r="G5368" s="1">
        <v>88.775999999999996</v>
      </c>
      <c r="H5368" s="1">
        <v>3</v>
      </c>
      <c r="I5368" s="1">
        <v>7.7679</v>
      </c>
    </row>
    <row r="5369" spans="1:9" x14ac:dyDescent="0.35">
      <c r="A5369" s="3">
        <v>43014</v>
      </c>
      <c r="B5369" s="1" t="s">
        <v>866</v>
      </c>
      <c r="C5369" s="1" t="s">
        <v>47</v>
      </c>
      <c r="D5369" s="1" t="s">
        <v>48</v>
      </c>
      <c r="E5369" s="1" t="s">
        <v>19</v>
      </c>
      <c r="F5369" s="2" t="s">
        <v>514</v>
      </c>
      <c r="G5369" s="1">
        <v>11.56</v>
      </c>
      <c r="H5369" s="1">
        <v>4</v>
      </c>
      <c r="I5369" s="1">
        <v>5.4332000000000003</v>
      </c>
    </row>
    <row r="5370" spans="1:9" x14ac:dyDescent="0.35">
      <c r="A5370" s="3">
        <v>43014</v>
      </c>
      <c r="B5370" s="1" t="s">
        <v>866</v>
      </c>
      <c r="C5370" s="1" t="s">
        <v>47</v>
      </c>
      <c r="D5370" s="1" t="s">
        <v>48</v>
      </c>
      <c r="E5370" s="1" t="s">
        <v>26</v>
      </c>
      <c r="F5370" s="2" t="s">
        <v>814</v>
      </c>
      <c r="G5370" s="1">
        <v>15.58</v>
      </c>
      <c r="H5370" s="1">
        <v>1</v>
      </c>
      <c r="I5370" s="1">
        <v>3.895</v>
      </c>
    </row>
    <row r="5371" spans="1:9" x14ac:dyDescent="0.35">
      <c r="A5371" s="3">
        <v>43017</v>
      </c>
      <c r="B5371" s="1" t="s">
        <v>712</v>
      </c>
      <c r="C5371" s="1" t="s">
        <v>392</v>
      </c>
      <c r="D5371" s="1" t="s">
        <v>250</v>
      </c>
      <c r="E5371" s="1" t="s">
        <v>44</v>
      </c>
      <c r="F5371" s="2" t="s">
        <v>2889</v>
      </c>
      <c r="G5371" s="1">
        <v>85.055999999999997</v>
      </c>
      <c r="H5371" s="1">
        <v>3</v>
      </c>
      <c r="I5371" s="1">
        <v>28.706399999999999</v>
      </c>
    </row>
    <row r="5372" spans="1:9" x14ac:dyDescent="0.35">
      <c r="A5372" s="3">
        <v>42951</v>
      </c>
      <c r="B5372" s="1" t="s">
        <v>1675</v>
      </c>
      <c r="C5372" s="1" t="s">
        <v>2838</v>
      </c>
      <c r="D5372" s="1" t="s">
        <v>120</v>
      </c>
      <c r="E5372" s="1" t="s">
        <v>29</v>
      </c>
      <c r="F5372" s="2" t="s">
        <v>2266</v>
      </c>
      <c r="G5372" s="1">
        <v>273.95999999999998</v>
      </c>
      <c r="H5372" s="1">
        <v>2</v>
      </c>
      <c r="I5372" s="1">
        <v>71.229600000000005</v>
      </c>
    </row>
    <row r="5373" spans="1:9" x14ac:dyDescent="0.35">
      <c r="A5373" s="3">
        <v>42951</v>
      </c>
      <c r="B5373" s="1" t="s">
        <v>1675</v>
      </c>
      <c r="C5373" s="1" t="s">
        <v>2838</v>
      </c>
      <c r="D5373" s="1" t="s">
        <v>120</v>
      </c>
      <c r="E5373" s="1" t="s">
        <v>29</v>
      </c>
      <c r="F5373" s="2" t="s">
        <v>1282</v>
      </c>
      <c r="G5373" s="1">
        <v>306.89999999999998</v>
      </c>
      <c r="H5373" s="1">
        <v>3</v>
      </c>
      <c r="I5373" s="1">
        <v>79.793999999999997</v>
      </c>
    </row>
    <row r="5374" spans="1:9" x14ac:dyDescent="0.35">
      <c r="A5374" s="3" t="s">
        <v>3640</v>
      </c>
      <c r="B5374" s="1" t="s">
        <v>497</v>
      </c>
      <c r="C5374" s="1" t="s">
        <v>93</v>
      </c>
      <c r="D5374" s="1" t="s">
        <v>52</v>
      </c>
      <c r="E5374" s="1" t="s">
        <v>44</v>
      </c>
      <c r="F5374" s="2" t="s">
        <v>207</v>
      </c>
      <c r="G5374" s="1">
        <v>15.552</v>
      </c>
      <c r="H5374" s="1">
        <v>3</v>
      </c>
      <c r="I5374" s="1">
        <v>5.4432</v>
      </c>
    </row>
    <row r="5375" spans="1:9" x14ac:dyDescent="0.35">
      <c r="A5375" s="3" t="s">
        <v>3640</v>
      </c>
      <c r="B5375" s="1" t="s">
        <v>497</v>
      </c>
      <c r="C5375" s="1" t="s">
        <v>93</v>
      </c>
      <c r="D5375" s="1" t="s">
        <v>52</v>
      </c>
      <c r="E5375" s="1" t="s">
        <v>24</v>
      </c>
      <c r="F5375" s="2" t="s">
        <v>451</v>
      </c>
      <c r="G5375" s="1">
        <v>347.36099999999999</v>
      </c>
      <c r="H5375" s="1">
        <v>7</v>
      </c>
      <c r="I5375" s="1">
        <v>-69.472200000000001</v>
      </c>
    </row>
    <row r="5376" spans="1:9" x14ac:dyDescent="0.35">
      <c r="A5376" s="3" t="s">
        <v>3640</v>
      </c>
      <c r="B5376" s="1" t="s">
        <v>497</v>
      </c>
      <c r="C5376" s="1" t="s">
        <v>93</v>
      </c>
      <c r="D5376" s="1" t="s">
        <v>52</v>
      </c>
      <c r="E5376" s="1" t="s">
        <v>44</v>
      </c>
      <c r="F5376" s="2" t="s">
        <v>1335</v>
      </c>
      <c r="G5376" s="1">
        <v>10.368</v>
      </c>
      <c r="H5376" s="1">
        <v>2</v>
      </c>
      <c r="I5376" s="1">
        <v>3.6288</v>
      </c>
    </row>
    <row r="5377" spans="1:9" x14ac:dyDescent="0.35">
      <c r="A5377" s="3" t="s">
        <v>3333</v>
      </c>
      <c r="B5377" s="1" t="s">
        <v>1883</v>
      </c>
      <c r="C5377" s="1" t="s">
        <v>47</v>
      </c>
      <c r="D5377" s="1" t="s">
        <v>48</v>
      </c>
      <c r="E5377" s="1" t="s">
        <v>81</v>
      </c>
      <c r="F5377" s="2" t="s">
        <v>1615</v>
      </c>
      <c r="G5377" s="1">
        <v>98.16</v>
      </c>
      <c r="H5377" s="1">
        <v>6</v>
      </c>
      <c r="I5377" s="1">
        <v>9.8160000000000007</v>
      </c>
    </row>
    <row r="5378" spans="1:9" x14ac:dyDescent="0.35">
      <c r="A5378" s="3" t="s">
        <v>3333</v>
      </c>
      <c r="B5378" s="1" t="s">
        <v>1883</v>
      </c>
      <c r="C5378" s="1" t="s">
        <v>47</v>
      </c>
      <c r="D5378" s="1" t="s">
        <v>48</v>
      </c>
      <c r="E5378" s="1" t="s">
        <v>31</v>
      </c>
      <c r="F5378" s="2" t="s">
        <v>1329</v>
      </c>
      <c r="G5378" s="1">
        <v>31.44</v>
      </c>
      <c r="H5378" s="1">
        <v>3</v>
      </c>
      <c r="I5378" s="1">
        <v>7.86</v>
      </c>
    </row>
    <row r="5379" spans="1:9" x14ac:dyDescent="0.35">
      <c r="A5379" s="3">
        <v>41771</v>
      </c>
      <c r="B5379" s="1" t="s">
        <v>930</v>
      </c>
      <c r="C5379" s="1" t="s">
        <v>74</v>
      </c>
      <c r="D5379" s="1" t="s">
        <v>75</v>
      </c>
      <c r="E5379" s="1" t="s">
        <v>87</v>
      </c>
      <c r="F5379" s="2" t="s">
        <v>1113</v>
      </c>
      <c r="G5379" s="1">
        <v>348.488</v>
      </c>
      <c r="H5379" s="1">
        <v>7</v>
      </c>
      <c r="I5379" s="1">
        <v>117.6147</v>
      </c>
    </row>
    <row r="5380" spans="1:9" x14ac:dyDescent="0.35">
      <c r="A5380" s="3">
        <v>41771</v>
      </c>
      <c r="B5380" s="1" t="s">
        <v>930</v>
      </c>
      <c r="C5380" s="1" t="s">
        <v>74</v>
      </c>
      <c r="D5380" s="1" t="s">
        <v>75</v>
      </c>
      <c r="E5380" s="1" t="s">
        <v>26</v>
      </c>
      <c r="F5380" s="2" t="s">
        <v>736</v>
      </c>
      <c r="G5380" s="1">
        <v>172.73599999999999</v>
      </c>
      <c r="H5380" s="1">
        <v>4</v>
      </c>
      <c r="I5380" s="1">
        <v>-30.2288</v>
      </c>
    </row>
    <row r="5381" spans="1:9" x14ac:dyDescent="0.35">
      <c r="A5381" s="3" t="s">
        <v>3641</v>
      </c>
      <c r="B5381" s="1" t="s">
        <v>2864</v>
      </c>
      <c r="C5381" s="1" t="s">
        <v>17</v>
      </c>
      <c r="D5381" s="1" t="s">
        <v>18</v>
      </c>
      <c r="E5381" s="1" t="s">
        <v>44</v>
      </c>
      <c r="F5381" s="2" t="s">
        <v>2087</v>
      </c>
      <c r="G5381" s="1">
        <v>15.54</v>
      </c>
      <c r="H5381" s="1">
        <v>3</v>
      </c>
      <c r="I5381" s="1">
        <v>7.6146000000000003</v>
      </c>
    </row>
    <row r="5382" spans="1:9" x14ac:dyDescent="0.35">
      <c r="A5382" s="3" t="s">
        <v>3641</v>
      </c>
      <c r="B5382" s="1" t="s">
        <v>2864</v>
      </c>
      <c r="C5382" s="1" t="s">
        <v>17</v>
      </c>
      <c r="D5382" s="1" t="s">
        <v>18</v>
      </c>
      <c r="E5382" s="1" t="s">
        <v>338</v>
      </c>
      <c r="F5382" s="2" t="s">
        <v>2890</v>
      </c>
      <c r="G5382" s="1">
        <v>105.55200000000001</v>
      </c>
      <c r="H5382" s="1">
        <v>6</v>
      </c>
      <c r="I5382" s="1">
        <v>35.623800000000003</v>
      </c>
    </row>
    <row r="5383" spans="1:9" x14ac:dyDescent="0.35">
      <c r="A5383" s="3">
        <v>42499</v>
      </c>
      <c r="B5383" s="1" t="s">
        <v>2891</v>
      </c>
      <c r="C5383" s="1" t="s">
        <v>93</v>
      </c>
      <c r="D5383" s="1" t="s">
        <v>52</v>
      </c>
      <c r="E5383" s="1" t="s">
        <v>44</v>
      </c>
      <c r="F5383" s="2" t="s">
        <v>1187</v>
      </c>
      <c r="G5383" s="1">
        <v>25.92</v>
      </c>
      <c r="H5383" s="1">
        <v>5</v>
      </c>
      <c r="I5383" s="1">
        <v>9.0719999999999992</v>
      </c>
    </row>
    <row r="5384" spans="1:9" x14ac:dyDescent="0.35">
      <c r="A5384" s="3">
        <v>42499</v>
      </c>
      <c r="B5384" s="1" t="s">
        <v>2891</v>
      </c>
      <c r="C5384" s="1" t="s">
        <v>93</v>
      </c>
      <c r="D5384" s="1" t="s">
        <v>52</v>
      </c>
      <c r="E5384" s="1" t="s">
        <v>137</v>
      </c>
      <c r="F5384" s="2" t="s">
        <v>281</v>
      </c>
      <c r="G5384" s="1">
        <v>15.808</v>
      </c>
      <c r="H5384" s="1">
        <v>8</v>
      </c>
      <c r="I5384" s="1">
        <v>5.3352000000000004</v>
      </c>
    </row>
    <row r="5385" spans="1:9" x14ac:dyDescent="0.35">
      <c r="A5385" s="3">
        <v>42499</v>
      </c>
      <c r="B5385" s="1" t="s">
        <v>2891</v>
      </c>
      <c r="C5385" s="1" t="s">
        <v>93</v>
      </c>
      <c r="D5385" s="1" t="s">
        <v>52</v>
      </c>
      <c r="E5385" s="1" t="s">
        <v>44</v>
      </c>
      <c r="F5385" s="2" t="s">
        <v>618</v>
      </c>
      <c r="G5385" s="1">
        <v>10.368</v>
      </c>
      <c r="H5385" s="1">
        <v>2</v>
      </c>
      <c r="I5385" s="1">
        <v>3.7584</v>
      </c>
    </row>
    <row r="5386" spans="1:9" x14ac:dyDescent="0.35">
      <c r="A5386" s="3" t="s">
        <v>3420</v>
      </c>
      <c r="B5386" s="1" t="s">
        <v>1524</v>
      </c>
      <c r="C5386" s="1" t="s">
        <v>74</v>
      </c>
      <c r="D5386" s="1" t="s">
        <v>75</v>
      </c>
      <c r="E5386" s="1" t="s">
        <v>33</v>
      </c>
      <c r="F5386" s="2" t="s">
        <v>503</v>
      </c>
      <c r="G5386" s="1">
        <v>358.2</v>
      </c>
      <c r="H5386" s="1">
        <v>3</v>
      </c>
      <c r="I5386" s="1">
        <v>41.79</v>
      </c>
    </row>
    <row r="5387" spans="1:9" x14ac:dyDescent="0.35">
      <c r="A5387" s="3" t="s">
        <v>3420</v>
      </c>
      <c r="B5387" s="1" t="s">
        <v>1524</v>
      </c>
      <c r="C5387" s="1" t="s">
        <v>74</v>
      </c>
      <c r="D5387" s="1" t="s">
        <v>75</v>
      </c>
      <c r="E5387" s="1" t="s">
        <v>33</v>
      </c>
      <c r="F5387" s="2" t="s">
        <v>2344</v>
      </c>
      <c r="G5387" s="1">
        <v>545.91600000000005</v>
      </c>
      <c r="H5387" s="1">
        <v>14</v>
      </c>
      <c r="I5387" s="1">
        <v>72.788799999999995</v>
      </c>
    </row>
    <row r="5388" spans="1:9" x14ac:dyDescent="0.35">
      <c r="A5388" s="3">
        <v>43072</v>
      </c>
      <c r="B5388" s="1" t="s">
        <v>1179</v>
      </c>
      <c r="C5388" s="1" t="s">
        <v>2892</v>
      </c>
      <c r="D5388" s="1" t="s">
        <v>797</v>
      </c>
      <c r="E5388" s="1" t="s">
        <v>35</v>
      </c>
      <c r="F5388" s="2" t="s">
        <v>581</v>
      </c>
      <c r="G5388" s="1">
        <v>40.409999999999997</v>
      </c>
      <c r="H5388" s="1">
        <v>9</v>
      </c>
      <c r="I5388" s="1">
        <v>18.5886</v>
      </c>
    </row>
    <row r="5389" spans="1:9" x14ac:dyDescent="0.35">
      <c r="A5389" s="3" t="s">
        <v>3642</v>
      </c>
      <c r="B5389" s="1" t="s">
        <v>241</v>
      </c>
      <c r="C5389" s="1" t="s">
        <v>17</v>
      </c>
      <c r="D5389" s="1" t="s">
        <v>18</v>
      </c>
      <c r="E5389" s="1" t="s">
        <v>33</v>
      </c>
      <c r="F5389" s="2" t="s">
        <v>781</v>
      </c>
      <c r="G5389" s="1">
        <v>167.976</v>
      </c>
      <c r="H5389" s="1">
        <v>3</v>
      </c>
      <c r="I5389" s="1">
        <v>10.4985</v>
      </c>
    </row>
    <row r="5390" spans="1:9" x14ac:dyDescent="0.35">
      <c r="A5390" s="3" t="s">
        <v>3642</v>
      </c>
      <c r="B5390" s="1" t="s">
        <v>241</v>
      </c>
      <c r="C5390" s="1" t="s">
        <v>17</v>
      </c>
      <c r="D5390" s="1" t="s">
        <v>18</v>
      </c>
      <c r="E5390" s="1" t="s">
        <v>81</v>
      </c>
      <c r="F5390" s="2" t="s">
        <v>2181</v>
      </c>
      <c r="G5390" s="1">
        <v>109.53</v>
      </c>
      <c r="H5390" s="1">
        <v>3</v>
      </c>
      <c r="I5390" s="1">
        <v>47.097900000000003</v>
      </c>
    </row>
    <row r="5391" spans="1:9" x14ac:dyDescent="0.35">
      <c r="A5391" s="3" t="s">
        <v>3642</v>
      </c>
      <c r="B5391" s="1" t="s">
        <v>241</v>
      </c>
      <c r="C5391" s="1" t="s">
        <v>17</v>
      </c>
      <c r="D5391" s="1" t="s">
        <v>18</v>
      </c>
      <c r="E5391" s="1" t="s">
        <v>19</v>
      </c>
      <c r="F5391" s="2" t="s">
        <v>931</v>
      </c>
      <c r="G5391" s="1">
        <v>9.82</v>
      </c>
      <c r="H5391" s="1">
        <v>2</v>
      </c>
      <c r="I5391" s="1">
        <v>4.8117999999999999</v>
      </c>
    </row>
    <row r="5392" spans="1:9" x14ac:dyDescent="0.35">
      <c r="A5392" s="3">
        <v>43019</v>
      </c>
      <c r="B5392" s="1" t="s">
        <v>2596</v>
      </c>
      <c r="C5392" s="1" t="s">
        <v>47</v>
      </c>
      <c r="D5392" s="1" t="s">
        <v>48</v>
      </c>
      <c r="E5392" s="1" t="s">
        <v>35</v>
      </c>
      <c r="F5392" s="2" t="s">
        <v>1761</v>
      </c>
      <c r="G5392" s="1">
        <v>26.352</v>
      </c>
      <c r="H5392" s="1">
        <v>3</v>
      </c>
      <c r="I5392" s="1">
        <v>9.5526</v>
      </c>
    </row>
    <row r="5393" spans="1:9" x14ac:dyDescent="0.35">
      <c r="A5393" s="3" t="s">
        <v>3643</v>
      </c>
      <c r="B5393" s="1" t="s">
        <v>2779</v>
      </c>
      <c r="C5393" s="1" t="s">
        <v>261</v>
      </c>
      <c r="D5393" s="1" t="s">
        <v>124</v>
      </c>
      <c r="E5393" s="1" t="s">
        <v>19</v>
      </c>
      <c r="F5393" s="2" t="s">
        <v>971</v>
      </c>
      <c r="G5393" s="1">
        <v>22.5</v>
      </c>
      <c r="H5393" s="1">
        <v>6</v>
      </c>
      <c r="I5393" s="1">
        <v>10.8</v>
      </c>
    </row>
    <row r="5394" spans="1:9" x14ac:dyDescent="0.35">
      <c r="A5394" s="3" t="s">
        <v>3643</v>
      </c>
      <c r="B5394" s="1" t="s">
        <v>2779</v>
      </c>
      <c r="C5394" s="1" t="s">
        <v>261</v>
      </c>
      <c r="D5394" s="1" t="s">
        <v>124</v>
      </c>
      <c r="E5394" s="1" t="s">
        <v>19</v>
      </c>
      <c r="F5394" s="2" t="s">
        <v>1124</v>
      </c>
      <c r="G5394" s="1">
        <v>9.9600000000000009</v>
      </c>
      <c r="H5394" s="1">
        <v>2</v>
      </c>
      <c r="I5394" s="1">
        <v>4.5815999999999999</v>
      </c>
    </row>
    <row r="5395" spans="1:9" x14ac:dyDescent="0.35">
      <c r="A5395" s="3" t="s">
        <v>3643</v>
      </c>
      <c r="B5395" s="1" t="s">
        <v>2779</v>
      </c>
      <c r="C5395" s="1" t="s">
        <v>261</v>
      </c>
      <c r="D5395" s="1" t="s">
        <v>124</v>
      </c>
      <c r="E5395" s="1" t="s">
        <v>35</v>
      </c>
      <c r="F5395" s="2" t="s">
        <v>852</v>
      </c>
      <c r="G5395" s="1">
        <v>213.08</v>
      </c>
      <c r="H5395" s="1">
        <v>7</v>
      </c>
      <c r="I5395" s="1">
        <v>102.2784</v>
      </c>
    </row>
    <row r="5396" spans="1:9" x14ac:dyDescent="0.35">
      <c r="A5396" s="3" t="s">
        <v>3643</v>
      </c>
      <c r="B5396" s="1" t="s">
        <v>2779</v>
      </c>
      <c r="C5396" s="1" t="s">
        <v>261</v>
      </c>
      <c r="D5396" s="1" t="s">
        <v>124</v>
      </c>
      <c r="E5396" s="1" t="s">
        <v>12</v>
      </c>
      <c r="F5396" s="2" t="s">
        <v>1778</v>
      </c>
      <c r="G5396" s="1">
        <v>1025.8800000000001</v>
      </c>
      <c r="H5396" s="1">
        <v>6</v>
      </c>
      <c r="I5396" s="1">
        <v>235.95240000000001</v>
      </c>
    </row>
    <row r="5397" spans="1:9" x14ac:dyDescent="0.35">
      <c r="A5397" s="3" t="s">
        <v>3368</v>
      </c>
      <c r="B5397" s="1" t="s">
        <v>771</v>
      </c>
      <c r="C5397" s="1" t="s">
        <v>1617</v>
      </c>
      <c r="D5397" s="1" t="s">
        <v>61</v>
      </c>
      <c r="E5397" s="1" t="s">
        <v>44</v>
      </c>
      <c r="F5397" s="2" t="s">
        <v>2331</v>
      </c>
      <c r="G5397" s="1">
        <v>21.98</v>
      </c>
      <c r="H5397" s="1">
        <v>7</v>
      </c>
      <c r="I5397" s="1">
        <v>9.891</v>
      </c>
    </row>
    <row r="5398" spans="1:9" x14ac:dyDescent="0.35">
      <c r="A5398" s="3" t="s">
        <v>3644</v>
      </c>
      <c r="B5398" s="1" t="s">
        <v>1753</v>
      </c>
      <c r="C5398" s="1" t="s">
        <v>64</v>
      </c>
      <c r="D5398" s="1" t="s">
        <v>18</v>
      </c>
      <c r="E5398" s="1" t="s">
        <v>29</v>
      </c>
      <c r="F5398" s="2" t="s">
        <v>2175</v>
      </c>
      <c r="G5398" s="1">
        <v>63.2</v>
      </c>
      <c r="H5398" s="1">
        <v>5</v>
      </c>
      <c r="I5398" s="1">
        <v>23.384</v>
      </c>
    </row>
    <row r="5399" spans="1:9" x14ac:dyDescent="0.35">
      <c r="A5399" s="3" t="s">
        <v>3355</v>
      </c>
      <c r="B5399" s="1" t="s">
        <v>831</v>
      </c>
      <c r="C5399" s="1" t="s">
        <v>17</v>
      </c>
      <c r="D5399" s="1" t="s">
        <v>18</v>
      </c>
      <c r="E5399" s="1" t="s">
        <v>37</v>
      </c>
      <c r="F5399" s="2" t="s">
        <v>397</v>
      </c>
      <c r="G5399" s="1">
        <v>39</v>
      </c>
      <c r="H5399" s="1">
        <v>12</v>
      </c>
      <c r="I5399" s="1">
        <v>11.31</v>
      </c>
    </row>
    <row r="5400" spans="1:9" x14ac:dyDescent="0.35">
      <c r="A5400" s="3" t="s">
        <v>3645</v>
      </c>
      <c r="B5400" s="1" t="s">
        <v>1170</v>
      </c>
      <c r="C5400" s="1" t="s">
        <v>1114</v>
      </c>
      <c r="D5400" s="1" t="s">
        <v>250</v>
      </c>
      <c r="E5400" s="1" t="s">
        <v>35</v>
      </c>
      <c r="F5400" s="2" t="s">
        <v>905</v>
      </c>
      <c r="G5400" s="1">
        <v>2.907</v>
      </c>
      <c r="H5400" s="1">
        <v>3</v>
      </c>
      <c r="I5400" s="1">
        <v>-2.0348999999999999</v>
      </c>
    </row>
    <row r="5401" spans="1:9" x14ac:dyDescent="0.35">
      <c r="A5401" s="3">
        <v>42617</v>
      </c>
      <c r="B5401" s="1" t="s">
        <v>1839</v>
      </c>
      <c r="C5401" s="1" t="s">
        <v>17</v>
      </c>
      <c r="D5401" s="1" t="s">
        <v>18</v>
      </c>
      <c r="E5401" s="1" t="s">
        <v>12</v>
      </c>
      <c r="F5401" s="2" t="s">
        <v>13</v>
      </c>
      <c r="G5401" s="1">
        <v>556.66499999999996</v>
      </c>
      <c r="H5401" s="1">
        <v>5</v>
      </c>
      <c r="I5401" s="1">
        <v>6.5490000000000004</v>
      </c>
    </row>
    <row r="5402" spans="1:9" x14ac:dyDescent="0.35">
      <c r="A5402" s="3" t="s">
        <v>3525</v>
      </c>
      <c r="B5402" s="1" t="s">
        <v>2893</v>
      </c>
      <c r="C5402" s="1" t="s">
        <v>47</v>
      </c>
      <c r="D5402" s="1" t="s">
        <v>48</v>
      </c>
      <c r="E5402" s="1" t="s">
        <v>81</v>
      </c>
      <c r="F5402" s="2" t="s">
        <v>670</v>
      </c>
      <c r="G5402" s="1">
        <v>71.98</v>
      </c>
      <c r="H5402" s="1">
        <v>2</v>
      </c>
      <c r="I5402" s="1">
        <v>15.1158</v>
      </c>
    </row>
    <row r="5403" spans="1:9" x14ac:dyDescent="0.35">
      <c r="A5403" s="3" t="s">
        <v>3525</v>
      </c>
      <c r="B5403" s="1" t="s">
        <v>2893</v>
      </c>
      <c r="C5403" s="1" t="s">
        <v>47</v>
      </c>
      <c r="D5403" s="1" t="s">
        <v>48</v>
      </c>
      <c r="E5403" s="1" t="s">
        <v>81</v>
      </c>
      <c r="F5403" s="2" t="s">
        <v>787</v>
      </c>
      <c r="G5403" s="1">
        <v>79.98</v>
      </c>
      <c r="H5403" s="1">
        <v>2</v>
      </c>
      <c r="I5403" s="1">
        <v>26.3934</v>
      </c>
    </row>
    <row r="5404" spans="1:9" x14ac:dyDescent="0.35">
      <c r="A5404" s="3" t="s">
        <v>3646</v>
      </c>
      <c r="B5404" s="1" t="s">
        <v>508</v>
      </c>
      <c r="C5404" s="1" t="s">
        <v>135</v>
      </c>
      <c r="D5404" s="1" t="s">
        <v>136</v>
      </c>
      <c r="E5404" s="1" t="s">
        <v>35</v>
      </c>
      <c r="F5404" s="2" t="s">
        <v>36</v>
      </c>
      <c r="G5404" s="1">
        <v>24.672000000000001</v>
      </c>
      <c r="H5404" s="1">
        <v>4</v>
      </c>
      <c r="I5404" s="1">
        <v>7.71</v>
      </c>
    </row>
    <row r="5405" spans="1:9" x14ac:dyDescent="0.35">
      <c r="A5405" s="3" t="s">
        <v>3646</v>
      </c>
      <c r="B5405" s="1" t="s">
        <v>508</v>
      </c>
      <c r="C5405" s="1" t="s">
        <v>135</v>
      </c>
      <c r="D5405" s="1" t="s">
        <v>136</v>
      </c>
      <c r="E5405" s="1" t="s">
        <v>35</v>
      </c>
      <c r="F5405" s="2" t="s">
        <v>1068</v>
      </c>
      <c r="G5405" s="1">
        <v>3.7440000000000002</v>
      </c>
      <c r="H5405" s="1">
        <v>1</v>
      </c>
      <c r="I5405" s="1">
        <v>1.3104</v>
      </c>
    </row>
    <row r="5406" spans="1:9" x14ac:dyDescent="0.35">
      <c r="A5406" s="3" t="s">
        <v>3647</v>
      </c>
      <c r="B5406" s="1" t="s">
        <v>1295</v>
      </c>
      <c r="C5406" s="1" t="s">
        <v>17</v>
      </c>
      <c r="D5406" s="1" t="s">
        <v>18</v>
      </c>
      <c r="E5406" s="1" t="s">
        <v>33</v>
      </c>
      <c r="F5406" s="2" t="s">
        <v>551</v>
      </c>
      <c r="G5406" s="1">
        <v>445.96</v>
      </c>
      <c r="H5406" s="1">
        <v>5</v>
      </c>
      <c r="I5406" s="1">
        <v>55.744999999999997</v>
      </c>
    </row>
    <row r="5407" spans="1:9" x14ac:dyDescent="0.35">
      <c r="A5407" s="3" t="s">
        <v>3647</v>
      </c>
      <c r="B5407" s="1" t="s">
        <v>1295</v>
      </c>
      <c r="C5407" s="1" t="s">
        <v>17</v>
      </c>
      <c r="D5407" s="1" t="s">
        <v>18</v>
      </c>
      <c r="E5407" s="1" t="s">
        <v>81</v>
      </c>
      <c r="F5407" s="2" t="s">
        <v>2531</v>
      </c>
      <c r="G5407" s="1">
        <v>36.24</v>
      </c>
      <c r="H5407" s="1">
        <v>1</v>
      </c>
      <c r="I5407" s="1">
        <v>15.220800000000001</v>
      </c>
    </row>
    <row r="5408" spans="1:9" x14ac:dyDescent="0.35">
      <c r="A5408" s="3" t="s">
        <v>3647</v>
      </c>
      <c r="B5408" s="1" t="s">
        <v>1295</v>
      </c>
      <c r="C5408" s="1" t="s">
        <v>17</v>
      </c>
      <c r="D5408" s="1" t="s">
        <v>18</v>
      </c>
      <c r="E5408" s="1" t="s">
        <v>137</v>
      </c>
      <c r="F5408" s="2" t="s">
        <v>1772</v>
      </c>
      <c r="G5408" s="1">
        <v>10.65</v>
      </c>
      <c r="H5408" s="1">
        <v>3</v>
      </c>
      <c r="I5408" s="1">
        <v>5.0054999999999996</v>
      </c>
    </row>
    <row r="5409" spans="1:9" x14ac:dyDescent="0.35">
      <c r="A5409" s="3">
        <v>42959</v>
      </c>
      <c r="B5409" s="1" t="s">
        <v>2392</v>
      </c>
      <c r="C5409" s="1" t="s">
        <v>64</v>
      </c>
      <c r="D5409" s="1" t="s">
        <v>18</v>
      </c>
      <c r="E5409" s="1" t="s">
        <v>44</v>
      </c>
      <c r="F5409" s="2" t="s">
        <v>2894</v>
      </c>
      <c r="G5409" s="1">
        <v>87.92</v>
      </c>
      <c r="H5409" s="1">
        <v>4</v>
      </c>
      <c r="I5409" s="1">
        <v>40.443199999999997</v>
      </c>
    </row>
    <row r="5410" spans="1:9" x14ac:dyDescent="0.35">
      <c r="A5410" s="3">
        <v>42959</v>
      </c>
      <c r="B5410" s="1" t="s">
        <v>2392</v>
      </c>
      <c r="C5410" s="1" t="s">
        <v>64</v>
      </c>
      <c r="D5410" s="1" t="s">
        <v>18</v>
      </c>
      <c r="E5410" s="1" t="s">
        <v>35</v>
      </c>
      <c r="F5410" s="2" t="s">
        <v>1530</v>
      </c>
      <c r="G5410" s="1">
        <v>22.423999999999999</v>
      </c>
      <c r="H5410" s="1">
        <v>1</v>
      </c>
      <c r="I5410" s="1">
        <v>8.4090000000000007</v>
      </c>
    </row>
    <row r="5411" spans="1:9" x14ac:dyDescent="0.35">
      <c r="A5411" s="3">
        <v>42959</v>
      </c>
      <c r="B5411" s="1" t="s">
        <v>2392</v>
      </c>
      <c r="C5411" s="1" t="s">
        <v>64</v>
      </c>
      <c r="D5411" s="1" t="s">
        <v>18</v>
      </c>
      <c r="E5411" s="1" t="s">
        <v>35</v>
      </c>
      <c r="F5411" s="2" t="s">
        <v>805</v>
      </c>
      <c r="G5411" s="1">
        <v>90.48</v>
      </c>
      <c r="H5411" s="1">
        <v>3</v>
      </c>
      <c r="I5411" s="1">
        <v>33.93</v>
      </c>
    </row>
    <row r="5412" spans="1:9" x14ac:dyDescent="0.35">
      <c r="A5412" s="3">
        <v>42959</v>
      </c>
      <c r="B5412" s="1" t="s">
        <v>2392</v>
      </c>
      <c r="C5412" s="1" t="s">
        <v>64</v>
      </c>
      <c r="D5412" s="1" t="s">
        <v>18</v>
      </c>
      <c r="E5412" s="1" t="s">
        <v>26</v>
      </c>
      <c r="F5412" s="2" t="s">
        <v>2239</v>
      </c>
      <c r="G5412" s="1">
        <v>42.76</v>
      </c>
      <c r="H5412" s="1">
        <v>1</v>
      </c>
      <c r="I5412" s="1">
        <v>11.117599999999999</v>
      </c>
    </row>
    <row r="5413" spans="1:9" x14ac:dyDescent="0.35">
      <c r="A5413" s="3" t="s">
        <v>3179</v>
      </c>
      <c r="B5413" s="1" t="s">
        <v>2534</v>
      </c>
      <c r="C5413" s="1" t="s">
        <v>2895</v>
      </c>
      <c r="D5413" s="1" t="s">
        <v>331</v>
      </c>
      <c r="E5413" s="1" t="s">
        <v>35</v>
      </c>
      <c r="F5413" s="2" t="s">
        <v>1292</v>
      </c>
      <c r="G5413" s="1">
        <v>10.08</v>
      </c>
      <c r="H5413" s="1">
        <v>7</v>
      </c>
      <c r="I5413" s="1">
        <v>3.528</v>
      </c>
    </row>
    <row r="5414" spans="1:9" x14ac:dyDescent="0.35">
      <c r="A5414" s="3" t="s">
        <v>3179</v>
      </c>
      <c r="B5414" s="1" t="s">
        <v>2534</v>
      </c>
      <c r="C5414" s="1" t="s">
        <v>2895</v>
      </c>
      <c r="D5414" s="1" t="s">
        <v>331</v>
      </c>
      <c r="E5414" s="1" t="s">
        <v>81</v>
      </c>
      <c r="F5414" s="2" t="s">
        <v>2896</v>
      </c>
      <c r="G5414" s="1">
        <v>101.34</v>
      </c>
      <c r="H5414" s="1">
        <v>3</v>
      </c>
      <c r="I5414" s="1">
        <v>8.1072000000000006</v>
      </c>
    </row>
    <row r="5415" spans="1:9" x14ac:dyDescent="0.35">
      <c r="A5415" s="3">
        <v>42683</v>
      </c>
      <c r="B5415" s="1" t="s">
        <v>2073</v>
      </c>
      <c r="C5415" s="1" t="s">
        <v>2711</v>
      </c>
      <c r="D5415" s="1" t="s">
        <v>1891</v>
      </c>
      <c r="E5415" s="1" t="s">
        <v>33</v>
      </c>
      <c r="F5415" s="2" t="s">
        <v>2526</v>
      </c>
      <c r="G5415" s="1">
        <v>224.75</v>
      </c>
      <c r="H5415" s="1">
        <v>5</v>
      </c>
      <c r="I5415" s="1">
        <v>62.93</v>
      </c>
    </row>
    <row r="5416" spans="1:9" x14ac:dyDescent="0.35">
      <c r="A5416" s="3" t="s">
        <v>3348</v>
      </c>
      <c r="B5416" s="1" t="s">
        <v>227</v>
      </c>
      <c r="C5416" s="1" t="s">
        <v>154</v>
      </c>
      <c r="D5416" s="1" t="s">
        <v>106</v>
      </c>
      <c r="E5416" s="1" t="s">
        <v>37</v>
      </c>
      <c r="F5416" s="2" t="s">
        <v>2853</v>
      </c>
      <c r="G5416" s="1">
        <v>73.176000000000002</v>
      </c>
      <c r="H5416" s="1">
        <v>6</v>
      </c>
      <c r="I5416" s="1">
        <v>-197.5752</v>
      </c>
    </row>
    <row r="5417" spans="1:9" x14ac:dyDescent="0.35">
      <c r="A5417" s="3" t="s">
        <v>3348</v>
      </c>
      <c r="B5417" s="1" t="s">
        <v>227</v>
      </c>
      <c r="C5417" s="1" t="s">
        <v>154</v>
      </c>
      <c r="D5417" s="1" t="s">
        <v>106</v>
      </c>
      <c r="E5417" s="1" t="s">
        <v>44</v>
      </c>
      <c r="F5417" s="2" t="s">
        <v>1636</v>
      </c>
      <c r="G5417" s="1">
        <v>20.736000000000001</v>
      </c>
      <c r="H5417" s="1">
        <v>4</v>
      </c>
      <c r="I5417" s="1">
        <v>7.2576000000000001</v>
      </c>
    </row>
    <row r="5418" spans="1:9" x14ac:dyDescent="0.35">
      <c r="A5418" s="3" t="s">
        <v>3348</v>
      </c>
      <c r="B5418" s="1" t="s">
        <v>227</v>
      </c>
      <c r="C5418" s="1" t="s">
        <v>154</v>
      </c>
      <c r="D5418" s="1" t="s">
        <v>106</v>
      </c>
      <c r="E5418" s="1" t="s">
        <v>33</v>
      </c>
      <c r="F5418" s="2" t="s">
        <v>1326</v>
      </c>
      <c r="G5418" s="1">
        <v>39.984000000000002</v>
      </c>
      <c r="H5418" s="1">
        <v>2</v>
      </c>
      <c r="I5418" s="1">
        <v>-8.9963999999999995</v>
      </c>
    </row>
    <row r="5419" spans="1:9" x14ac:dyDescent="0.35">
      <c r="A5419" s="3">
        <v>41800</v>
      </c>
      <c r="B5419" s="1" t="s">
        <v>372</v>
      </c>
      <c r="C5419" s="1" t="s">
        <v>1138</v>
      </c>
      <c r="D5419" s="1" t="s">
        <v>70</v>
      </c>
      <c r="E5419" s="1" t="s">
        <v>35</v>
      </c>
      <c r="F5419" s="2" t="s">
        <v>2897</v>
      </c>
      <c r="G5419" s="1">
        <v>15.36</v>
      </c>
      <c r="H5419" s="1">
        <v>2</v>
      </c>
      <c r="I5419" s="1">
        <v>7.68</v>
      </c>
    </row>
    <row r="5420" spans="1:9" x14ac:dyDescent="0.35">
      <c r="A5420" s="3" t="s">
        <v>3467</v>
      </c>
      <c r="B5420" s="1" t="s">
        <v>1981</v>
      </c>
      <c r="C5420" s="1" t="s">
        <v>93</v>
      </c>
      <c r="D5420" s="1" t="s">
        <v>52</v>
      </c>
      <c r="E5420" s="1" t="s">
        <v>44</v>
      </c>
      <c r="F5420" s="2" t="s">
        <v>1289</v>
      </c>
      <c r="G5420" s="1">
        <v>36.287999999999997</v>
      </c>
      <c r="H5420" s="1">
        <v>7</v>
      </c>
      <c r="I5420" s="1">
        <v>12.700799999999999</v>
      </c>
    </row>
    <row r="5421" spans="1:9" x14ac:dyDescent="0.35">
      <c r="A5421" s="3" t="s">
        <v>3467</v>
      </c>
      <c r="B5421" s="1" t="s">
        <v>1981</v>
      </c>
      <c r="C5421" s="1" t="s">
        <v>93</v>
      </c>
      <c r="D5421" s="1" t="s">
        <v>52</v>
      </c>
      <c r="E5421" s="1" t="s">
        <v>33</v>
      </c>
      <c r="F5421" s="2" t="s">
        <v>957</v>
      </c>
      <c r="G5421" s="1">
        <v>150.38399999999999</v>
      </c>
      <c r="H5421" s="1">
        <v>2</v>
      </c>
      <c r="I5421" s="1">
        <v>15.038399999999999</v>
      </c>
    </row>
    <row r="5422" spans="1:9" x14ac:dyDescent="0.35">
      <c r="A5422" s="3" t="s">
        <v>3648</v>
      </c>
      <c r="B5422" s="1" t="s">
        <v>899</v>
      </c>
      <c r="C5422" s="1" t="s">
        <v>74</v>
      </c>
      <c r="D5422" s="1" t="s">
        <v>75</v>
      </c>
      <c r="E5422" s="1" t="s">
        <v>33</v>
      </c>
      <c r="F5422" s="2" t="s">
        <v>2655</v>
      </c>
      <c r="G5422" s="1">
        <v>280.78199999999998</v>
      </c>
      <c r="H5422" s="1">
        <v>3</v>
      </c>
      <c r="I5422" s="1">
        <v>-60.836100000000002</v>
      </c>
    </row>
    <row r="5423" spans="1:9" x14ac:dyDescent="0.35">
      <c r="A5423" s="3" t="s">
        <v>3648</v>
      </c>
      <c r="B5423" s="1" t="s">
        <v>899</v>
      </c>
      <c r="C5423" s="1" t="s">
        <v>74</v>
      </c>
      <c r="D5423" s="1" t="s">
        <v>75</v>
      </c>
      <c r="E5423" s="1" t="s">
        <v>81</v>
      </c>
      <c r="F5423" s="2" t="s">
        <v>2038</v>
      </c>
      <c r="G5423" s="1">
        <v>31.984000000000002</v>
      </c>
      <c r="H5423" s="1">
        <v>2</v>
      </c>
      <c r="I5423" s="1">
        <v>1.1994</v>
      </c>
    </row>
    <row r="5424" spans="1:9" x14ac:dyDescent="0.35">
      <c r="A5424" s="3" t="s">
        <v>3218</v>
      </c>
      <c r="B5424" s="1" t="s">
        <v>1525</v>
      </c>
      <c r="C5424" s="1" t="s">
        <v>17</v>
      </c>
      <c r="D5424" s="1" t="s">
        <v>18</v>
      </c>
      <c r="E5424" s="1" t="s">
        <v>35</v>
      </c>
      <c r="F5424" s="2" t="s">
        <v>1068</v>
      </c>
      <c r="G5424" s="1">
        <v>11.231999999999999</v>
      </c>
      <c r="H5424" s="1">
        <v>3</v>
      </c>
      <c r="I5424" s="1">
        <v>3.9312</v>
      </c>
    </row>
    <row r="5425" spans="1:9" x14ac:dyDescent="0.35">
      <c r="A5425" s="3">
        <v>42805</v>
      </c>
      <c r="B5425" s="1" t="s">
        <v>2150</v>
      </c>
      <c r="C5425" s="1" t="s">
        <v>693</v>
      </c>
      <c r="D5425" s="1" t="s">
        <v>11</v>
      </c>
      <c r="E5425" s="1" t="s">
        <v>44</v>
      </c>
      <c r="F5425" s="2" t="s">
        <v>2898</v>
      </c>
      <c r="G5425" s="1">
        <v>26.4</v>
      </c>
      <c r="H5425" s="1">
        <v>5</v>
      </c>
      <c r="I5425" s="1">
        <v>11.88</v>
      </c>
    </row>
    <row r="5426" spans="1:9" x14ac:dyDescent="0.35">
      <c r="A5426" s="3" t="s">
        <v>3649</v>
      </c>
      <c r="B5426" s="1" t="s">
        <v>883</v>
      </c>
      <c r="C5426" s="1" t="s">
        <v>2814</v>
      </c>
      <c r="D5426" s="1" t="s">
        <v>368</v>
      </c>
      <c r="E5426" s="1" t="s">
        <v>31</v>
      </c>
      <c r="F5426" s="2" t="s">
        <v>1404</v>
      </c>
      <c r="G5426" s="1">
        <v>3.52</v>
      </c>
      <c r="H5426" s="1">
        <v>2</v>
      </c>
      <c r="I5426" s="1">
        <v>1.0207999999999999</v>
      </c>
    </row>
    <row r="5427" spans="1:9" x14ac:dyDescent="0.35">
      <c r="A5427" s="3">
        <v>42441</v>
      </c>
      <c r="B5427" s="1" t="s">
        <v>1407</v>
      </c>
      <c r="C5427" s="1" t="s">
        <v>17</v>
      </c>
      <c r="D5427" s="1" t="s">
        <v>18</v>
      </c>
      <c r="E5427" s="1" t="s">
        <v>81</v>
      </c>
      <c r="F5427" s="2" t="s">
        <v>2899</v>
      </c>
      <c r="G5427" s="1">
        <v>1649.95</v>
      </c>
      <c r="H5427" s="1">
        <v>5</v>
      </c>
      <c r="I5427" s="1">
        <v>659.98</v>
      </c>
    </row>
    <row r="5428" spans="1:9" x14ac:dyDescent="0.35">
      <c r="A5428" s="3">
        <v>42441</v>
      </c>
      <c r="B5428" s="1" t="s">
        <v>1407</v>
      </c>
      <c r="C5428" s="1" t="s">
        <v>17</v>
      </c>
      <c r="D5428" s="1" t="s">
        <v>18</v>
      </c>
      <c r="E5428" s="1" t="s">
        <v>29</v>
      </c>
      <c r="F5428" s="2" t="s">
        <v>2676</v>
      </c>
      <c r="G5428" s="1">
        <v>111.9</v>
      </c>
      <c r="H5428" s="1">
        <v>6</v>
      </c>
      <c r="I5428" s="1">
        <v>51.473999999999997</v>
      </c>
    </row>
    <row r="5429" spans="1:9" x14ac:dyDescent="0.35">
      <c r="A5429" s="3" t="s">
        <v>3650</v>
      </c>
      <c r="B5429" s="1" t="s">
        <v>2900</v>
      </c>
      <c r="C5429" s="1" t="s">
        <v>17</v>
      </c>
      <c r="D5429" s="1" t="s">
        <v>18</v>
      </c>
      <c r="E5429" s="1" t="s">
        <v>12</v>
      </c>
      <c r="F5429" s="2" t="s">
        <v>2668</v>
      </c>
      <c r="G5429" s="1">
        <v>599.16499999999996</v>
      </c>
      <c r="H5429" s="1">
        <v>5</v>
      </c>
      <c r="I5429" s="1">
        <v>35.244999999999997</v>
      </c>
    </row>
    <row r="5430" spans="1:9" x14ac:dyDescent="0.35">
      <c r="A5430" s="3">
        <v>42409</v>
      </c>
      <c r="B5430" s="1" t="s">
        <v>1613</v>
      </c>
      <c r="C5430" s="1" t="s">
        <v>64</v>
      </c>
      <c r="D5430" s="1" t="s">
        <v>18</v>
      </c>
      <c r="E5430" s="1" t="s">
        <v>26</v>
      </c>
      <c r="F5430" s="2" t="s">
        <v>359</v>
      </c>
      <c r="G5430" s="1">
        <v>46.53</v>
      </c>
      <c r="H5430" s="1">
        <v>3</v>
      </c>
      <c r="I5430" s="1">
        <v>12.097799999999999</v>
      </c>
    </row>
    <row r="5431" spans="1:9" x14ac:dyDescent="0.35">
      <c r="A5431" s="3">
        <v>41768</v>
      </c>
      <c r="B5431" s="1" t="s">
        <v>2538</v>
      </c>
      <c r="C5431" s="1" t="s">
        <v>550</v>
      </c>
      <c r="D5431" s="1" t="s">
        <v>23</v>
      </c>
      <c r="E5431" s="1" t="s">
        <v>29</v>
      </c>
      <c r="F5431" s="2" t="s">
        <v>566</v>
      </c>
      <c r="G5431" s="1">
        <v>31.984000000000002</v>
      </c>
      <c r="H5431" s="1">
        <v>2</v>
      </c>
      <c r="I5431" s="1">
        <v>1.9990000000000001</v>
      </c>
    </row>
    <row r="5432" spans="1:9" x14ac:dyDescent="0.35">
      <c r="A5432" s="3" t="s">
        <v>3492</v>
      </c>
      <c r="B5432" s="1" t="s">
        <v>2901</v>
      </c>
      <c r="C5432" s="1" t="s">
        <v>536</v>
      </c>
      <c r="D5432" s="1" t="s">
        <v>250</v>
      </c>
      <c r="E5432" s="1" t="s">
        <v>37</v>
      </c>
      <c r="F5432" s="2" t="s">
        <v>2875</v>
      </c>
      <c r="G5432" s="1">
        <v>161.56800000000001</v>
      </c>
      <c r="H5432" s="1">
        <v>2</v>
      </c>
      <c r="I5432" s="1">
        <v>16.1568</v>
      </c>
    </row>
    <row r="5433" spans="1:9" x14ac:dyDescent="0.35">
      <c r="A5433" s="3" t="s">
        <v>3492</v>
      </c>
      <c r="B5433" s="1" t="s">
        <v>2901</v>
      </c>
      <c r="C5433" s="1" t="s">
        <v>536</v>
      </c>
      <c r="D5433" s="1" t="s">
        <v>250</v>
      </c>
      <c r="E5433" s="1" t="s">
        <v>44</v>
      </c>
      <c r="F5433" s="2" t="s">
        <v>1258</v>
      </c>
      <c r="G5433" s="1">
        <v>4.0640000000000001</v>
      </c>
      <c r="H5433" s="1">
        <v>1</v>
      </c>
      <c r="I5433" s="1">
        <v>1.3715999999999999</v>
      </c>
    </row>
    <row r="5434" spans="1:9" x14ac:dyDescent="0.35">
      <c r="A5434" s="3" t="s">
        <v>3492</v>
      </c>
      <c r="B5434" s="1" t="s">
        <v>2901</v>
      </c>
      <c r="C5434" s="1" t="s">
        <v>536</v>
      </c>
      <c r="D5434" s="1" t="s">
        <v>250</v>
      </c>
      <c r="E5434" s="1" t="s">
        <v>35</v>
      </c>
      <c r="F5434" s="2" t="s">
        <v>2448</v>
      </c>
      <c r="G5434" s="1">
        <v>6.2160000000000002</v>
      </c>
      <c r="H5434" s="1">
        <v>4</v>
      </c>
      <c r="I5434" s="1">
        <v>-4.9728000000000003</v>
      </c>
    </row>
    <row r="5435" spans="1:9" x14ac:dyDescent="0.35">
      <c r="A5435" s="3" t="s">
        <v>3605</v>
      </c>
      <c r="B5435" s="1" t="s">
        <v>1481</v>
      </c>
      <c r="C5435" s="1" t="s">
        <v>2870</v>
      </c>
      <c r="D5435" s="1" t="s">
        <v>158</v>
      </c>
      <c r="E5435" s="1" t="s">
        <v>31</v>
      </c>
      <c r="F5435" s="2" t="s">
        <v>71</v>
      </c>
      <c r="G5435" s="1">
        <v>8.8960000000000008</v>
      </c>
      <c r="H5435" s="1">
        <v>4</v>
      </c>
      <c r="I5435" s="1">
        <v>0.66720000000000002</v>
      </c>
    </row>
    <row r="5436" spans="1:9" x14ac:dyDescent="0.35">
      <c r="A5436" s="3" t="s">
        <v>3481</v>
      </c>
      <c r="B5436" s="1" t="s">
        <v>360</v>
      </c>
      <c r="C5436" s="1" t="s">
        <v>17</v>
      </c>
      <c r="D5436" s="1" t="s">
        <v>18</v>
      </c>
      <c r="E5436" s="1" t="s">
        <v>37</v>
      </c>
      <c r="F5436" s="2" t="s">
        <v>2902</v>
      </c>
      <c r="G5436" s="1">
        <v>1640.7</v>
      </c>
      <c r="H5436" s="1">
        <v>5</v>
      </c>
      <c r="I5436" s="1">
        <v>459.39600000000002</v>
      </c>
    </row>
    <row r="5437" spans="1:9" x14ac:dyDescent="0.35">
      <c r="A5437" s="3" t="s">
        <v>3481</v>
      </c>
      <c r="B5437" s="1" t="s">
        <v>360</v>
      </c>
      <c r="C5437" s="1" t="s">
        <v>17</v>
      </c>
      <c r="D5437" s="1" t="s">
        <v>18</v>
      </c>
      <c r="E5437" s="1" t="s">
        <v>81</v>
      </c>
      <c r="F5437" s="2" t="s">
        <v>557</v>
      </c>
      <c r="G5437" s="1">
        <v>270</v>
      </c>
      <c r="H5437" s="1">
        <v>3</v>
      </c>
      <c r="I5437" s="1">
        <v>97.2</v>
      </c>
    </row>
    <row r="5438" spans="1:9" x14ac:dyDescent="0.35">
      <c r="A5438" s="3">
        <v>41766</v>
      </c>
      <c r="B5438" s="1" t="s">
        <v>2891</v>
      </c>
      <c r="C5438" s="1" t="s">
        <v>1039</v>
      </c>
      <c r="D5438" s="1" t="s">
        <v>23</v>
      </c>
      <c r="E5438" s="1" t="s">
        <v>29</v>
      </c>
      <c r="F5438" s="2" t="s">
        <v>1871</v>
      </c>
      <c r="G5438" s="1">
        <v>19.52</v>
      </c>
      <c r="H5438" s="1">
        <v>2</v>
      </c>
      <c r="I5438" s="1">
        <v>5.3680000000000003</v>
      </c>
    </row>
    <row r="5439" spans="1:9" x14ac:dyDescent="0.35">
      <c r="A5439" s="3">
        <v>41766</v>
      </c>
      <c r="B5439" s="1" t="s">
        <v>2891</v>
      </c>
      <c r="C5439" s="1" t="s">
        <v>1039</v>
      </c>
      <c r="D5439" s="1" t="s">
        <v>23</v>
      </c>
      <c r="E5439" s="1" t="s">
        <v>35</v>
      </c>
      <c r="F5439" s="2" t="s">
        <v>2500</v>
      </c>
      <c r="G5439" s="1">
        <v>9.81</v>
      </c>
      <c r="H5439" s="1">
        <v>5</v>
      </c>
      <c r="I5439" s="1">
        <v>-6.867</v>
      </c>
    </row>
    <row r="5440" spans="1:9" x14ac:dyDescent="0.35">
      <c r="A5440" s="3">
        <v>41766</v>
      </c>
      <c r="B5440" s="1" t="s">
        <v>2891</v>
      </c>
      <c r="C5440" s="1" t="s">
        <v>1039</v>
      </c>
      <c r="D5440" s="1" t="s">
        <v>23</v>
      </c>
      <c r="E5440" s="1" t="s">
        <v>29</v>
      </c>
      <c r="F5440" s="2" t="s">
        <v>2903</v>
      </c>
      <c r="G5440" s="1">
        <v>213.21600000000001</v>
      </c>
      <c r="H5440" s="1">
        <v>3</v>
      </c>
      <c r="I5440" s="1">
        <v>15.991199999999999</v>
      </c>
    </row>
    <row r="5441" spans="1:9" x14ac:dyDescent="0.35">
      <c r="A5441" s="3">
        <v>42464</v>
      </c>
      <c r="B5441" s="1" t="s">
        <v>2525</v>
      </c>
      <c r="C5441" s="1" t="s">
        <v>135</v>
      </c>
      <c r="D5441" s="1" t="s">
        <v>136</v>
      </c>
      <c r="E5441" s="1" t="s">
        <v>35</v>
      </c>
      <c r="F5441" s="2" t="s">
        <v>2492</v>
      </c>
      <c r="G5441" s="1">
        <v>588.78399999999999</v>
      </c>
      <c r="H5441" s="1">
        <v>2</v>
      </c>
      <c r="I5441" s="1">
        <v>183.995</v>
      </c>
    </row>
    <row r="5442" spans="1:9" x14ac:dyDescent="0.35">
      <c r="A5442" s="3" t="s">
        <v>3165</v>
      </c>
      <c r="B5442" s="1" t="s">
        <v>2325</v>
      </c>
      <c r="C5442" s="1" t="s">
        <v>2904</v>
      </c>
      <c r="D5442" s="1" t="s">
        <v>23</v>
      </c>
      <c r="E5442" s="1" t="s">
        <v>31</v>
      </c>
      <c r="F5442" s="2" t="s">
        <v>1186</v>
      </c>
      <c r="G5442" s="1">
        <v>2.0640000000000001</v>
      </c>
      <c r="H5442" s="1">
        <v>1</v>
      </c>
      <c r="I5442" s="1">
        <v>0.15479999999999999</v>
      </c>
    </row>
    <row r="5443" spans="1:9" x14ac:dyDescent="0.35">
      <c r="A5443" s="3">
        <v>42987</v>
      </c>
      <c r="B5443" s="1" t="s">
        <v>1718</v>
      </c>
      <c r="C5443" s="1" t="s">
        <v>1682</v>
      </c>
      <c r="D5443" s="1" t="s">
        <v>158</v>
      </c>
      <c r="E5443" s="1" t="s">
        <v>44</v>
      </c>
      <c r="F5443" s="2" t="s">
        <v>2905</v>
      </c>
      <c r="G5443" s="1">
        <v>6.3680000000000003</v>
      </c>
      <c r="H5443" s="1">
        <v>2</v>
      </c>
      <c r="I5443" s="1">
        <v>2.3879999999999999</v>
      </c>
    </row>
    <row r="5444" spans="1:9" x14ac:dyDescent="0.35">
      <c r="A5444" s="3" t="s">
        <v>3248</v>
      </c>
      <c r="B5444" s="1" t="s">
        <v>1253</v>
      </c>
      <c r="C5444" s="1" t="s">
        <v>135</v>
      </c>
      <c r="D5444" s="1" t="s">
        <v>136</v>
      </c>
      <c r="E5444" s="1" t="s">
        <v>81</v>
      </c>
      <c r="F5444" s="2" t="s">
        <v>1323</v>
      </c>
      <c r="G5444" s="1">
        <v>99.6</v>
      </c>
      <c r="H5444" s="1">
        <v>1</v>
      </c>
      <c r="I5444" s="1">
        <v>36.851999999999997</v>
      </c>
    </row>
    <row r="5445" spans="1:9" x14ac:dyDescent="0.35">
      <c r="A5445" s="3" t="s">
        <v>3248</v>
      </c>
      <c r="B5445" s="1" t="s">
        <v>1253</v>
      </c>
      <c r="C5445" s="1" t="s">
        <v>135</v>
      </c>
      <c r="D5445" s="1" t="s">
        <v>136</v>
      </c>
      <c r="E5445" s="1" t="s">
        <v>35</v>
      </c>
      <c r="F5445" s="2" t="s">
        <v>1868</v>
      </c>
      <c r="G5445" s="1">
        <v>62.295999999999999</v>
      </c>
      <c r="H5445" s="1">
        <v>13</v>
      </c>
      <c r="I5445" s="1">
        <v>21.024899999999999</v>
      </c>
    </row>
    <row r="5446" spans="1:9" x14ac:dyDescent="0.35">
      <c r="A5446" s="3" t="s">
        <v>3248</v>
      </c>
      <c r="B5446" s="1" t="s">
        <v>1253</v>
      </c>
      <c r="C5446" s="1" t="s">
        <v>135</v>
      </c>
      <c r="D5446" s="1" t="s">
        <v>136</v>
      </c>
      <c r="E5446" s="1" t="s">
        <v>31</v>
      </c>
      <c r="F5446" s="2" t="s">
        <v>2906</v>
      </c>
      <c r="G5446" s="1">
        <v>10.71</v>
      </c>
      <c r="H5446" s="1">
        <v>3</v>
      </c>
      <c r="I5446" s="1">
        <v>2.7846000000000002</v>
      </c>
    </row>
    <row r="5447" spans="1:9" x14ac:dyDescent="0.35">
      <c r="A5447" s="3" t="s">
        <v>3317</v>
      </c>
      <c r="B5447" s="1" t="s">
        <v>1238</v>
      </c>
      <c r="C5447" s="1" t="s">
        <v>93</v>
      </c>
      <c r="D5447" s="1" t="s">
        <v>52</v>
      </c>
      <c r="E5447" s="1" t="s">
        <v>87</v>
      </c>
      <c r="F5447" s="2" t="s">
        <v>2063</v>
      </c>
      <c r="G5447" s="1">
        <v>20.936</v>
      </c>
      <c r="H5447" s="1">
        <v>1</v>
      </c>
      <c r="I5447" s="1">
        <v>7.0659000000000001</v>
      </c>
    </row>
    <row r="5448" spans="1:9" x14ac:dyDescent="0.35">
      <c r="A5448" s="3" t="s">
        <v>3278</v>
      </c>
      <c r="B5448" s="1" t="s">
        <v>466</v>
      </c>
      <c r="C5448" s="1" t="s">
        <v>135</v>
      </c>
      <c r="D5448" s="1" t="s">
        <v>136</v>
      </c>
      <c r="E5448" s="1" t="s">
        <v>33</v>
      </c>
      <c r="F5448" s="2" t="s">
        <v>1504</v>
      </c>
      <c r="G5448" s="1">
        <v>33</v>
      </c>
      <c r="H5448" s="1">
        <v>6</v>
      </c>
      <c r="I5448" s="1">
        <v>8.25</v>
      </c>
    </row>
    <row r="5449" spans="1:9" x14ac:dyDescent="0.35">
      <c r="A5449" s="3" t="s">
        <v>3278</v>
      </c>
      <c r="B5449" s="1" t="s">
        <v>466</v>
      </c>
      <c r="C5449" s="1" t="s">
        <v>135</v>
      </c>
      <c r="D5449" s="1" t="s">
        <v>136</v>
      </c>
      <c r="E5449" s="1" t="s">
        <v>81</v>
      </c>
      <c r="F5449" s="2" t="s">
        <v>2033</v>
      </c>
      <c r="G5449" s="1">
        <v>249.95</v>
      </c>
      <c r="H5449" s="1">
        <v>5</v>
      </c>
      <c r="I5449" s="1">
        <v>87.482500000000002</v>
      </c>
    </row>
    <row r="5450" spans="1:9" x14ac:dyDescent="0.35">
      <c r="A5450" s="3">
        <v>41982</v>
      </c>
      <c r="B5450" s="1" t="s">
        <v>2300</v>
      </c>
      <c r="C5450" s="1" t="s">
        <v>1890</v>
      </c>
      <c r="D5450" s="1" t="s">
        <v>1891</v>
      </c>
      <c r="E5450" s="1" t="s">
        <v>289</v>
      </c>
      <c r="F5450" s="2" t="s">
        <v>2352</v>
      </c>
      <c r="G5450" s="1">
        <v>357.93</v>
      </c>
      <c r="H5450" s="1">
        <v>3</v>
      </c>
      <c r="I5450" s="1">
        <v>7.1585999999999999</v>
      </c>
    </row>
    <row r="5451" spans="1:9" x14ac:dyDescent="0.35">
      <c r="A5451" s="3">
        <v>41982</v>
      </c>
      <c r="B5451" s="1" t="s">
        <v>2300</v>
      </c>
      <c r="C5451" s="1" t="s">
        <v>1890</v>
      </c>
      <c r="D5451" s="1" t="s">
        <v>1891</v>
      </c>
      <c r="E5451" s="1" t="s">
        <v>81</v>
      </c>
      <c r="F5451" s="2" t="s">
        <v>2810</v>
      </c>
      <c r="G5451" s="1">
        <v>57.4</v>
      </c>
      <c r="H5451" s="1">
        <v>5</v>
      </c>
      <c r="I5451" s="1">
        <v>10.906000000000001</v>
      </c>
    </row>
    <row r="5452" spans="1:9" x14ac:dyDescent="0.35">
      <c r="A5452" s="3">
        <v>41982</v>
      </c>
      <c r="B5452" s="1" t="s">
        <v>2300</v>
      </c>
      <c r="C5452" s="1" t="s">
        <v>1890</v>
      </c>
      <c r="D5452" s="1" t="s">
        <v>1891</v>
      </c>
      <c r="E5452" s="1" t="s">
        <v>35</v>
      </c>
      <c r="F5452" s="2" t="s">
        <v>1505</v>
      </c>
      <c r="G5452" s="1">
        <v>331.96</v>
      </c>
      <c r="H5452" s="1">
        <v>2</v>
      </c>
      <c r="I5452" s="1">
        <v>149.38200000000001</v>
      </c>
    </row>
    <row r="5453" spans="1:9" x14ac:dyDescent="0.35">
      <c r="A5453" s="3">
        <v>41982</v>
      </c>
      <c r="B5453" s="1" t="s">
        <v>2300</v>
      </c>
      <c r="C5453" s="1" t="s">
        <v>1890</v>
      </c>
      <c r="D5453" s="1" t="s">
        <v>1891</v>
      </c>
      <c r="E5453" s="1" t="s">
        <v>29</v>
      </c>
      <c r="F5453" s="2" t="s">
        <v>2481</v>
      </c>
      <c r="G5453" s="1">
        <v>40.56</v>
      </c>
      <c r="H5453" s="1">
        <v>2</v>
      </c>
      <c r="I5453" s="1">
        <v>12.979200000000001</v>
      </c>
    </row>
    <row r="5454" spans="1:9" x14ac:dyDescent="0.35">
      <c r="A5454" s="3" t="s">
        <v>3552</v>
      </c>
      <c r="B5454" s="1" t="s">
        <v>2166</v>
      </c>
      <c r="C5454" s="1" t="s">
        <v>2210</v>
      </c>
      <c r="D5454" s="1" t="s">
        <v>659</v>
      </c>
      <c r="E5454" s="1" t="s">
        <v>289</v>
      </c>
      <c r="F5454" s="2" t="s">
        <v>1075</v>
      </c>
      <c r="G5454" s="1">
        <v>86.2</v>
      </c>
      <c r="H5454" s="1">
        <v>5</v>
      </c>
      <c r="I5454" s="1">
        <v>24.998000000000001</v>
      </c>
    </row>
    <row r="5455" spans="1:9" x14ac:dyDescent="0.35">
      <c r="A5455" s="3" t="s">
        <v>3279</v>
      </c>
      <c r="B5455" s="1" t="s">
        <v>2150</v>
      </c>
      <c r="C5455" s="1" t="s">
        <v>1354</v>
      </c>
      <c r="D5455" s="1" t="s">
        <v>106</v>
      </c>
      <c r="E5455" s="1" t="s">
        <v>44</v>
      </c>
      <c r="F5455" s="2" t="s">
        <v>2646</v>
      </c>
      <c r="G5455" s="1">
        <v>38.015999999999998</v>
      </c>
      <c r="H5455" s="1">
        <v>6</v>
      </c>
      <c r="I5455" s="1">
        <v>13.780799999999999</v>
      </c>
    </row>
    <row r="5456" spans="1:9" x14ac:dyDescent="0.35">
      <c r="A5456" s="3" t="s">
        <v>3651</v>
      </c>
      <c r="B5456" s="1" t="s">
        <v>831</v>
      </c>
      <c r="C5456" s="1" t="s">
        <v>74</v>
      </c>
      <c r="D5456" s="1" t="s">
        <v>75</v>
      </c>
      <c r="E5456" s="1" t="s">
        <v>26</v>
      </c>
      <c r="F5456" s="2" t="s">
        <v>850</v>
      </c>
      <c r="G5456" s="1">
        <v>8.3840000000000003</v>
      </c>
      <c r="H5456" s="1">
        <v>1</v>
      </c>
      <c r="I5456" s="1">
        <v>0.73360000000000003</v>
      </c>
    </row>
    <row r="5457" spans="1:9" x14ac:dyDescent="0.35">
      <c r="A5457" s="3" t="s">
        <v>3651</v>
      </c>
      <c r="B5457" s="1" t="s">
        <v>831</v>
      </c>
      <c r="C5457" s="1" t="s">
        <v>74</v>
      </c>
      <c r="D5457" s="1" t="s">
        <v>75</v>
      </c>
      <c r="E5457" s="1" t="s">
        <v>31</v>
      </c>
      <c r="F5457" s="2" t="s">
        <v>65</v>
      </c>
      <c r="G5457" s="1">
        <v>6.8479999999999999</v>
      </c>
      <c r="H5457" s="1">
        <v>2</v>
      </c>
      <c r="I5457" s="1">
        <v>0.77039999999999997</v>
      </c>
    </row>
    <row r="5458" spans="1:9" x14ac:dyDescent="0.35">
      <c r="A5458" s="3" t="s">
        <v>3284</v>
      </c>
      <c r="B5458" s="1" t="s">
        <v>394</v>
      </c>
      <c r="C5458" s="1" t="s">
        <v>1140</v>
      </c>
      <c r="D5458" s="1" t="s">
        <v>48</v>
      </c>
      <c r="E5458" s="1" t="s">
        <v>137</v>
      </c>
      <c r="F5458" s="2" t="s">
        <v>2907</v>
      </c>
      <c r="G5458" s="1">
        <v>19.600000000000001</v>
      </c>
      <c r="H5458" s="1">
        <v>5</v>
      </c>
      <c r="I5458" s="1">
        <v>9.6039999999999992</v>
      </c>
    </row>
    <row r="5459" spans="1:9" x14ac:dyDescent="0.35">
      <c r="A5459" s="3" t="s">
        <v>3284</v>
      </c>
      <c r="B5459" s="1" t="s">
        <v>394</v>
      </c>
      <c r="C5459" s="1" t="s">
        <v>1140</v>
      </c>
      <c r="D5459" s="1" t="s">
        <v>48</v>
      </c>
      <c r="E5459" s="1" t="s">
        <v>29</v>
      </c>
      <c r="F5459" s="2" t="s">
        <v>1963</v>
      </c>
      <c r="G5459" s="1">
        <v>68.459999999999994</v>
      </c>
      <c r="H5459" s="1">
        <v>2</v>
      </c>
      <c r="I5459" s="1">
        <v>20.538</v>
      </c>
    </row>
    <row r="5460" spans="1:9" x14ac:dyDescent="0.35">
      <c r="A5460" s="3">
        <v>42834</v>
      </c>
      <c r="B5460" s="1" t="s">
        <v>55</v>
      </c>
      <c r="C5460" s="1" t="s">
        <v>64</v>
      </c>
      <c r="D5460" s="1" t="s">
        <v>18</v>
      </c>
      <c r="E5460" s="1" t="s">
        <v>35</v>
      </c>
      <c r="F5460" s="2" t="s">
        <v>1301</v>
      </c>
      <c r="G5460" s="1">
        <v>13.343999999999999</v>
      </c>
      <c r="H5460" s="1">
        <v>6</v>
      </c>
      <c r="I5460" s="1">
        <v>4.3368000000000002</v>
      </c>
    </row>
    <row r="5461" spans="1:9" x14ac:dyDescent="0.35">
      <c r="A5461" s="3">
        <v>42834</v>
      </c>
      <c r="B5461" s="1" t="s">
        <v>55</v>
      </c>
      <c r="C5461" s="1" t="s">
        <v>64</v>
      </c>
      <c r="D5461" s="1" t="s">
        <v>18</v>
      </c>
      <c r="E5461" s="1" t="s">
        <v>24</v>
      </c>
      <c r="F5461" s="2" t="s">
        <v>2908</v>
      </c>
      <c r="G5461" s="1">
        <v>1478.2719999999999</v>
      </c>
      <c r="H5461" s="1">
        <v>8</v>
      </c>
      <c r="I5461" s="1">
        <v>92.391999999999996</v>
      </c>
    </row>
    <row r="5462" spans="1:9" x14ac:dyDescent="0.35">
      <c r="A5462" s="3" t="s">
        <v>3652</v>
      </c>
      <c r="B5462" s="1" t="s">
        <v>547</v>
      </c>
      <c r="C5462" s="1" t="s">
        <v>1121</v>
      </c>
      <c r="D5462" s="1" t="s">
        <v>43</v>
      </c>
      <c r="E5462" s="1" t="s">
        <v>26</v>
      </c>
      <c r="F5462" s="2" t="s">
        <v>2513</v>
      </c>
      <c r="G5462" s="1">
        <v>16.271999999999998</v>
      </c>
      <c r="H5462" s="1">
        <v>1</v>
      </c>
      <c r="I5462" s="1">
        <v>-3.8645999999999998</v>
      </c>
    </row>
    <row r="5463" spans="1:9" x14ac:dyDescent="0.35">
      <c r="A5463" s="3" t="s">
        <v>3554</v>
      </c>
      <c r="B5463" s="1" t="s">
        <v>906</v>
      </c>
      <c r="C5463" s="1" t="s">
        <v>17</v>
      </c>
      <c r="D5463" s="1" t="s">
        <v>18</v>
      </c>
      <c r="E5463" s="1" t="s">
        <v>29</v>
      </c>
      <c r="F5463" s="2" t="s">
        <v>132</v>
      </c>
      <c r="G5463" s="1">
        <v>9.24</v>
      </c>
      <c r="H5463" s="1">
        <v>3</v>
      </c>
      <c r="I5463" s="1">
        <v>4.4352</v>
      </c>
    </row>
    <row r="5464" spans="1:9" x14ac:dyDescent="0.35">
      <c r="A5464" s="3" t="s">
        <v>3653</v>
      </c>
      <c r="B5464" s="1" t="s">
        <v>1300</v>
      </c>
      <c r="C5464" s="1" t="s">
        <v>311</v>
      </c>
      <c r="D5464" s="1" t="s">
        <v>158</v>
      </c>
      <c r="E5464" s="1" t="s">
        <v>35</v>
      </c>
      <c r="F5464" s="2" t="s">
        <v>1409</v>
      </c>
      <c r="G5464" s="1">
        <v>32.340000000000003</v>
      </c>
      <c r="H5464" s="1">
        <v>10</v>
      </c>
      <c r="I5464" s="1">
        <v>-23.716000000000001</v>
      </c>
    </row>
    <row r="5465" spans="1:9" x14ac:dyDescent="0.35">
      <c r="A5465" s="3" t="s">
        <v>3653</v>
      </c>
      <c r="B5465" s="1" t="s">
        <v>1300</v>
      </c>
      <c r="C5465" s="1" t="s">
        <v>311</v>
      </c>
      <c r="D5465" s="1" t="s">
        <v>158</v>
      </c>
      <c r="E5465" s="1" t="s">
        <v>44</v>
      </c>
      <c r="F5465" s="2" t="s">
        <v>2177</v>
      </c>
      <c r="G5465" s="1">
        <v>56.064</v>
      </c>
      <c r="H5465" s="1">
        <v>4</v>
      </c>
      <c r="I5465" s="1">
        <v>19.622399999999999</v>
      </c>
    </row>
    <row r="5466" spans="1:9" x14ac:dyDescent="0.35">
      <c r="A5466" s="3" t="s">
        <v>3653</v>
      </c>
      <c r="B5466" s="1" t="s">
        <v>1300</v>
      </c>
      <c r="C5466" s="1" t="s">
        <v>311</v>
      </c>
      <c r="D5466" s="1" t="s">
        <v>158</v>
      </c>
      <c r="E5466" s="1" t="s">
        <v>87</v>
      </c>
      <c r="F5466" s="2" t="s">
        <v>254</v>
      </c>
      <c r="G5466" s="1">
        <v>108.72</v>
      </c>
      <c r="H5466" s="1">
        <v>5</v>
      </c>
      <c r="I5466" s="1">
        <v>36.692999999999998</v>
      </c>
    </row>
    <row r="5467" spans="1:9" x14ac:dyDescent="0.35">
      <c r="A5467" s="3" t="s">
        <v>3653</v>
      </c>
      <c r="B5467" s="1" t="s">
        <v>1300</v>
      </c>
      <c r="C5467" s="1" t="s">
        <v>311</v>
      </c>
      <c r="D5467" s="1" t="s">
        <v>158</v>
      </c>
      <c r="E5467" s="1" t="s">
        <v>12</v>
      </c>
      <c r="F5467" s="2" t="s">
        <v>684</v>
      </c>
      <c r="G5467" s="1">
        <v>181.47</v>
      </c>
      <c r="H5467" s="1">
        <v>5</v>
      </c>
      <c r="I5467" s="1">
        <v>-320.59699999999998</v>
      </c>
    </row>
    <row r="5468" spans="1:9" x14ac:dyDescent="0.35">
      <c r="A5468" s="3" t="s">
        <v>3654</v>
      </c>
      <c r="B5468" s="1" t="s">
        <v>1656</v>
      </c>
      <c r="C5468" s="1" t="s">
        <v>93</v>
      </c>
      <c r="D5468" s="1" t="s">
        <v>52</v>
      </c>
      <c r="E5468" s="1" t="s">
        <v>44</v>
      </c>
      <c r="F5468" s="2" t="s">
        <v>1596</v>
      </c>
      <c r="G5468" s="1">
        <v>16.175999999999998</v>
      </c>
      <c r="H5468" s="1">
        <v>3</v>
      </c>
      <c r="I5468" s="1">
        <v>6.0659999999999998</v>
      </c>
    </row>
    <row r="5469" spans="1:9" x14ac:dyDescent="0.35">
      <c r="A5469" s="3">
        <v>42619</v>
      </c>
      <c r="B5469" s="1" t="s">
        <v>828</v>
      </c>
      <c r="C5469" s="1" t="s">
        <v>64</v>
      </c>
      <c r="D5469" s="1" t="s">
        <v>18</v>
      </c>
      <c r="E5469" s="1" t="s">
        <v>14</v>
      </c>
      <c r="F5469" s="2" t="s">
        <v>76</v>
      </c>
      <c r="G5469" s="1">
        <v>122.352</v>
      </c>
      <c r="H5469" s="1">
        <v>3</v>
      </c>
      <c r="I5469" s="1">
        <v>13.7646</v>
      </c>
    </row>
    <row r="5470" spans="1:9" x14ac:dyDescent="0.35">
      <c r="A5470" s="3" t="s">
        <v>3191</v>
      </c>
      <c r="B5470" s="1" t="s">
        <v>2085</v>
      </c>
      <c r="C5470" s="1" t="s">
        <v>461</v>
      </c>
      <c r="D5470" s="1" t="s">
        <v>18</v>
      </c>
      <c r="E5470" s="1" t="s">
        <v>14</v>
      </c>
      <c r="F5470" s="2" t="s">
        <v>15</v>
      </c>
      <c r="G5470" s="1">
        <v>585.55200000000002</v>
      </c>
      <c r="H5470" s="1">
        <v>3</v>
      </c>
      <c r="I5470" s="1">
        <v>73.194000000000003</v>
      </c>
    </row>
    <row r="5471" spans="1:9" x14ac:dyDescent="0.35">
      <c r="A5471" s="3" t="s">
        <v>3191</v>
      </c>
      <c r="B5471" s="1" t="s">
        <v>2085</v>
      </c>
      <c r="C5471" s="1" t="s">
        <v>461</v>
      </c>
      <c r="D5471" s="1" t="s">
        <v>18</v>
      </c>
      <c r="E5471" s="1" t="s">
        <v>44</v>
      </c>
      <c r="F5471" s="2" t="s">
        <v>1636</v>
      </c>
      <c r="G5471" s="1">
        <v>19.440000000000001</v>
      </c>
      <c r="H5471" s="1">
        <v>3</v>
      </c>
      <c r="I5471" s="1">
        <v>9.3312000000000008</v>
      </c>
    </row>
    <row r="5472" spans="1:9" x14ac:dyDescent="0.35">
      <c r="A5472" s="3" t="s">
        <v>3633</v>
      </c>
      <c r="B5472" s="1" t="s">
        <v>2129</v>
      </c>
      <c r="C5472" s="1" t="s">
        <v>383</v>
      </c>
      <c r="D5472" s="1" t="s">
        <v>250</v>
      </c>
      <c r="E5472" s="1" t="s">
        <v>37</v>
      </c>
      <c r="F5472" s="2" t="s">
        <v>2108</v>
      </c>
      <c r="G5472" s="1">
        <v>123.92</v>
      </c>
      <c r="H5472" s="1">
        <v>5</v>
      </c>
      <c r="I5472" s="1">
        <v>9.2940000000000005</v>
      </c>
    </row>
    <row r="5473" spans="1:9" x14ac:dyDescent="0.35">
      <c r="A5473" s="3" t="s">
        <v>3418</v>
      </c>
      <c r="B5473" s="1" t="s">
        <v>2534</v>
      </c>
      <c r="C5473" s="1" t="s">
        <v>804</v>
      </c>
      <c r="D5473" s="1" t="s">
        <v>229</v>
      </c>
      <c r="E5473" s="1" t="s">
        <v>29</v>
      </c>
      <c r="F5473" s="2" t="s">
        <v>2553</v>
      </c>
      <c r="G5473" s="1">
        <v>13.36</v>
      </c>
      <c r="H5473" s="1">
        <v>5</v>
      </c>
      <c r="I5473" s="1">
        <v>4.008</v>
      </c>
    </row>
    <row r="5474" spans="1:9" x14ac:dyDescent="0.35">
      <c r="A5474" s="3" t="s">
        <v>3418</v>
      </c>
      <c r="B5474" s="1" t="s">
        <v>2534</v>
      </c>
      <c r="C5474" s="1" t="s">
        <v>804</v>
      </c>
      <c r="D5474" s="1" t="s">
        <v>229</v>
      </c>
      <c r="E5474" s="1" t="s">
        <v>26</v>
      </c>
      <c r="F5474" s="2" t="s">
        <v>1939</v>
      </c>
      <c r="G5474" s="1">
        <v>78.256</v>
      </c>
      <c r="H5474" s="1">
        <v>2</v>
      </c>
      <c r="I5474" s="1">
        <v>-17.607600000000001</v>
      </c>
    </row>
    <row r="5475" spans="1:9" x14ac:dyDescent="0.35">
      <c r="A5475" s="3" t="s">
        <v>3418</v>
      </c>
      <c r="B5475" s="1" t="s">
        <v>2534</v>
      </c>
      <c r="C5475" s="1" t="s">
        <v>804</v>
      </c>
      <c r="D5475" s="1" t="s">
        <v>229</v>
      </c>
      <c r="E5475" s="1" t="s">
        <v>12</v>
      </c>
      <c r="F5475" s="2" t="s">
        <v>1979</v>
      </c>
      <c r="G5475" s="1">
        <v>102.018</v>
      </c>
      <c r="H5475" s="1">
        <v>7</v>
      </c>
      <c r="I5475" s="1">
        <v>-183.63239999999999</v>
      </c>
    </row>
    <row r="5476" spans="1:9" x14ac:dyDescent="0.35">
      <c r="A5476" s="3" t="s">
        <v>3451</v>
      </c>
      <c r="B5476" s="1" t="s">
        <v>1084</v>
      </c>
      <c r="C5476" s="1" t="s">
        <v>69</v>
      </c>
      <c r="D5476" s="1" t="s">
        <v>70</v>
      </c>
      <c r="E5476" s="1" t="s">
        <v>26</v>
      </c>
      <c r="F5476" s="2" t="s">
        <v>827</v>
      </c>
      <c r="G5476" s="1">
        <v>750.68</v>
      </c>
      <c r="H5476" s="1">
        <v>2</v>
      </c>
      <c r="I5476" s="1">
        <v>37.533999999999999</v>
      </c>
    </row>
    <row r="5477" spans="1:9" x14ac:dyDescent="0.35">
      <c r="A5477" s="3" t="s">
        <v>3282</v>
      </c>
      <c r="B5477" s="1" t="s">
        <v>2363</v>
      </c>
      <c r="C5477" s="1" t="s">
        <v>2491</v>
      </c>
      <c r="D5477" s="1" t="s">
        <v>115</v>
      </c>
      <c r="E5477" s="1" t="s">
        <v>19</v>
      </c>
      <c r="F5477" s="2" t="s">
        <v>1025</v>
      </c>
      <c r="G5477" s="1">
        <v>44.4</v>
      </c>
      <c r="H5477" s="1">
        <v>3</v>
      </c>
      <c r="I5477" s="1">
        <v>22.2</v>
      </c>
    </row>
    <row r="5478" spans="1:9" x14ac:dyDescent="0.35">
      <c r="A5478" s="3" t="s">
        <v>3282</v>
      </c>
      <c r="B5478" s="1" t="s">
        <v>2363</v>
      </c>
      <c r="C5478" s="1" t="s">
        <v>2491</v>
      </c>
      <c r="D5478" s="1" t="s">
        <v>115</v>
      </c>
      <c r="E5478" s="1" t="s">
        <v>26</v>
      </c>
      <c r="F5478" s="2" t="s">
        <v>1742</v>
      </c>
      <c r="G5478" s="1">
        <v>84.55</v>
      </c>
      <c r="H5478" s="1">
        <v>5</v>
      </c>
      <c r="I5478" s="1">
        <v>22.828499999999998</v>
      </c>
    </row>
    <row r="5479" spans="1:9" x14ac:dyDescent="0.35">
      <c r="A5479" s="3" t="s">
        <v>3282</v>
      </c>
      <c r="B5479" s="1" t="s">
        <v>2363</v>
      </c>
      <c r="C5479" s="1" t="s">
        <v>2491</v>
      </c>
      <c r="D5479" s="1" t="s">
        <v>115</v>
      </c>
      <c r="E5479" s="1" t="s">
        <v>44</v>
      </c>
      <c r="F5479" s="2" t="s">
        <v>2772</v>
      </c>
      <c r="G5479" s="1">
        <v>17.940000000000001</v>
      </c>
      <c r="H5479" s="1">
        <v>3</v>
      </c>
      <c r="I5479" s="1">
        <v>8.7905999999999995</v>
      </c>
    </row>
    <row r="5480" spans="1:9" x14ac:dyDescent="0.35">
      <c r="A5480" s="3" t="s">
        <v>3355</v>
      </c>
      <c r="B5480" s="1" t="s">
        <v>352</v>
      </c>
      <c r="C5480" s="1" t="s">
        <v>303</v>
      </c>
      <c r="D5480" s="1" t="s">
        <v>124</v>
      </c>
      <c r="E5480" s="1" t="s">
        <v>35</v>
      </c>
      <c r="F5480" s="2" t="s">
        <v>1932</v>
      </c>
      <c r="G5480" s="1">
        <v>128.4</v>
      </c>
      <c r="H5480" s="1">
        <v>3</v>
      </c>
      <c r="I5480" s="1">
        <v>62.915999999999997</v>
      </c>
    </row>
    <row r="5481" spans="1:9" x14ac:dyDescent="0.35">
      <c r="A5481" s="3" t="s">
        <v>3585</v>
      </c>
      <c r="B5481" s="1" t="s">
        <v>841</v>
      </c>
      <c r="C5481" s="1" t="s">
        <v>672</v>
      </c>
      <c r="D5481" s="1" t="s">
        <v>23</v>
      </c>
      <c r="E5481" s="1" t="s">
        <v>35</v>
      </c>
      <c r="F5481" s="2" t="s">
        <v>1363</v>
      </c>
      <c r="G5481" s="1">
        <v>1.869</v>
      </c>
      <c r="H5481" s="1">
        <v>1</v>
      </c>
      <c r="I5481" s="1">
        <v>-1.3083</v>
      </c>
    </row>
    <row r="5482" spans="1:9" x14ac:dyDescent="0.35">
      <c r="A5482" s="3">
        <v>42957</v>
      </c>
      <c r="B5482" s="1" t="s">
        <v>1092</v>
      </c>
      <c r="C5482" s="1" t="s">
        <v>461</v>
      </c>
      <c r="D5482" s="1" t="s">
        <v>18</v>
      </c>
      <c r="E5482" s="1" t="s">
        <v>33</v>
      </c>
      <c r="F5482" s="2" t="s">
        <v>1609</v>
      </c>
      <c r="G5482" s="1">
        <v>103.19199999999999</v>
      </c>
      <c r="H5482" s="1">
        <v>1</v>
      </c>
      <c r="I5482" s="1">
        <v>11.6091</v>
      </c>
    </row>
    <row r="5483" spans="1:9" x14ac:dyDescent="0.35">
      <c r="A5483" s="3">
        <v>42957</v>
      </c>
      <c r="B5483" s="1" t="s">
        <v>1092</v>
      </c>
      <c r="C5483" s="1" t="s">
        <v>461</v>
      </c>
      <c r="D5483" s="1" t="s">
        <v>18</v>
      </c>
      <c r="E5483" s="1" t="s">
        <v>81</v>
      </c>
      <c r="F5483" s="2" t="s">
        <v>2574</v>
      </c>
      <c r="G5483" s="1">
        <v>36</v>
      </c>
      <c r="H5483" s="1">
        <v>2</v>
      </c>
      <c r="I5483" s="1">
        <v>6.48</v>
      </c>
    </row>
    <row r="5484" spans="1:9" x14ac:dyDescent="0.35">
      <c r="A5484" s="3">
        <v>42957</v>
      </c>
      <c r="B5484" s="1" t="s">
        <v>1092</v>
      </c>
      <c r="C5484" s="1" t="s">
        <v>461</v>
      </c>
      <c r="D5484" s="1" t="s">
        <v>18</v>
      </c>
      <c r="E5484" s="1" t="s">
        <v>81</v>
      </c>
      <c r="F5484" s="2" t="s">
        <v>1066</v>
      </c>
      <c r="G5484" s="1">
        <v>239.96</v>
      </c>
      <c r="H5484" s="1">
        <v>4</v>
      </c>
      <c r="I5484" s="1">
        <v>115.1808</v>
      </c>
    </row>
    <row r="5485" spans="1:9" x14ac:dyDescent="0.35">
      <c r="A5485" s="3">
        <v>42957</v>
      </c>
      <c r="B5485" s="1" t="s">
        <v>1092</v>
      </c>
      <c r="C5485" s="1" t="s">
        <v>461</v>
      </c>
      <c r="D5485" s="1" t="s">
        <v>18</v>
      </c>
      <c r="E5485" s="1" t="s">
        <v>26</v>
      </c>
      <c r="F5485" s="2" t="s">
        <v>2513</v>
      </c>
      <c r="G5485" s="1">
        <v>40.68</v>
      </c>
      <c r="H5485" s="1">
        <v>2</v>
      </c>
      <c r="I5485" s="1">
        <v>0.40679999999999999</v>
      </c>
    </row>
    <row r="5486" spans="1:9" x14ac:dyDescent="0.35">
      <c r="A5486" s="3" t="s">
        <v>3300</v>
      </c>
      <c r="B5486" s="1" t="s">
        <v>77</v>
      </c>
      <c r="C5486" s="1" t="s">
        <v>672</v>
      </c>
      <c r="D5486" s="1" t="s">
        <v>23</v>
      </c>
      <c r="E5486" s="1" t="s">
        <v>14</v>
      </c>
      <c r="F5486" s="2" t="s">
        <v>2909</v>
      </c>
      <c r="G5486" s="1">
        <v>419.13600000000002</v>
      </c>
      <c r="H5486" s="1">
        <v>4</v>
      </c>
      <c r="I5486" s="1">
        <v>-68.1096</v>
      </c>
    </row>
    <row r="5487" spans="1:9" x14ac:dyDescent="0.35">
      <c r="A5487" s="3">
        <v>41985</v>
      </c>
      <c r="B5487" s="1" t="s">
        <v>691</v>
      </c>
      <c r="C5487" s="1" t="s">
        <v>672</v>
      </c>
      <c r="D5487" s="1" t="s">
        <v>23</v>
      </c>
      <c r="E5487" s="1" t="s">
        <v>87</v>
      </c>
      <c r="F5487" s="2" t="s">
        <v>332</v>
      </c>
      <c r="G5487" s="1">
        <v>23.472000000000001</v>
      </c>
      <c r="H5487" s="1">
        <v>3</v>
      </c>
      <c r="I5487" s="1">
        <v>7.6284000000000001</v>
      </c>
    </row>
    <row r="5488" spans="1:9" x14ac:dyDescent="0.35">
      <c r="A5488" s="3" t="s">
        <v>3640</v>
      </c>
      <c r="B5488" s="1" t="s">
        <v>778</v>
      </c>
      <c r="C5488" s="1" t="s">
        <v>336</v>
      </c>
      <c r="D5488" s="1" t="s">
        <v>52</v>
      </c>
      <c r="E5488" s="1" t="s">
        <v>35</v>
      </c>
      <c r="F5488" s="2" t="s">
        <v>581</v>
      </c>
      <c r="G5488" s="1">
        <v>3.5920000000000001</v>
      </c>
      <c r="H5488" s="1">
        <v>4</v>
      </c>
      <c r="I5488" s="1">
        <v>-6.2859999999999996</v>
      </c>
    </row>
    <row r="5489" spans="1:9" x14ac:dyDescent="0.35">
      <c r="A5489" s="3">
        <v>42739</v>
      </c>
      <c r="B5489" s="1" t="s">
        <v>1089</v>
      </c>
      <c r="C5489" s="1" t="s">
        <v>719</v>
      </c>
      <c r="D5489" s="1" t="s">
        <v>23</v>
      </c>
      <c r="E5489" s="1" t="s">
        <v>33</v>
      </c>
      <c r="F5489" s="2" t="s">
        <v>1898</v>
      </c>
      <c r="G5489" s="1">
        <v>23.975999999999999</v>
      </c>
      <c r="H5489" s="1">
        <v>3</v>
      </c>
      <c r="I5489" s="1">
        <v>-5.6943000000000001</v>
      </c>
    </row>
    <row r="5490" spans="1:9" x14ac:dyDescent="0.35">
      <c r="A5490" s="3">
        <v>42739</v>
      </c>
      <c r="B5490" s="1" t="s">
        <v>1089</v>
      </c>
      <c r="C5490" s="1" t="s">
        <v>719</v>
      </c>
      <c r="D5490" s="1" t="s">
        <v>23</v>
      </c>
      <c r="E5490" s="1" t="s">
        <v>19</v>
      </c>
      <c r="F5490" s="2" t="s">
        <v>1595</v>
      </c>
      <c r="G5490" s="1">
        <v>6.2640000000000002</v>
      </c>
      <c r="H5490" s="1">
        <v>3</v>
      </c>
      <c r="I5490" s="1">
        <v>2.0358000000000001</v>
      </c>
    </row>
    <row r="5491" spans="1:9" x14ac:dyDescent="0.35">
      <c r="A5491" s="3">
        <v>42739</v>
      </c>
      <c r="B5491" s="1" t="s">
        <v>1089</v>
      </c>
      <c r="C5491" s="1" t="s">
        <v>719</v>
      </c>
      <c r="D5491" s="1" t="s">
        <v>23</v>
      </c>
      <c r="E5491" s="1" t="s">
        <v>37</v>
      </c>
      <c r="F5491" s="2" t="s">
        <v>676</v>
      </c>
      <c r="G5491" s="1">
        <v>20.808</v>
      </c>
      <c r="H5491" s="1">
        <v>3</v>
      </c>
      <c r="I5491" s="1">
        <v>1.8207</v>
      </c>
    </row>
    <row r="5492" spans="1:9" x14ac:dyDescent="0.35">
      <c r="A5492" s="3">
        <v>42739</v>
      </c>
      <c r="B5492" s="1" t="s">
        <v>1089</v>
      </c>
      <c r="C5492" s="1" t="s">
        <v>719</v>
      </c>
      <c r="D5492" s="1" t="s">
        <v>23</v>
      </c>
      <c r="E5492" s="1" t="s">
        <v>14</v>
      </c>
      <c r="F5492" s="2" t="s">
        <v>1997</v>
      </c>
      <c r="G5492" s="1">
        <v>218.352</v>
      </c>
      <c r="H5492" s="1">
        <v>3</v>
      </c>
      <c r="I5492" s="1">
        <v>-19.105799999999999</v>
      </c>
    </row>
    <row r="5493" spans="1:9" x14ac:dyDescent="0.35">
      <c r="A5493" s="3" t="s">
        <v>3266</v>
      </c>
      <c r="B5493" s="1" t="s">
        <v>9</v>
      </c>
      <c r="C5493" s="1" t="s">
        <v>93</v>
      </c>
      <c r="D5493" s="1" t="s">
        <v>52</v>
      </c>
      <c r="E5493" s="1" t="s">
        <v>26</v>
      </c>
      <c r="F5493" s="2" t="s">
        <v>178</v>
      </c>
      <c r="G5493" s="1">
        <v>18.16</v>
      </c>
      <c r="H5493" s="1">
        <v>2</v>
      </c>
      <c r="I5493" s="1">
        <v>1.8160000000000001</v>
      </c>
    </row>
    <row r="5494" spans="1:9" x14ac:dyDescent="0.35">
      <c r="A5494" s="3" t="s">
        <v>3478</v>
      </c>
      <c r="B5494" s="1" t="s">
        <v>2651</v>
      </c>
      <c r="C5494" s="1" t="s">
        <v>64</v>
      </c>
      <c r="D5494" s="1" t="s">
        <v>18</v>
      </c>
      <c r="E5494" s="1" t="s">
        <v>289</v>
      </c>
      <c r="F5494" s="2" t="s">
        <v>614</v>
      </c>
      <c r="G5494" s="1">
        <v>7.36</v>
      </c>
      <c r="H5494" s="1">
        <v>2</v>
      </c>
      <c r="I5494" s="1">
        <v>0.1472</v>
      </c>
    </row>
    <row r="5495" spans="1:9" x14ac:dyDescent="0.35">
      <c r="A5495" s="3" t="s">
        <v>3478</v>
      </c>
      <c r="B5495" s="1" t="s">
        <v>2651</v>
      </c>
      <c r="C5495" s="1" t="s">
        <v>64</v>
      </c>
      <c r="D5495" s="1" t="s">
        <v>18</v>
      </c>
      <c r="E5495" s="1" t="s">
        <v>19</v>
      </c>
      <c r="F5495" s="2" t="s">
        <v>501</v>
      </c>
      <c r="G5495" s="1">
        <v>41.4</v>
      </c>
      <c r="H5495" s="1">
        <v>4</v>
      </c>
      <c r="I5495" s="1">
        <v>19.872</v>
      </c>
    </row>
    <row r="5496" spans="1:9" x14ac:dyDescent="0.35">
      <c r="A5496" s="3" t="s">
        <v>3478</v>
      </c>
      <c r="B5496" s="1" t="s">
        <v>2651</v>
      </c>
      <c r="C5496" s="1" t="s">
        <v>64</v>
      </c>
      <c r="D5496" s="1" t="s">
        <v>18</v>
      </c>
      <c r="E5496" s="1" t="s">
        <v>12</v>
      </c>
      <c r="F5496" s="2" t="s">
        <v>1867</v>
      </c>
      <c r="G5496" s="1">
        <v>411.33199999999999</v>
      </c>
      <c r="H5496" s="1">
        <v>4</v>
      </c>
      <c r="I5496" s="1">
        <v>-4.8391999999999999</v>
      </c>
    </row>
    <row r="5497" spans="1:9" x14ac:dyDescent="0.35">
      <c r="A5497" s="3">
        <v>42103</v>
      </c>
      <c r="B5497" s="1" t="s">
        <v>1663</v>
      </c>
      <c r="C5497" s="1" t="s">
        <v>74</v>
      </c>
      <c r="D5497" s="1" t="s">
        <v>75</v>
      </c>
      <c r="E5497" s="1" t="s">
        <v>35</v>
      </c>
      <c r="F5497" s="2" t="s">
        <v>1995</v>
      </c>
      <c r="G5497" s="1">
        <v>7.6559999999999997</v>
      </c>
      <c r="H5497" s="1">
        <v>4</v>
      </c>
      <c r="I5497" s="1">
        <v>-6.1247999999999996</v>
      </c>
    </row>
    <row r="5498" spans="1:9" x14ac:dyDescent="0.35">
      <c r="A5498" s="3">
        <v>43075</v>
      </c>
      <c r="B5498" s="1" t="s">
        <v>2320</v>
      </c>
      <c r="C5498" s="1" t="s">
        <v>2114</v>
      </c>
      <c r="D5498" s="1" t="s">
        <v>250</v>
      </c>
      <c r="E5498" s="1" t="s">
        <v>81</v>
      </c>
      <c r="F5498" s="2" t="s">
        <v>479</v>
      </c>
      <c r="G5498" s="1">
        <v>63.92</v>
      </c>
      <c r="H5498" s="1">
        <v>2</v>
      </c>
      <c r="I5498" s="1">
        <v>19.175999999999998</v>
      </c>
    </row>
    <row r="5499" spans="1:9" x14ac:dyDescent="0.35">
      <c r="A5499" s="3" t="s">
        <v>3655</v>
      </c>
      <c r="B5499" s="1" t="s">
        <v>1822</v>
      </c>
      <c r="C5499" s="1" t="s">
        <v>135</v>
      </c>
      <c r="D5499" s="1" t="s">
        <v>136</v>
      </c>
      <c r="E5499" s="1" t="s">
        <v>31</v>
      </c>
      <c r="F5499" s="2" t="s">
        <v>2048</v>
      </c>
      <c r="G5499" s="1">
        <v>6.56</v>
      </c>
      <c r="H5499" s="1">
        <v>2</v>
      </c>
      <c r="I5499" s="1">
        <v>1.9024000000000001</v>
      </c>
    </row>
    <row r="5500" spans="1:9" x14ac:dyDescent="0.35">
      <c r="A5500" s="3" t="s">
        <v>3655</v>
      </c>
      <c r="B5500" s="1" t="s">
        <v>1822</v>
      </c>
      <c r="C5500" s="1" t="s">
        <v>135</v>
      </c>
      <c r="D5500" s="1" t="s">
        <v>136</v>
      </c>
      <c r="E5500" s="1" t="s">
        <v>19</v>
      </c>
      <c r="F5500" s="2" t="s">
        <v>546</v>
      </c>
      <c r="G5500" s="1">
        <v>7.83</v>
      </c>
      <c r="H5500" s="1">
        <v>3</v>
      </c>
      <c r="I5500" s="1">
        <v>3.6017999999999999</v>
      </c>
    </row>
    <row r="5501" spans="1:9" x14ac:dyDescent="0.35">
      <c r="A5501" s="3" t="s">
        <v>3655</v>
      </c>
      <c r="B5501" s="1" t="s">
        <v>1822</v>
      </c>
      <c r="C5501" s="1" t="s">
        <v>135</v>
      </c>
      <c r="D5501" s="1" t="s">
        <v>136</v>
      </c>
      <c r="E5501" s="1" t="s">
        <v>81</v>
      </c>
      <c r="F5501" s="2" t="s">
        <v>638</v>
      </c>
      <c r="G5501" s="1">
        <v>41.9</v>
      </c>
      <c r="H5501" s="1">
        <v>2</v>
      </c>
      <c r="I5501" s="1">
        <v>8.7989999999999995</v>
      </c>
    </row>
    <row r="5502" spans="1:9" x14ac:dyDescent="0.35">
      <c r="A5502" s="3" t="s">
        <v>3655</v>
      </c>
      <c r="B5502" s="1" t="s">
        <v>1822</v>
      </c>
      <c r="C5502" s="1" t="s">
        <v>135</v>
      </c>
      <c r="D5502" s="1" t="s">
        <v>136</v>
      </c>
      <c r="E5502" s="1" t="s">
        <v>14</v>
      </c>
      <c r="F5502" s="2" t="s">
        <v>2095</v>
      </c>
      <c r="G5502" s="1">
        <v>664.14599999999996</v>
      </c>
      <c r="H5502" s="1">
        <v>6</v>
      </c>
      <c r="I5502" s="1">
        <v>88.552800000000005</v>
      </c>
    </row>
    <row r="5503" spans="1:9" x14ac:dyDescent="0.35">
      <c r="A5503" s="3" t="s">
        <v>3655</v>
      </c>
      <c r="B5503" s="1" t="s">
        <v>1822</v>
      </c>
      <c r="C5503" s="1" t="s">
        <v>135</v>
      </c>
      <c r="D5503" s="1" t="s">
        <v>136</v>
      </c>
      <c r="E5503" s="1" t="s">
        <v>44</v>
      </c>
      <c r="F5503" s="2" t="s">
        <v>1776</v>
      </c>
      <c r="G5503" s="1">
        <v>8.9600000000000009</v>
      </c>
      <c r="H5503" s="1">
        <v>2</v>
      </c>
      <c r="I5503" s="1">
        <v>4.3903999999999996</v>
      </c>
    </row>
    <row r="5504" spans="1:9" x14ac:dyDescent="0.35">
      <c r="A5504" s="3">
        <v>42777</v>
      </c>
      <c r="B5504" s="1" t="s">
        <v>2910</v>
      </c>
      <c r="C5504" s="1" t="s">
        <v>74</v>
      </c>
      <c r="D5504" s="1" t="s">
        <v>75</v>
      </c>
      <c r="E5504" s="1" t="s">
        <v>29</v>
      </c>
      <c r="F5504" s="2" t="s">
        <v>2282</v>
      </c>
      <c r="G5504" s="1">
        <v>3.3119999999999998</v>
      </c>
      <c r="H5504" s="1">
        <v>1</v>
      </c>
      <c r="I5504" s="1">
        <v>0.66239999999999999</v>
      </c>
    </row>
    <row r="5505" spans="1:9" x14ac:dyDescent="0.35">
      <c r="A5505" s="3">
        <v>42777</v>
      </c>
      <c r="B5505" s="1" t="s">
        <v>2910</v>
      </c>
      <c r="C5505" s="1" t="s">
        <v>74</v>
      </c>
      <c r="D5505" s="1" t="s">
        <v>75</v>
      </c>
      <c r="E5505" s="1" t="s">
        <v>37</v>
      </c>
      <c r="F5505" s="2" t="s">
        <v>2681</v>
      </c>
      <c r="G5505" s="1">
        <v>20.135999999999999</v>
      </c>
      <c r="H5505" s="1">
        <v>3</v>
      </c>
      <c r="I5505" s="1">
        <v>1.2585</v>
      </c>
    </row>
    <row r="5506" spans="1:9" x14ac:dyDescent="0.35">
      <c r="A5506" s="3">
        <v>42777</v>
      </c>
      <c r="B5506" s="1" t="s">
        <v>2910</v>
      </c>
      <c r="C5506" s="1" t="s">
        <v>74</v>
      </c>
      <c r="D5506" s="1" t="s">
        <v>75</v>
      </c>
      <c r="E5506" s="1" t="s">
        <v>87</v>
      </c>
      <c r="F5506" s="2" t="s">
        <v>790</v>
      </c>
      <c r="G5506" s="1">
        <v>8.8559999999999999</v>
      </c>
      <c r="H5506" s="1">
        <v>3</v>
      </c>
      <c r="I5506" s="1">
        <v>2.8782000000000001</v>
      </c>
    </row>
    <row r="5507" spans="1:9" x14ac:dyDescent="0.35">
      <c r="A5507" s="3">
        <v>42777</v>
      </c>
      <c r="B5507" s="1" t="s">
        <v>2910</v>
      </c>
      <c r="C5507" s="1" t="s">
        <v>74</v>
      </c>
      <c r="D5507" s="1" t="s">
        <v>75</v>
      </c>
      <c r="E5507" s="1" t="s">
        <v>33</v>
      </c>
      <c r="F5507" s="2" t="s">
        <v>1865</v>
      </c>
      <c r="G5507" s="1">
        <v>859.2</v>
      </c>
      <c r="H5507" s="1">
        <v>4</v>
      </c>
      <c r="I5507" s="1">
        <v>-186.16</v>
      </c>
    </row>
    <row r="5508" spans="1:9" x14ac:dyDescent="0.35">
      <c r="A5508" s="3">
        <v>42592</v>
      </c>
      <c r="B5508" s="1" t="s">
        <v>169</v>
      </c>
      <c r="C5508" s="1" t="s">
        <v>17</v>
      </c>
      <c r="D5508" s="1" t="s">
        <v>18</v>
      </c>
      <c r="E5508" s="1" t="s">
        <v>44</v>
      </c>
      <c r="F5508" s="2" t="s">
        <v>1827</v>
      </c>
      <c r="G5508" s="1">
        <v>61.96</v>
      </c>
      <c r="H5508" s="1">
        <v>2</v>
      </c>
      <c r="I5508" s="1">
        <v>27.882000000000001</v>
      </c>
    </row>
    <row r="5509" spans="1:9" x14ac:dyDescent="0.35">
      <c r="A5509" s="3">
        <v>42586</v>
      </c>
      <c r="B5509" s="1" t="s">
        <v>1155</v>
      </c>
      <c r="C5509" s="1" t="s">
        <v>1627</v>
      </c>
      <c r="D5509" s="1" t="s">
        <v>604</v>
      </c>
      <c r="E5509" s="1" t="s">
        <v>87</v>
      </c>
      <c r="F5509" s="2" t="s">
        <v>2222</v>
      </c>
      <c r="G5509" s="1">
        <v>17.920000000000002</v>
      </c>
      <c r="H5509" s="1">
        <v>4</v>
      </c>
      <c r="I5509" s="1">
        <v>8.6015999999999995</v>
      </c>
    </row>
    <row r="5510" spans="1:9" x14ac:dyDescent="0.35">
      <c r="A5510" s="3">
        <v>42226</v>
      </c>
      <c r="B5510" s="1" t="s">
        <v>391</v>
      </c>
      <c r="C5510" s="1" t="s">
        <v>64</v>
      </c>
      <c r="D5510" s="1" t="s">
        <v>18</v>
      </c>
      <c r="E5510" s="1" t="s">
        <v>29</v>
      </c>
      <c r="F5510" s="2" t="s">
        <v>548</v>
      </c>
      <c r="G5510" s="1">
        <v>145.9</v>
      </c>
      <c r="H5510" s="1">
        <v>5</v>
      </c>
      <c r="I5510" s="1">
        <v>62.737000000000002</v>
      </c>
    </row>
    <row r="5511" spans="1:9" x14ac:dyDescent="0.35">
      <c r="A5511" s="3" t="s">
        <v>3215</v>
      </c>
      <c r="B5511" s="1" t="s">
        <v>1994</v>
      </c>
      <c r="C5511" s="1" t="s">
        <v>154</v>
      </c>
      <c r="D5511" s="1" t="s">
        <v>106</v>
      </c>
      <c r="E5511" s="1" t="s">
        <v>44</v>
      </c>
      <c r="F5511" s="2" t="s">
        <v>285</v>
      </c>
      <c r="G5511" s="1">
        <v>56.704000000000001</v>
      </c>
      <c r="H5511" s="1">
        <v>2</v>
      </c>
      <c r="I5511" s="1">
        <v>19.137599999999999</v>
      </c>
    </row>
    <row r="5512" spans="1:9" x14ac:dyDescent="0.35">
      <c r="A5512" s="3" t="s">
        <v>3215</v>
      </c>
      <c r="B5512" s="1" t="s">
        <v>1994</v>
      </c>
      <c r="C5512" s="1" t="s">
        <v>154</v>
      </c>
      <c r="D5512" s="1" t="s">
        <v>106</v>
      </c>
      <c r="E5512" s="1" t="s">
        <v>33</v>
      </c>
      <c r="F5512" s="2" t="s">
        <v>1828</v>
      </c>
      <c r="G5512" s="1">
        <v>11.12</v>
      </c>
      <c r="H5512" s="1">
        <v>2</v>
      </c>
      <c r="I5512" s="1">
        <v>3.4750000000000001</v>
      </c>
    </row>
    <row r="5513" spans="1:9" x14ac:dyDescent="0.35">
      <c r="A5513" s="3" t="s">
        <v>3656</v>
      </c>
      <c r="B5513" s="1" t="s">
        <v>1345</v>
      </c>
      <c r="C5513" s="1" t="s">
        <v>1950</v>
      </c>
      <c r="D5513" s="1" t="s">
        <v>212</v>
      </c>
      <c r="E5513" s="1" t="s">
        <v>44</v>
      </c>
      <c r="F5513" s="2" t="s">
        <v>2559</v>
      </c>
      <c r="G5513" s="1">
        <v>32.896000000000001</v>
      </c>
      <c r="H5513" s="1">
        <v>4</v>
      </c>
      <c r="I5513" s="1">
        <v>11.102399999999999</v>
      </c>
    </row>
    <row r="5514" spans="1:9" x14ac:dyDescent="0.35">
      <c r="A5514" s="3" t="s">
        <v>3656</v>
      </c>
      <c r="B5514" s="1" t="s">
        <v>1345</v>
      </c>
      <c r="C5514" s="1" t="s">
        <v>1950</v>
      </c>
      <c r="D5514" s="1" t="s">
        <v>212</v>
      </c>
      <c r="E5514" s="1" t="s">
        <v>44</v>
      </c>
      <c r="F5514" s="2" t="s">
        <v>2643</v>
      </c>
      <c r="G5514" s="1">
        <v>22.776</v>
      </c>
      <c r="H5514" s="1">
        <v>3</v>
      </c>
      <c r="I5514" s="1">
        <v>7.6868999999999996</v>
      </c>
    </row>
    <row r="5515" spans="1:9" x14ac:dyDescent="0.35">
      <c r="A5515" s="3" t="s">
        <v>3657</v>
      </c>
      <c r="B5515" s="1" t="s">
        <v>2291</v>
      </c>
      <c r="C5515" s="1" t="s">
        <v>135</v>
      </c>
      <c r="D5515" s="1" t="s">
        <v>136</v>
      </c>
      <c r="E5515" s="1" t="s">
        <v>33</v>
      </c>
      <c r="F5515" s="2" t="s">
        <v>2911</v>
      </c>
      <c r="G5515" s="1">
        <v>239.97</v>
      </c>
      <c r="H5515" s="1">
        <v>3</v>
      </c>
      <c r="I5515" s="1">
        <v>2.3997000000000002</v>
      </c>
    </row>
    <row r="5516" spans="1:9" x14ac:dyDescent="0.35">
      <c r="A5516" s="3" t="s">
        <v>3657</v>
      </c>
      <c r="B5516" s="1" t="s">
        <v>2291</v>
      </c>
      <c r="C5516" s="1" t="s">
        <v>135</v>
      </c>
      <c r="D5516" s="1" t="s">
        <v>136</v>
      </c>
      <c r="E5516" s="1" t="s">
        <v>37</v>
      </c>
      <c r="F5516" s="2" t="s">
        <v>2184</v>
      </c>
      <c r="G5516" s="1">
        <v>160.32</v>
      </c>
      <c r="H5516" s="1">
        <v>2</v>
      </c>
      <c r="I5516" s="1">
        <v>44.889600000000002</v>
      </c>
    </row>
    <row r="5517" spans="1:9" x14ac:dyDescent="0.35">
      <c r="A5517" s="3" t="s">
        <v>3657</v>
      </c>
      <c r="B5517" s="1" t="s">
        <v>2291</v>
      </c>
      <c r="C5517" s="1" t="s">
        <v>135</v>
      </c>
      <c r="D5517" s="1" t="s">
        <v>136</v>
      </c>
      <c r="E5517" s="1" t="s">
        <v>33</v>
      </c>
      <c r="F5517" s="2" t="s">
        <v>2156</v>
      </c>
      <c r="G5517" s="1">
        <v>128.85</v>
      </c>
      <c r="H5517" s="1">
        <v>3</v>
      </c>
      <c r="I5517" s="1">
        <v>3.8654999999999999</v>
      </c>
    </row>
    <row r="5518" spans="1:9" x14ac:dyDescent="0.35">
      <c r="A5518" s="3" t="s">
        <v>3182</v>
      </c>
      <c r="B5518" s="1" t="s">
        <v>1266</v>
      </c>
      <c r="C5518" s="1" t="s">
        <v>785</v>
      </c>
      <c r="D5518" s="1" t="s">
        <v>182</v>
      </c>
      <c r="E5518" s="1" t="s">
        <v>81</v>
      </c>
      <c r="F5518" s="2" t="s">
        <v>2899</v>
      </c>
      <c r="G5518" s="1">
        <v>1319.96</v>
      </c>
      <c r="H5518" s="1">
        <v>4</v>
      </c>
      <c r="I5518" s="1">
        <v>527.98400000000004</v>
      </c>
    </row>
    <row r="5519" spans="1:9" x14ac:dyDescent="0.35">
      <c r="A5519" s="3">
        <v>42837</v>
      </c>
      <c r="B5519" s="1" t="s">
        <v>411</v>
      </c>
      <c r="C5519" s="1" t="s">
        <v>74</v>
      </c>
      <c r="D5519" s="1" t="s">
        <v>75</v>
      </c>
      <c r="E5519" s="1" t="s">
        <v>14</v>
      </c>
      <c r="F5519" s="2" t="s">
        <v>1479</v>
      </c>
      <c r="G5519" s="1">
        <v>239.96</v>
      </c>
      <c r="H5519" s="1">
        <v>10</v>
      </c>
      <c r="I5519" s="1">
        <v>-10.284000000000001</v>
      </c>
    </row>
    <row r="5520" spans="1:9" x14ac:dyDescent="0.35">
      <c r="A5520" s="3">
        <v>42837</v>
      </c>
      <c r="B5520" s="1" t="s">
        <v>411</v>
      </c>
      <c r="C5520" s="1" t="s">
        <v>74</v>
      </c>
      <c r="D5520" s="1" t="s">
        <v>75</v>
      </c>
      <c r="E5520" s="1" t="s">
        <v>29</v>
      </c>
      <c r="F5520" s="2" t="s">
        <v>1963</v>
      </c>
      <c r="G5520" s="1">
        <v>54.768000000000001</v>
      </c>
      <c r="H5520" s="1">
        <v>2</v>
      </c>
      <c r="I5520" s="1">
        <v>6.8460000000000001</v>
      </c>
    </row>
    <row r="5521" spans="1:9" x14ac:dyDescent="0.35">
      <c r="A5521" s="3">
        <v>42837</v>
      </c>
      <c r="B5521" s="1" t="s">
        <v>411</v>
      </c>
      <c r="C5521" s="1" t="s">
        <v>74</v>
      </c>
      <c r="D5521" s="1" t="s">
        <v>75</v>
      </c>
      <c r="E5521" s="1" t="s">
        <v>31</v>
      </c>
      <c r="F5521" s="2" t="s">
        <v>1360</v>
      </c>
      <c r="G5521" s="1">
        <v>13.391999999999999</v>
      </c>
      <c r="H5521" s="1">
        <v>3</v>
      </c>
      <c r="I5521" s="1">
        <v>3.1806000000000001</v>
      </c>
    </row>
    <row r="5522" spans="1:9" x14ac:dyDescent="0.35">
      <c r="A5522" s="3">
        <v>42837</v>
      </c>
      <c r="B5522" s="1" t="s">
        <v>411</v>
      </c>
      <c r="C5522" s="1" t="s">
        <v>74</v>
      </c>
      <c r="D5522" s="1" t="s">
        <v>75</v>
      </c>
      <c r="E5522" s="1" t="s">
        <v>44</v>
      </c>
      <c r="F5522" s="2" t="s">
        <v>2795</v>
      </c>
      <c r="G5522" s="1">
        <v>23.92</v>
      </c>
      <c r="H5522" s="1">
        <v>5</v>
      </c>
      <c r="I5522" s="1">
        <v>8.6709999999999994</v>
      </c>
    </row>
    <row r="5523" spans="1:9" x14ac:dyDescent="0.35">
      <c r="A5523" s="3">
        <v>42837</v>
      </c>
      <c r="B5523" s="1" t="s">
        <v>411</v>
      </c>
      <c r="C5523" s="1" t="s">
        <v>74</v>
      </c>
      <c r="D5523" s="1" t="s">
        <v>75</v>
      </c>
      <c r="E5523" s="1" t="s">
        <v>81</v>
      </c>
      <c r="F5523" s="2" t="s">
        <v>1532</v>
      </c>
      <c r="G5523" s="1">
        <v>255.96799999999999</v>
      </c>
      <c r="H5523" s="1">
        <v>4</v>
      </c>
      <c r="I5523" s="1">
        <v>-28.796399999999998</v>
      </c>
    </row>
    <row r="5524" spans="1:9" x14ac:dyDescent="0.35">
      <c r="A5524" s="3">
        <v>42496</v>
      </c>
      <c r="B5524" s="1" t="s">
        <v>921</v>
      </c>
      <c r="C5524" s="1" t="s">
        <v>444</v>
      </c>
      <c r="D5524" s="1" t="s">
        <v>18</v>
      </c>
      <c r="E5524" s="1" t="s">
        <v>35</v>
      </c>
      <c r="F5524" s="2" t="s">
        <v>581</v>
      </c>
      <c r="G5524" s="1">
        <v>21.552</v>
      </c>
      <c r="H5524" s="1">
        <v>6</v>
      </c>
      <c r="I5524" s="1">
        <v>7.0044000000000004</v>
      </c>
    </row>
    <row r="5525" spans="1:9" x14ac:dyDescent="0.35">
      <c r="A5525" s="3">
        <v>42496</v>
      </c>
      <c r="B5525" s="1" t="s">
        <v>921</v>
      </c>
      <c r="C5525" s="1" t="s">
        <v>444</v>
      </c>
      <c r="D5525" s="1" t="s">
        <v>18</v>
      </c>
      <c r="E5525" s="1" t="s">
        <v>37</v>
      </c>
      <c r="F5525" s="2" t="s">
        <v>1572</v>
      </c>
      <c r="G5525" s="1">
        <v>58.24</v>
      </c>
      <c r="H5525" s="1">
        <v>4</v>
      </c>
      <c r="I5525" s="1">
        <v>15.7248</v>
      </c>
    </row>
    <row r="5526" spans="1:9" x14ac:dyDescent="0.35">
      <c r="A5526" s="3">
        <v>42655</v>
      </c>
      <c r="B5526" s="1" t="s">
        <v>1192</v>
      </c>
      <c r="C5526" s="1" t="s">
        <v>559</v>
      </c>
      <c r="D5526" s="1" t="s">
        <v>18</v>
      </c>
      <c r="E5526" s="1" t="s">
        <v>44</v>
      </c>
      <c r="F5526" s="2" t="s">
        <v>1792</v>
      </c>
      <c r="G5526" s="1">
        <v>80.28</v>
      </c>
      <c r="H5526" s="1">
        <v>12</v>
      </c>
      <c r="I5526" s="1">
        <v>36.928800000000003</v>
      </c>
    </row>
    <row r="5527" spans="1:9" x14ac:dyDescent="0.35">
      <c r="A5527" s="3" t="s">
        <v>3255</v>
      </c>
      <c r="B5527" s="1" t="s">
        <v>436</v>
      </c>
      <c r="C5527" s="1" t="s">
        <v>17</v>
      </c>
      <c r="D5527" s="1" t="s">
        <v>18</v>
      </c>
      <c r="E5527" s="1" t="s">
        <v>31</v>
      </c>
      <c r="F5527" s="2" t="s">
        <v>541</v>
      </c>
      <c r="G5527" s="1">
        <v>9.7799999999999994</v>
      </c>
      <c r="H5527" s="1">
        <v>2</v>
      </c>
      <c r="I5527" s="1">
        <v>4.0098000000000003</v>
      </c>
    </row>
    <row r="5528" spans="1:9" x14ac:dyDescent="0.35">
      <c r="A5528" s="3" t="s">
        <v>3427</v>
      </c>
      <c r="B5528" s="1" t="s">
        <v>1614</v>
      </c>
      <c r="C5528" s="1" t="s">
        <v>2912</v>
      </c>
      <c r="D5528" s="1" t="s">
        <v>18</v>
      </c>
      <c r="E5528" s="1" t="s">
        <v>137</v>
      </c>
      <c r="F5528" s="2" t="s">
        <v>1825</v>
      </c>
      <c r="G5528" s="1">
        <v>1.81</v>
      </c>
      <c r="H5528" s="1">
        <v>1</v>
      </c>
      <c r="I5528" s="1">
        <v>0.65159999999999996</v>
      </c>
    </row>
    <row r="5529" spans="1:9" x14ac:dyDescent="0.35">
      <c r="A5529" s="3">
        <v>42221</v>
      </c>
      <c r="B5529" s="1" t="s">
        <v>1581</v>
      </c>
      <c r="C5529" s="1" t="s">
        <v>135</v>
      </c>
      <c r="D5529" s="1" t="s">
        <v>136</v>
      </c>
      <c r="E5529" s="1" t="s">
        <v>44</v>
      </c>
      <c r="F5529" s="2" t="s">
        <v>768</v>
      </c>
      <c r="G5529" s="1">
        <v>37.94</v>
      </c>
      <c r="H5529" s="1">
        <v>2</v>
      </c>
      <c r="I5529" s="1">
        <v>18.211200000000002</v>
      </c>
    </row>
    <row r="5530" spans="1:9" x14ac:dyDescent="0.35">
      <c r="A5530" s="3" t="s">
        <v>3658</v>
      </c>
      <c r="B5530" s="1" t="s">
        <v>2180</v>
      </c>
      <c r="C5530" s="1" t="s">
        <v>719</v>
      </c>
      <c r="D5530" s="1" t="s">
        <v>23</v>
      </c>
      <c r="E5530" s="1" t="s">
        <v>33</v>
      </c>
      <c r="F5530" s="2" t="s">
        <v>450</v>
      </c>
      <c r="G5530" s="1">
        <v>79.959999999999994</v>
      </c>
      <c r="H5530" s="1">
        <v>5</v>
      </c>
      <c r="I5530" s="1">
        <v>27.986000000000001</v>
      </c>
    </row>
    <row r="5531" spans="1:9" x14ac:dyDescent="0.35">
      <c r="A5531" s="3">
        <v>42894</v>
      </c>
      <c r="B5531" s="1" t="s">
        <v>1546</v>
      </c>
      <c r="C5531" s="1" t="s">
        <v>2913</v>
      </c>
      <c r="D5531" s="1" t="s">
        <v>52</v>
      </c>
      <c r="E5531" s="1" t="s">
        <v>44</v>
      </c>
      <c r="F5531" s="2" t="s">
        <v>2820</v>
      </c>
      <c r="G5531" s="1">
        <v>115.29600000000001</v>
      </c>
      <c r="H5531" s="1">
        <v>3</v>
      </c>
      <c r="I5531" s="1">
        <v>40.3536</v>
      </c>
    </row>
    <row r="5532" spans="1:9" x14ac:dyDescent="0.35">
      <c r="A5532" s="3">
        <v>42778</v>
      </c>
      <c r="B5532" s="1" t="s">
        <v>2914</v>
      </c>
      <c r="C5532" s="1" t="s">
        <v>1138</v>
      </c>
      <c r="D5532" s="1" t="s">
        <v>70</v>
      </c>
      <c r="E5532" s="1" t="s">
        <v>33</v>
      </c>
      <c r="F5532" s="2" t="s">
        <v>1137</v>
      </c>
      <c r="G5532" s="1">
        <v>2479.96</v>
      </c>
      <c r="H5532" s="1">
        <v>4</v>
      </c>
      <c r="I5532" s="1">
        <v>743.98800000000006</v>
      </c>
    </row>
    <row r="5533" spans="1:9" x14ac:dyDescent="0.35">
      <c r="A5533" s="3">
        <v>42527</v>
      </c>
      <c r="B5533" s="1" t="s">
        <v>935</v>
      </c>
      <c r="C5533" s="1" t="s">
        <v>2100</v>
      </c>
      <c r="D5533" s="1" t="s">
        <v>797</v>
      </c>
      <c r="E5533" s="1" t="s">
        <v>81</v>
      </c>
      <c r="F5533" s="2" t="s">
        <v>1703</v>
      </c>
      <c r="G5533" s="1">
        <v>179.94</v>
      </c>
      <c r="H5533" s="1">
        <v>6</v>
      </c>
      <c r="I5533" s="1">
        <v>75.574799999999996</v>
      </c>
    </row>
    <row r="5534" spans="1:9" x14ac:dyDescent="0.35">
      <c r="A5534" s="3">
        <v>42527</v>
      </c>
      <c r="B5534" s="1" t="s">
        <v>935</v>
      </c>
      <c r="C5534" s="1" t="s">
        <v>2100</v>
      </c>
      <c r="D5534" s="1" t="s">
        <v>797</v>
      </c>
      <c r="E5534" s="1" t="s">
        <v>81</v>
      </c>
      <c r="F5534" s="2" t="s">
        <v>1760</v>
      </c>
      <c r="G5534" s="1">
        <v>26.85</v>
      </c>
      <c r="H5534" s="1">
        <v>3</v>
      </c>
      <c r="I5534" s="1">
        <v>5.1014999999999997</v>
      </c>
    </row>
    <row r="5535" spans="1:9" x14ac:dyDescent="0.35">
      <c r="A5535" s="3">
        <v>42527</v>
      </c>
      <c r="B5535" s="1" t="s">
        <v>935</v>
      </c>
      <c r="C5535" s="1" t="s">
        <v>2100</v>
      </c>
      <c r="D5535" s="1" t="s">
        <v>797</v>
      </c>
      <c r="E5535" s="1" t="s">
        <v>81</v>
      </c>
      <c r="F5535" s="2" t="s">
        <v>1095</v>
      </c>
      <c r="G5535" s="1">
        <v>323.37</v>
      </c>
      <c r="H5535" s="1">
        <v>3</v>
      </c>
      <c r="I5535" s="1">
        <v>129.34800000000001</v>
      </c>
    </row>
    <row r="5536" spans="1:9" x14ac:dyDescent="0.35">
      <c r="A5536" s="3">
        <v>42527</v>
      </c>
      <c r="B5536" s="1" t="s">
        <v>935</v>
      </c>
      <c r="C5536" s="1" t="s">
        <v>2100</v>
      </c>
      <c r="D5536" s="1" t="s">
        <v>797</v>
      </c>
      <c r="E5536" s="1" t="s">
        <v>44</v>
      </c>
      <c r="F5536" s="2" t="s">
        <v>687</v>
      </c>
      <c r="G5536" s="1">
        <v>59.94</v>
      </c>
      <c r="H5536" s="1">
        <v>3</v>
      </c>
      <c r="I5536" s="1">
        <v>28.171800000000001</v>
      </c>
    </row>
    <row r="5537" spans="1:9" x14ac:dyDescent="0.35">
      <c r="A5537" s="3">
        <v>42527</v>
      </c>
      <c r="B5537" s="1" t="s">
        <v>935</v>
      </c>
      <c r="C5537" s="1" t="s">
        <v>2100</v>
      </c>
      <c r="D5537" s="1" t="s">
        <v>797</v>
      </c>
      <c r="E5537" s="1" t="s">
        <v>35</v>
      </c>
      <c r="F5537" s="2" t="s">
        <v>217</v>
      </c>
      <c r="G5537" s="1">
        <v>64.14</v>
      </c>
      <c r="H5537" s="1">
        <v>3</v>
      </c>
      <c r="I5537" s="1">
        <v>30.787199999999999</v>
      </c>
    </row>
    <row r="5538" spans="1:9" x14ac:dyDescent="0.35">
      <c r="A5538" s="3">
        <v>42527</v>
      </c>
      <c r="B5538" s="1" t="s">
        <v>935</v>
      </c>
      <c r="C5538" s="1" t="s">
        <v>2100</v>
      </c>
      <c r="D5538" s="1" t="s">
        <v>797</v>
      </c>
      <c r="E5538" s="1" t="s">
        <v>35</v>
      </c>
      <c r="F5538" s="2" t="s">
        <v>1786</v>
      </c>
      <c r="G5538" s="1">
        <v>11.67</v>
      </c>
      <c r="H5538" s="1">
        <v>3</v>
      </c>
      <c r="I5538" s="1">
        <v>5.6016000000000004</v>
      </c>
    </row>
    <row r="5539" spans="1:9" x14ac:dyDescent="0.35">
      <c r="A5539" s="3">
        <v>42527</v>
      </c>
      <c r="B5539" s="1" t="s">
        <v>935</v>
      </c>
      <c r="C5539" s="1" t="s">
        <v>2100</v>
      </c>
      <c r="D5539" s="1" t="s">
        <v>797</v>
      </c>
      <c r="E5539" s="1" t="s">
        <v>44</v>
      </c>
      <c r="F5539" s="2" t="s">
        <v>2468</v>
      </c>
      <c r="G5539" s="1">
        <v>12.96</v>
      </c>
      <c r="H5539" s="1">
        <v>2</v>
      </c>
      <c r="I5539" s="1">
        <v>6.2207999999999997</v>
      </c>
    </row>
    <row r="5540" spans="1:9" x14ac:dyDescent="0.35">
      <c r="A5540" s="3" t="s">
        <v>3513</v>
      </c>
      <c r="B5540" s="1" t="s">
        <v>791</v>
      </c>
      <c r="C5540" s="1" t="s">
        <v>2915</v>
      </c>
      <c r="D5540" s="1" t="s">
        <v>70</v>
      </c>
      <c r="E5540" s="1" t="s">
        <v>35</v>
      </c>
      <c r="F5540" s="2" t="s">
        <v>1215</v>
      </c>
      <c r="G5540" s="1">
        <v>17.43</v>
      </c>
      <c r="H5540" s="1">
        <v>3</v>
      </c>
      <c r="I5540" s="1">
        <v>8.0177999999999994</v>
      </c>
    </row>
    <row r="5541" spans="1:9" x14ac:dyDescent="0.35">
      <c r="A5541" s="3" t="s">
        <v>3659</v>
      </c>
      <c r="B5541" s="1" t="s">
        <v>403</v>
      </c>
      <c r="C5541" s="1" t="s">
        <v>154</v>
      </c>
      <c r="D5541" s="1" t="s">
        <v>106</v>
      </c>
      <c r="E5541" s="1" t="s">
        <v>14</v>
      </c>
      <c r="F5541" s="2" t="s">
        <v>172</v>
      </c>
      <c r="G5541" s="1">
        <v>181.98599999999999</v>
      </c>
      <c r="H5541" s="1">
        <v>2</v>
      </c>
      <c r="I5541" s="1">
        <v>-54.595799999999997</v>
      </c>
    </row>
    <row r="5542" spans="1:9" x14ac:dyDescent="0.35">
      <c r="A5542" s="3" t="s">
        <v>3659</v>
      </c>
      <c r="B5542" s="1" t="s">
        <v>403</v>
      </c>
      <c r="C5542" s="1" t="s">
        <v>154</v>
      </c>
      <c r="D5542" s="1" t="s">
        <v>106</v>
      </c>
      <c r="E5542" s="1" t="s">
        <v>35</v>
      </c>
      <c r="F5542" s="2" t="s">
        <v>273</v>
      </c>
      <c r="G5542" s="1">
        <v>1.5920000000000001</v>
      </c>
      <c r="H5542" s="1">
        <v>2</v>
      </c>
      <c r="I5542" s="1">
        <v>-2.6267999999999998</v>
      </c>
    </row>
    <row r="5543" spans="1:9" x14ac:dyDescent="0.35">
      <c r="A5543" s="3" t="s">
        <v>3659</v>
      </c>
      <c r="B5543" s="1" t="s">
        <v>403</v>
      </c>
      <c r="C5543" s="1" t="s">
        <v>154</v>
      </c>
      <c r="D5543" s="1" t="s">
        <v>106</v>
      </c>
      <c r="E5543" s="1" t="s">
        <v>289</v>
      </c>
      <c r="F5543" s="2" t="s">
        <v>1158</v>
      </c>
      <c r="G5543" s="1">
        <v>22.344000000000001</v>
      </c>
      <c r="H5543" s="1">
        <v>3</v>
      </c>
      <c r="I5543" s="1">
        <v>2.5137</v>
      </c>
    </row>
    <row r="5544" spans="1:9" x14ac:dyDescent="0.35">
      <c r="A5544" s="3" t="s">
        <v>3660</v>
      </c>
      <c r="B5544" s="1" t="s">
        <v>110</v>
      </c>
      <c r="C5544" s="1" t="s">
        <v>621</v>
      </c>
      <c r="D5544" s="1" t="s">
        <v>158</v>
      </c>
      <c r="E5544" s="1" t="s">
        <v>24</v>
      </c>
      <c r="F5544" s="2" t="s">
        <v>2916</v>
      </c>
      <c r="G5544" s="1">
        <v>455.97</v>
      </c>
      <c r="H5544" s="1">
        <v>6</v>
      </c>
      <c r="I5544" s="1">
        <v>-218.8656</v>
      </c>
    </row>
    <row r="5545" spans="1:9" x14ac:dyDescent="0.35">
      <c r="A5545" s="3" t="s">
        <v>3660</v>
      </c>
      <c r="B5545" s="1" t="s">
        <v>110</v>
      </c>
      <c r="C5545" s="1" t="s">
        <v>621</v>
      </c>
      <c r="D5545" s="1" t="s">
        <v>158</v>
      </c>
      <c r="E5545" s="1" t="s">
        <v>35</v>
      </c>
      <c r="F5545" s="2" t="s">
        <v>2420</v>
      </c>
      <c r="G5545" s="1">
        <v>10.44</v>
      </c>
      <c r="H5545" s="1">
        <v>6</v>
      </c>
      <c r="I5545" s="1">
        <v>-7.6559999999999997</v>
      </c>
    </row>
    <row r="5546" spans="1:9" x14ac:dyDescent="0.35">
      <c r="A5546" s="3" t="s">
        <v>3660</v>
      </c>
      <c r="B5546" s="1" t="s">
        <v>110</v>
      </c>
      <c r="C5546" s="1" t="s">
        <v>621</v>
      </c>
      <c r="D5546" s="1" t="s">
        <v>158</v>
      </c>
      <c r="E5546" s="1" t="s">
        <v>35</v>
      </c>
      <c r="F5546" s="2" t="s">
        <v>943</v>
      </c>
      <c r="G5546" s="1">
        <v>5.2140000000000004</v>
      </c>
      <c r="H5546" s="1">
        <v>2</v>
      </c>
      <c r="I5546" s="1">
        <v>-4.1711999999999998</v>
      </c>
    </row>
    <row r="5547" spans="1:9" x14ac:dyDescent="0.35">
      <c r="A5547" s="3" t="s">
        <v>3351</v>
      </c>
      <c r="B5547" s="1" t="s">
        <v>1614</v>
      </c>
      <c r="C5547" s="1" t="s">
        <v>42</v>
      </c>
      <c r="D5547" s="1" t="s">
        <v>1203</v>
      </c>
      <c r="E5547" s="1" t="s">
        <v>26</v>
      </c>
      <c r="F5547" s="2" t="s">
        <v>317</v>
      </c>
      <c r="G5547" s="1">
        <v>67.400000000000006</v>
      </c>
      <c r="H5547" s="1">
        <v>5</v>
      </c>
      <c r="I5547" s="1">
        <v>17.524000000000001</v>
      </c>
    </row>
    <row r="5548" spans="1:9" x14ac:dyDescent="0.35">
      <c r="A5548" s="3">
        <v>42925</v>
      </c>
      <c r="B5548" s="1" t="s">
        <v>2129</v>
      </c>
      <c r="C5548" s="1" t="s">
        <v>2917</v>
      </c>
      <c r="D5548" s="1" t="s">
        <v>61</v>
      </c>
      <c r="E5548" s="1" t="s">
        <v>29</v>
      </c>
      <c r="F5548" s="2" t="s">
        <v>2661</v>
      </c>
      <c r="G5548" s="1">
        <v>25.16</v>
      </c>
      <c r="H5548" s="1">
        <v>2</v>
      </c>
      <c r="I5548" s="1">
        <v>10.5672</v>
      </c>
    </row>
    <row r="5549" spans="1:9" x14ac:dyDescent="0.35">
      <c r="A5549" s="3">
        <v>42925</v>
      </c>
      <c r="B5549" s="1" t="s">
        <v>2129</v>
      </c>
      <c r="C5549" s="1" t="s">
        <v>2917</v>
      </c>
      <c r="D5549" s="1" t="s">
        <v>61</v>
      </c>
      <c r="E5549" s="1" t="s">
        <v>33</v>
      </c>
      <c r="F5549" s="2" t="s">
        <v>2072</v>
      </c>
      <c r="G5549" s="1">
        <v>126.56</v>
      </c>
      <c r="H5549" s="1">
        <v>4</v>
      </c>
      <c r="I5549" s="1">
        <v>47.46</v>
      </c>
    </row>
    <row r="5550" spans="1:9" x14ac:dyDescent="0.35">
      <c r="A5550" s="3" t="s">
        <v>3478</v>
      </c>
      <c r="B5550" s="1" t="s">
        <v>1755</v>
      </c>
      <c r="C5550" s="1" t="s">
        <v>64</v>
      </c>
      <c r="D5550" s="1" t="s">
        <v>18</v>
      </c>
      <c r="E5550" s="1" t="s">
        <v>37</v>
      </c>
      <c r="F5550" s="2" t="s">
        <v>1572</v>
      </c>
      <c r="G5550" s="1">
        <v>43.68</v>
      </c>
      <c r="H5550" s="1">
        <v>3</v>
      </c>
      <c r="I5550" s="1">
        <v>11.7936</v>
      </c>
    </row>
    <row r="5551" spans="1:9" x14ac:dyDescent="0.35">
      <c r="A5551" s="3" t="s">
        <v>3478</v>
      </c>
      <c r="B5551" s="1" t="s">
        <v>1755</v>
      </c>
      <c r="C5551" s="1" t="s">
        <v>64</v>
      </c>
      <c r="D5551" s="1" t="s">
        <v>18</v>
      </c>
      <c r="E5551" s="1" t="s">
        <v>81</v>
      </c>
      <c r="F5551" s="2" t="s">
        <v>1380</v>
      </c>
      <c r="G5551" s="1">
        <v>139.93</v>
      </c>
      <c r="H5551" s="1">
        <v>7</v>
      </c>
      <c r="I5551" s="1">
        <v>34.982500000000002</v>
      </c>
    </row>
    <row r="5552" spans="1:9" x14ac:dyDescent="0.35">
      <c r="A5552" s="3">
        <v>41984</v>
      </c>
      <c r="B5552" s="1" t="s">
        <v>2598</v>
      </c>
      <c r="C5552" s="1" t="s">
        <v>93</v>
      </c>
      <c r="D5552" s="1" t="s">
        <v>52</v>
      </c>
      <c r="E5552" s="1" t="s">
        <v>31</v>
      </c>
      <c r="F5552" s="2" t="s">
        <v>2338</v>
      </c>
      <c r="G5552" s="1">
        <v>2.6720000000000002</v>
      </c>
      <c r="H5552" s="1">
        <v>1</v>
      </c>
      <c r="I5552" s="1">
        <v>0.33400000000000002</v>
      </c>
    </row>
    <row r="5553" spans="1:9" x14ac:dyDescent="0.35">
      <c r="A5553" s="3">
        <v>41984</v>
      </c>
      <c r="B5553" s="1" t="s">
        <v>2598</v>
      </c>
      <c r="C5553" s="1" t="s">
        <v>93</v>
      </c>
      <c r="D5553" s="1" t="s">
        <v>52</v>
      </c>
      <c r="E5553" s="1" t="s">
        <v>289</v>
      </c>
      <c r="F5553" s="2" t="s">
        <v>2611</v>
      </c>
      <c r="G5553" s="1">
        <v>16.655999999999999</v>
      </c>
      <c r="H5553" s="1">
        <v>6</v>
      </c>
      <c r="I5553" s="1">
        <v>-3.1230000000000002</v>
      </c>
    </row>
    <row r="5554" spans="1:9" x14ac:dyDescent="0.35">
      <c r="A5554" s="3">
        <v>41984</v>
      </c>
      <c r="B5554" s="1" t="s">
        <v>2598</v>
      </c>
      <c r="C5554" s="1" t="s">
        <v>93</v>
      </c>
      <c r="D5554" s="1" t="s">
        <v>52</v>
      </c>
      <c r="E5554" s="1" t="s">
        <v>81</v>
      </c>
      <c r="F5554" s="2" t="s">
        <v>833</v>
      </c>
      <c r="G5554" s="1">
        <v>79.512</v>
      </c>
      <c r="H5554" s="1">
        <v>3</v>
      </c>
      <c r="I5554" s="1">
        <v>20.8719</v>
      </c>
    </row>
    <row r="5555" spans="1:9" x14ac:dyDescent="0.35">
      <c r="A5555" s="3">
        <v>41984</v>
      </c>
      <c r="B5555" s="1" t="s">
        <v>2598</v>
      </c>
      <c r="C5555" s="1" t="s">
        <v>93</v>
      </c>
      <c r="D5555" s="1" t="s">
        <v>52</v>
      </c>
      <c r="E5555" s="1" t="s">
        <v>44</v>
      </c>
      <c r="F5555" s="2" t="s">
        <v>507</v>
      </c>
      <c r="G5555" s="1">
        <v>36.287999999999997</v>
      </c>
      <c r="H5555" s="1">
        <v>7</v>
      </c>
      <c r="I5555" s="1">
        <v>12.700799999999999</v>
      </c>
    </row>
    <row r="5556" spans="1:9" x14ac:dyDescent="0.35">
      <c r="A5556" s="3">
        <v>41984</v>
      </c>
      <c r="B5556" s="1" t="s">
        <v>2598</v>
      </c>
      <c r="C5556" s="1" t="s">
        <v>93</v>
      </c>
      <c r="D5556" s="1" t="s">
        <v>52</v>
      </c>
      <c r="E5556" s="1" t="s">
        <v>12</v>
      </c>
      <c r="F5556" s="2" t="s">
        <v>1512</v>
      </c>
      <c r="G5556" s="1">
        <v>67.993200000000002</v>
      </c>
      <c r="H5556" s="1">
        <v>1</v>
      </c>
      <c r="I5556" s="1">
        <v>-12.998699999999999</v>
      </c>
    </row>
    <row r="5557" spans="1:9" x14ac:dyDescent="0.35">
      <c r="A5557" s="3">
        <v>42776</v>
      </c>
      <c r="B5557" s="1" t="s">
        <v>1707</v>
      </c>
      <c r="C5557" s="1" t="s">
        <v>846</v>
      </c>
      <c r="D5557" s="1" t="s">
        <v>182</v>
      </c>
      <c r="E5557" s="1" t="s">
        <v>29</v>
      </c>
      <c r="F5557" s="2" t="s">
        <v>2537</v>
      </c>
      <c r="G5557" s="1">
        <v>10.16</v>
      </c>
      <c r="H5557" s="1">
        <v>2</v>
      </c>
      <c r="I5557" s="1">
        <v>3.4544000000000001</v>
      </c>
    </row>
    <row r="5558" spans="1:9" x14ac:dyDescent="0.35">
      <c r="A5558" s="3" t="s">
        <v>3616</v>
      </c>
      <c r="B5558" s="1" t="s">
        <v>1681</v>
      </c>
      <c r="C5558" s="1" t="s">
        <v>167</v>
      </c>
      <c r="D5558" s="1" t="s">
        <v>704</v>
      </c>
      <c r="E5558" s="1" t="s">
        <v>29</v>
      </c>
      <c r="F5558" s="2" t="s">
        <v>2306</v>
      </c>
      <c r="G5558" s="1">
        <v>6.16</v>
      </c>
      <c r="H5558" s="1">
        <v>2</v>
      </c>
      <c r="I5558" s="1">
        <v>1.9712000000000001</v>
      </c>
    </row>
    <row r="5559" spans="1:9" x14ac:dyDescent="0.35">
      <c r="A5559" s="3" t="s">
        <v>3616</v>
      </c>
      <c r="B5559" s="1" t="s">
        <v>1681</v>
      </c>
      <c r="C5559" s="1" t="s">
        <v>167</v>
      </c>
      <c r="D5559" s="1" t="s">
        <v>704</v>
      </c>
      <c r="E5559" s="1" t="s">
        <v>31</v>
      </c>
      <c r="F5559" s="2" t="s">
        <v>2451</v>
      </c>
      <c r="G5559" s="1">
        <v>56.3</v>
      </c>
      <c r="H5559" s="1">
        <v>2</v>
      </c>
      <c r="I5559" s="1">
        <v>15.763999999999999</v>
      </c>
    </row>
    <row r="5560" spans="1:9" x14ac:dyDescent="0.35">
      <c r="A5560" s="3">
        <v>42167</v>
      </c>
      <c r="B5560" s="1" t="s">
        <v>2090</v>
      </c>
      <c r="C5560" s="1" t="s">
        <v>1719</v>
      </c>
      <c r="D5560" s="1" t="s">
        <v>659</v>
      </c>
      <c r="E5560" s="1" t="s">
        <v>44</v>
      </c>
      <c r="F5560" s="2" t="s">
        <v>2918</v>
      </c>
      <c r="G5560" s="1">
        <v>6.48</v>
      </c>
      <c r="H5560" s="1">
        <v>1</v>
      </c>
      <c r="I5560" s="1">
        <v>3.1103999999999998</v>
      </c>
    </row>
    <row r="5561" spans="1:9" x14ac:dyDescent="0.35">
      <c r="A5561" s="3">
        <v>42167</v>
      </c>
      <c r="B5561" s="1" t="s">
        <v>2090</v>
      </c>
      <c r="C5561" s="1" t="s">
        <v>1719</v>
      </c>
      <c r="D5561" s="1" t="s">
        <v>659</v>
      </c>
      <c r="E5561" s="1" t="s">
        <v>26</v>
      </c>
      <c r="F5561" s="2" t="s">
        <v>2051</v>
      </c>
      <c r="G5561" s="1">
        <v>1325.85</v>
      </c>
      <c r="H5561" s="1">
        <v>5</v>
      </c>
      <c r="I5561" s="1">
        <v>238.65299999999999</v>
      </c>
    </row>
    <row r="5562" spans="1:9" x14ac:dyDescent="0.35">
      <c r="A5562" s="3">
        <v>42167</v>
      </c>
      <c r="B5562" s="1" t="s">
        <v>2090</v>
      </c>
      <c r="C5562" s="1" t="s">
        <v>1719</v>
      </c>
      <c r="D5562" s="1" t="s">
        <v>659</v>
      </c>
      <c r="E5562" s="1" t="s">
        <v>19</v>
      </c>
      <c r="F5562" s="2" t="s">
        <v>1200</v>
      </c>
      <c r="G5562" s="1">
        <v>14.94</v>
      </c>
      <c r="H5562" s="1">
        <v>3</v>
      </c>
      <c r="I5562" s="1">
        <v>6.8723999999999998</v>
      </c>
    </row>
    <row r="5563" spans="1:9" x14ac:dyDescent="0.35">
      <c r="A5563" s="3" t="s">
        <v>3335</v>
      </c>
      <c r="B5563" s="1" t="s">
        <v>1881</v>
      </c>
      <c r="C5563" s="1" t="s">
        <v>811</v>
      </c>
      <c r="D5563" s="1" t="s">
        <v>604</v>
      </c>
      <c r="E5563" s="1" t="s">
        <v>35</v>
      </c>
      <c r="F5563" s="2" t="s">
        <v>575</v>
      </c>
      <c r="G5563" s="1">
        <v>34.54</v>
      </c>
      <c r="H5563" s="1">
        <v>1</v>
      </c>
      <c r="I5563" s="1">
        <v>17.27</v>
      </c>
    </row>
    <row r="5564" spans="1:9" x14ac:dyDescent="0.35">
      <c r="A5564" s="3" t="s">
        <v>3335</v>
      </c>
      <c r="B5564" s="1" t="s">
        <v>1881</v>
      </c>
      <c r="C5564" s="1" t="s">
        <v>811</v>
      </c>
      <c r="D5564" s="1" t="s">
        <v>604</v>
      </c>
      <c r="E5564" s="1" t="s">
        <v>579</v>
      </c>
      <c r="F5564" s="2" t="s">
        <v>580</v>
      </c>
      <c r="G5564" s="1">
        <v>2999.95</v>
      </c>
      <c r="H5564" s="1">
        <v>5</v>
      </c>
      <c r="I5564" s="1">
        <v>1439.9760000000001</v>
      </c>
    </row>
    <row r="5565" spans="1:9" x14ac:dyDescent="0.35">
      <c r="A5565" s="3" t="s">
        <v>3335</v>
      </c>
      <c r="B5565" s="1" t="s">
        <v>1881</v>
      </c>
      <c r="C5565" s="1" t="s">
        <v>811</v>
      </c>
      <c r="D5565" s="1" t="s">
        <v>604</v>
      </c>
      <c r="E5565" s="1" t="s">
        <v>35</v>
      </c>
      <c r="F5565" s="2" t="s">
        <v>85</v>
      </c>
      <c r="G5565" s="1">
        <v>64.12</v>
      </c>
      <c r="H5565" s="1">
        <v>4</v>
      </c>
      <c r="I5565" s="1">
        <v>30.7776</v>
      </c>
    </row>
    <row r="5566" spans="1:9" x14ac:dyDescent="0.35">
      <c r="A5566" s="3" t="s">
        <v>3328</v>
      </c>
      <c r="B5566" s="1" t="s">
        <v>2581</v>
      </c>
      <c r="C5566" s="1" t="s">
        <v>154</v>
      </c>
      <c r="D5566" s="1" t="s">
        <v>106</v>
      </c>
      <c r="E5566" s="1" t="s">
        <v>31</v>
      </c>
      <c r="F5566" s="2" t="s">
        <v>2519</v>
      </c>
      <c r="G5566" s="1">
        <v>19.456</v>
      </c>
      <c r="H5566" s="1">
        <v>4</v>
      </c>
      <c r="I5566" s="1">
        <v>2.1888000000000001</v>
      </c>
    </row>
    <row r="5567" spans="1:9" x14ac:dyDescent="0.35">
      <c r="A5567" s="3" t="s">
        <v>3328</v>
      </c>
      <c r="B5567" s="1" t="s">
        <v>2581</v>
      </c>
      <c r="C5567" s="1" t="s">
        <v>154</v>
      </c>
      <c r="D5567" s="1" t="s">
        <v>106</v>
      </c>
      <c r="E5567" s="1" t="s">
        <v>338</v>
      </c>
      <c r="F5567" s="2" t="s">
        <v>2919</v>
      </c>
      <c r="G5567" s="1">
        <v>209.98599999999999</v>
      </c>
      <c r="H5567" s="1">
        <v>2</v>
      </c>
      <c r="I5567" s="1">
        <v>8.9993999999999996</v>
      </c>
    </row>
    <row r="5568" spans="1:9" x14ac:dyDescent="0.35">
      <c r="A5568" s="3" t="s">
        <v>3328</v>
      </c>
      <c r="B5568" s="1" t="s">
        <v>2581</v>
      </c>
      <c r="C5568" s="1" t="s">
        <v>154</v>
      </c>
      <c r="D5568" s="1" t="s">
        <v>106</v>
      </c>
      <c r="E5568" s="1" t="s">
        <v>31</v>
      </c>
      <c r="F5568" s="2" t="s">
        <v>2413</v>
      </c>
      <c r="G5568" s="1">
        <v>29.76</v>
      </c>
      <c r="H5568" s="1">
        <v>5</v>
      </c>
      <c r="I5568" s="1">
        <v>1.86</v>
      </c>
    </row>
    <row r="5569" spans="1:9" x14ac:dyDescent="0.35">
      <c r="A5569" s="3" t="s">
        <v>3328</v>
      </c>
      <c r="B5569" s="1" t="s">
        <v>2581</v>
      </c>
      <c r="C5569" s="1" t="s">
        <v>154</v>
      </c>
      <c r="D5569" s="1" t="s">
        <v>106</v>
      </c>
      <c r="E5569" s="1" t="s">
        <v>14</v>
      </c>
      <c r="F5569" s="2" t="s">
        <v>2640</v>
      </c>
      <c r="G5569" s="1">
        <v>89.768000000000001</v>
      </c>
      <c r="H5569" s="1">
        <v>1</v>
      </c>
      <c r="I5569" s="1">
        <v>-2.5648</v>
      </c>
    </row>
    <row r="5570" spans="1:9" x14ac:dyDescent="0.35">
      <c r="A5570" s="3" t="s">
        <v>3328</v>
      </c>
      <c r="B5570" s="1" t="s">
        <v>2581</v>
      </c>
      <c r="C5570" s="1" t="s">
        <v>154</v>
      </c>
      <c r="D5570" s="1" t="s">
        <v>106</v>
      </c>
      <c r="E5570" s="1" t="s">
        <v>579</v>
      </c>
      <c r="F5570" s="2" t="s">
        <v>580</v>
      </c>
      <c r="G5570" s="1">
        <v>959.98400000000004</v>
      </c>
      <c r="H5570" s="1">
        <v>2</v>
      </c>
      <c r="I5570" s="1">
        <v>335.99439999999998</v>
      </c>
    </row>
    <row r="5571" spans="1:9" x14ac:dyDescent="0.35">
      <c r="A5571" s="3" t="s">
        <v>3328</v>
      </c>
      <c r="B5571" s="1" t="s">
        <v>2581</v>
      </c>
      <c r="C5571" s="1" t="s">
        <v>154</v>
      </c>
      <c r="D5571" s="1" t="s">
        <v>106</v>
      </c>
      <c r="E5571" s="1" t="s">
        <v>44</v>
      </c>
      <c r="F5571" s="2" t="s">
        <v>974</v>
      </c>
      <c r="G5571" s="1">
        <v>15.552</v>
      </c>
      <c r="H5571" s="1">
        <v>3</v>
      </c>
      <c r="I5571" s="1">
        <v>5.6375999999999999</v>
      </c>
    </row>
    <row r="5572" spans="1:9" x14ac:dyDescent="0.35">
      <c r="A5572" s="3" t="s">
        <v>3328</v>
      </c>
      <c r="B5572" s="1" t="s">
        <v>2581</v>
      </c>
      <c r="C5572" s="1" t="s">
        <v>154</v>
      </c>
      <c r="D5572" s="1" t="s">
        <v>106</v>
      </c>
      <c r="E5572" s="1" t="s">
        <v>33</v>
      </c>
      <c r="F5572" s="2" t="s">
        <v>2156</v>
      </c>
      <c r="G5572" s="1">
        <v>34.36</v>
      </c>
      <c r="H5572" s="1">
        <v>1</v>
      </c>
      <c r="I5572" s="1">
        <v>-7.3014999999999999</v>
      </c>
    </row>
    <row r="5573" spans="1:9" x14ac:dyDescent="0.35">
      <c r="A5573" s="3">
        <v>41771</v>
      </c>
      <c r="B5573" s="1" t="s">
        <v>436</v>
      </c>
      <c r="C5573" s="1" t="s">
        <v>249</v>
      </c>
      <c r="D5573" s="1" t="s">
        <v>250</v>
      </c>
      <c r="E5573" s="1" t="s">
        <v>44</v>
      </c>
      <c r="F5573" s="2" t="s">
        <v>2535</v>
      </c>
      <c r="G5573" s="1">
        <v>98.376000000000005</v>
      </c>
      <c r="H5573" s="1">
        <v>3</v>
      </c>
      <c r="I5573" s="1">
        <v>35.661299999999997</v>
      </c>
    </row>
    <row r="5574" spans="1:9" x14ac:dyDescent="0.35">
      <c r="A5574" s="3">
        <v>41771</v>
      </c>
      <c r="B5574" s="1" t="s">
        <v>436</v>
      </c>
      <c r="C5574" s="1" t="s">
        <v>249</v>
      </c>
      <c r="D5574" s="1" t="s">
        <v>250</v>
      </c>
      <c r="E5574" s="1" t="s">
        <v>35</v>
      </c>
      <c r="F5574" s="2" t="s">
        <v>1201</v>
      </c>
      <c r="G5574" s="1">
        <v>29.94</v>
      </c>
      <c r="H5574" s="1">
        <v>4</v>
      </c>
      <c r="I5574" s="1">
        <v>-23.952000000000002</v>
      </c>
    </row>
    <row r="5575" spans="1:9" x14ac:dyDescent="0.35">
      <c r="A5575" s="3">
        <v>41771</v>
      </c>
      <c r="B5575" s="1" t="s">
        <v>436</v>
      </c>
      <c r="C5575" s="1" t="s">
        <v>249</v>
      </c>
      <c r="D5575" s="1" t="s">
        <v>250</v>
      </c>
      <c r="E5575" s="1" t="s">
        <v>44</v>
      </c>
      <c r="F5575" s="2" t="s">
        <v>2920</v>
      </c>
      <c r="G5575" s="1">
        <v>17.472000000000001</v>
      </c>
      <c r="H5575" s="1">
        <v>3</v>
      </c>
      <c r="I5575" s="1">
        <v>5.6783999999999999</v>
      </c>
    </row>
    <row r="5576" spans="1:9" x14ac:dyDescent="0.35">
      <c r="A5576" s="3">
        <v>41771</v>
      </c>
      <c r="B5576" s="1" t="s">
        <v>436</v>
      </c>
      <c r="C5576" s="1" t="s">
        <v>249</v>
      </c>
      <c r="D5576" s="1" t="s">
        <v>250</v>
      </c>
      <c r="E5576" s="1" t="s">
        <v>33</v>
      </c>
      <c r="F5576" s="2" t="s">
        <v>2921</v>
      </c>
      <c r="G5576" s="1">
        <v>36.738</v>
      </c>
      <c r="H5576" s="1">
        <v>1</v>
      </c>
      <c r="I5576" s="1">
        <v>-9.1844999999999999</v>
      </c>
    </row>
    <row r="5577" spans="1:9" x14ac:dyDescent="0.35">
      <c r="A5577" s="3">
        <v>41771</v>
      </c>
      <c r="B5577" s="1" t="s">
        <v>436</v>
      </c>
      <c r="C5577" s="1" t="s">
        <v>249</v>
      </c>
      <c r="D5577" s="1" t="s">
        <v>250</v>
      </c>
      <c r="E5577" s="1" t="s">
        <v>33</v>
      </c>
      <c r="F5577" s="2" t="s">
        <v>1969</v>
      </c>
      <c r="G5577" s="1">
        <v>179.94</v>
      </c>
      <c r="H5577" s="1">
        <v>2</v>
      </c>
      <c r="I5577" s="1">
        <v>-44.984999999999999</v>
      </c>
    </row>
    <row r="5578" spans="1:9" x14ac:dyDescent="0.35">
      <c r="A5578" s="3">
        <v>42716</v>
      </c>
      <c r="B5578" s="1" t="s">
        <v>675</v>
      </c>
      <c r="C5578" s="1" t="s">
        <v>301</v>
      </c>
      <c r="D5578" s="1" t="s">
        <v>18</v>
      </c>
      <c r="E5578" s="1" t="s">
        <v>29</v>
      </c>
      <c r="F5578" s="2" t="s">
        <v>801</v>
      </c>
      <c r="G5578" s="1">
        <v>383.64</v>
      </c>
      <c r="H5578" s="1">
        <v>6</v>
      </c>
      <c r="I5578" s="1">
        <v>122.76479999999999</v>
      </c>
    </row>
    <row r="5579" spans="1:9" x14ac:dyDescent="0.35">
      <c r="A5579" s="3">
        <v>42716</v>
      </c>
      <c r="B5579" s="1" t="s">
        <v>675</v>
      </c>
      <c r="C5579" s="1" t="s">
        <v>301</v>
      </c>
      <c r="D5579" s="1" t="s">
        <v>18</v>
      </c>
      <c r="E5579" s="1" t="s">
        <v>37</v>
      </c>
      <c r="F5579" s="2" t="s">
        <v>978</v>
      </c>
      <c r="G5579" s="1">
        <v>56.52</v>
      </c>
      <c r="H5579" s="1">
        <v>3</v>
      </c>
      <c r="I5579" s="1">
        <v>15.8256</v>
      </c>
    </row>
    <row r="5580" spans="1:9" x14ac:dyDescent="0.35">
      <c r="A5580" s="3">
        <v>42987</v>
      </c>
      <c r="B5580" s="1" t="s">
        <v>2547</v>
      </c>
      <c r="C5580" s="1" t="s">
        <v>17</v>
      </c>
      <c r="D5580" s="1" t="s">
        <v>18</v>
      </c>
      <c r="E5580" s="1" t="s">
        <v>31</v>
      </c>
      <c r="F5580" s="2" t="s">
        <v>1597</v>
      </c>
      <c r="G5580" s="1">
        <v>6.56</v>
      </c>
      <c r="H5580" s="1">
        <v>2</v>
      </c>
      <c r="I5580" s="1">
        <v>1.9024000000000001</v>
      </c>
    </row>
    <row r="5581" spans="1:9" x14ac:dyDescent="0.35">
      <c r="A5581" s="3">
        <v>42987</v>
      </c>
      <c r="B5581" s="1" t="s">
        <v>2547</v>
      </c>
      <c r="C5581" s="1" t="s">
        <v>17</v>
      </c>
      <c r="D5581" s="1" t="s">
        <v>18</v>
      </c>
      <c r="E5581" s="1" t="s">
        <v>14</v>
      </c>
      <c r="F5581" s="2" t="s">
        <v>2026</v>
      </c>
      <c r="G5581" s="1">
        <v>243.92</v>
      </c>
      <c r="H5581" s="1">
        <v>5</v>
      </c>
      <c r="I5581" s="1">
        <v>-15.244999999999999</v>
      </c>
    </row>
    <row r="5582" spans="1:9" x14ac:dyDescent="0.35">
      <c r="A5582" s="3">
        <v>42987</v>
      </c>
      <c r="B5582" s="1" t="s">
        <v>2547</v>
      </c>
      <c r="C5582" s="1" t="s">
        <v>17</v>
      </c>
      <c r="D5582" s="1" t="s">
        <v>18</v>
      </c>
      <c r="E5582" s="1" t="s">
        <v>44</v>
      </c>
      <c r="F5582" s="2" t="s">
        <v>2854</v>
      </c>
      <c r="G5582" s="1">
        <v>47.52</v>
      </c>
      <c r="H5582" s="1">
        <v>9</v>
      </c>
      <c r="I5582" s="1">
        <v>22.8096</v>
      </c>
    </row>
    <row r="5583" spans="1:9" x14ac:dyDescent="0.35">
      <c r="A5583" s="3">
        <v>42835</v>
      </c>
      <c r="B5583" s="1" t="s">
        <v>153</v>
      </c>
      <c r="C5583" s="1" t="s">
        <v>1397</v>
      </c>
      <c r="D5583" s="1" t="s">
        <v>1217</v>
      </c>
      <c r="E5583" s="1" t="s">
        <v>29</v>
      </c>
      <c r="F5583" s="2" t="s">
        <v>1499</v>
      </c>
      <c r="G5583" s="1">
        <v>19.98</v>
      </c>
      <c r="H5583" s="1">
        <v>1</v>
      </c>
      <c r="I5583" s="1">
        <v>8.5914000000000001</v>
      </c>
    </row>
    <row r="5584" spans="1:9" x14ac:dyDescent="0.35">
      <c r="A5584" s="3">
        <v>42618</v>
      </c>
      <c r="B5584" s="1" t="s">
        <v>153</v>
      </c>
      <c r="C5584" s="1" t="s">
        <v>135</v>
      </c>
      <c r="D5584" s="1" t="s">
        <v>136</v>
      </c>
      <c r="E5584" s="1" t="s">
        <v>31</v>
      </c>
      <c r="F5584" s="2" t="s">
        <v>1514</v>
      </c>
      <c r="G5584" s="1">
        <v>8</v>
      </c>
      <c r="H5584" s="1">
        <v>5</v>
      </c>
      <c r="I5584" s="1">
        <v>3.44</v>
      </c>
    </row>
    <row r="5585" spans="1:9" x14ac:dyDescent="0.35">
      <c r="A5585" s="3" t="s">
        <v>3661</v>
      </c>
      <c r="B5585" s="1" t="s">
        <v>504</v>
      </c>
      <c r="C5585" s="1" t="s">
        <v>461</v>
      </c>
      <c r="D5585" s="1" t="s">
        <v>18</v>
      </c>
      <c r="E5585" s="1" t="s">
        <v>29</v>
      </c>
      <c r="F5585" s="2" t="s">
        <v>2306</v>
      </c>
      <c r="G5585" s="1">
        <v>6.16</v>
      </c>
      <c r="H5585" s="1">
        <v>2</v>
      </c>
      <c r="I5585" s="1">
        <v>1.9712000000000001</v>
      </c>
    </row>
    <row r="5586" spans="1:9" x14ac:dyDescent="0.35">
      <c r="A5586" s="3" t="s">
        <v>3329</v>
      </c>
      <c r="B5586" s="1" t="s">
        <v>657</v>
      </c>
      <c r="C5586" s="1" t="s">
        <v>135</v>
      </c>
      <c r="D5586" s="1" t="s">
        <v>136</v>
      </c>
      <c r="E5586" s="1" t="s">
        <v>26</v>
      </c>
      <c r="F5586" s="2" t="s">
        <v>2922</v>
      </c>
      <c r="G5586" s="1">
        <v>83.56</v>
      </c>
      <c r="H5586" s="1">
        <v>4</v>
      </c>
      <c r="I5586" s="1">
        <v>1.6712</v>
      </c>
    </row>
    <row r="5587" spans="1:9" x14ac:dyDescent="0.35">
      <c r="A5587" s="3" t="s">
        <v>3329</v>
      </c>
      <c r="B5587" s="1" t="s">
        <v>657</v>
      </c>
      <c r="C5587" s="1" t="s">
        <v>135</v>
      </c>
      <c r="D5587" s="1" t="s">
        <v>136</v>
      </c>
      <c r="E5587" s="1" t="s">
        <v>33</v>
      </c>
      <c r="F5587" s="2" t="s">
        <v>2923</v>
      </c>
      <c r="G5587" s="1">
        <v>546.05999999999995</v>
      </c>
      <c r="H5587" s="1">
        <v>3</v>
      </c>
      <c r="I5587" s="1">
        <v>163.81800000000001</v>
      </c>
    </row>
    <row r="5588" spans="1:9" x14ac:dyDescent="0.35">
      <c r="A5588" s="3" t="s">
        <v>3329</v>
      </c>
      <c r="B5588" s="1" t="s">
        <v>657</v>
      </c>
      <c r="C5588" s="1" t="s">
        <v>135</v>
      </c>
      <c r="D5588" s="1" t="s">
        <v>136</v>
      </c>
      <c r="E5588" s="1" t="s">
        <v>26</v>
      </c>
      <c r="F5588" s="2" t="s">
        <v>789</v>
      </c>
      <c r="G5588" s="1">
        <v>269.49</v>
      </c>
      <c r="H5588" s="1">
        <v>3</v>
      </c>
      <c r="I5588" s="1">
        <v>5.3898000000000001</v>
      </c>
    </row>
    <row r="5589" spans="1:9" x14ac:dyDescent="0.35">
      <c r="A5589" s="3" t="s">
        <v>3417</v>
      </c>
      <c r="B5589" s="1" t="s">
        <v>1179</v>
      </c>
      <c r="C5589" s="1" t="s">
        <v>1114</v>
      </c>
      <c r="D5589" s="1" t="s">
        <v>18</v>
      </c>
      <c r="E5589" s="1" t="s">
        <v>137</v>
      </c>
      <c r="F5589" s="2" t="s">
        <v>1430</v>
      </c>
      <c r="G5589" s="1">
        <v>10.9</v>
      </c>
      <c r="H5589" s="1">
        <v>5</v>
      </c>
      <c r="I5589" s="1">
        <v>3.597</v>
      </c>
    </row>
    <row r="5590" spans="1:9" x14ac:dyDescent="0.35">
      <c r="A5590" s="3" t="s">
        <v>3380</v>
      </c>
      <c r="B5590" s="1" t="s">
        <v>2421</v>
      </c>
      <c r="C5590" s="1" t="s">
        <v>822</v>
      </c>
      <c r="D5590" s="1" t="s">
        <v>823</v>
      </c>
      <c r="E5590" s="1" t="s">
        <v>35</v>
      </c>
      <c r="F5590" s="2" t="s">
        <v>1268</v>
      </c>
      <c r="G5590" s="1">
        <v>6.0960000000000001</v>
      </c>
      <c r="H5590" s="1">
        <v>2</v>
      </c>
      <c r="I5590" s="1">
        <v>2.2098</v>
      </c>
    </row>
    <row r="5591" spans="1:9" x14ac:dyDescent="0.35">
      <c r="A5591" s="3">
        <v>42594</v>
      </c>
      <c r="B5591" s="1" t="s">
        <v>577</v>
      </c>
      <c r="C5591" s="1" t="s">
        <v>64</v>
      </c>
      <c r="D5591" s="1" t="s">
        <v>18</v>
      </c>
      <c r="E5591" s="1" t="s">
        <v>26</v>
      </c>
      <c r="F5591" s="2" t="s">
        <v>178</v>
      </c>
      <c r="G5591" s="1">
        <v>34.049999999999997</v>
      </c>
      <c r="H5591" s="1">
        <v>3</v>
      </c>
      <c r="I5591" s="1">
        <v>9.5340000000000007</v>
      </c>
    </row>
    <row r="5592" spans="1:9" x14ac:dyDescent="0.35">
      <c r="A5592" s="3">
        <v>42594</v>
      </c>
      <c r="B5592" s="1" t="s">
        <v>577</v>
      </c>
      <c r="C5592" s="1" t="s">
        <v>64</v>
      </c>
      <c r="D5592" s="1" t="s">
        <v>18</v>
      </c>
      <c r="E5592" s="1" t="s">
        <v>26</v>
      </c>
      <c r="F5592" s="2" t="s">
        <v>1241</v>
      </c>
      <c r="G5592" s="1">
        <v>352.38</v>
      </c>
      <c r="H5592" s="1">
        <v>2</v>
      </c>
      <c r="I5592" s="1">
        <v>81.047399999999996</v>
      </c>
    </row>
    <row r="5593" spans="1:9" x14ac:dyDescent="0.35">
      <c r="A5593" s="3" t="s">
        <v>3662</v>
      </c>
      <c r="B5593" s="1" t="s">
        <v>1787</v>
      </c>
      <c r="C5593" s="1" t="s">
        <v>536</v>
      </c>
      <c r="D5593" s="1" t="s">
        <v>388</v>
      </c>
      <c r="E5593" s="1" t="s">
        <v>14</v>
      </c>
      <c r="F5593" s="2" t="s">
        <v>1386</v>
      </c>
      <c r="G5593" s="1">
        <v>245.98</v>
      </c>
      <c r="H5593" s="1">
        <v>2</v>
      </c>
      <c r="I5593" s="1">
        <v>27.0578</v>
      </c>
    </row>
    <row r="5594" spans="1:9" x14ac:dyDescent="0.35">
      <c r="A5594" s="3" t="s">
        <v>3662</v>
      </c>
      <c r="B5594" s="1" t="s">
        <v>1787</v>
      </c>
      <c r="C5594" s="1" t="s">
        <v>536</v>
      </c>
      <c r="D5594" s="1" t="s">
        <v>388</v>
      </c>
      <c r="E5594" s="1" t="s">
        <v>35</v>
      </c>
      <c r="F5594" s="2" t="s">
        <v>213</v>
      </c>
      <c r="G5594" s="1">
        <v>18.940000000000001</v>
      </c>
      <c r="H5594" s="1">
        <v>1</v>
      </c>
      <c r="I5594" s="1">
        <v>9.4700000000000006</v>
      </c>
    </row>
    <row r="5595" spans="1:9" x14ac:dyDescent="0.35">
      <c r="A5595" s="3" t="s">
        <v>3194</v>
      </c>
      <c r="B5595" s="1" t="s">
        <v>1345</v>
      </c>
      <c r="C5595" s="1" t="s">
        <v>994</v>
      </c>
      <c r="D5595" s="1" t="s">
        <v>250</v>
      </c>
      <c r="E5595" s="1" t="s">
        <v>35</v>
      </c>
      <c r="F5595" s="2" t="s">
        <v>1210</v>
      </c>
      <c r="G5595" s="1">
        <v>59.912999999999997</v>
      </c>
      <c r="H5595" s="1">
        <v>7</v>
      </c>
      <c r="I5595" s="1">
        <v>-45.933300000000003</v>
      </c>
    </row>
    <row r="5596" spans="1:9" x14ac:dyDescent="0.35">
      <c r="A5596" s="3" t="s">
        <v>3404</v>
      </c>
      <c r="B5596" s="1" t="s">
        <v>654</v>
      </c>
      <c r="C5596" s="1" t="s">
        <v>700</v>
      </c>
      <c r="D5596" s="1" t="s">
        <v>592</v>
      </c>
      <c r="E5596" s="1" t="s">
        <v>33</v>
      </c>
      <c r="F5596" s="2" t="s">
        <v>847</v>
      </c>
      <c r="G5596" s="1">
        <v>391.98</v>
      </c>
      <c r="H5596" s="1">
        <v>2</v>
      </c>
      <c r="I5596" s="1">
        <v>109.7544</v>
      </c>
    </row>
    <row r="5597" spans="1:9" x14ac:dyDescent="0.35">
      <c r="A5597" s="3" t="s">
        <v>3404</v>
      </c>
      <c r="B5597" s="1" t="s">
        <v>654</v>
      </c>
      <c r="C5597" s="1" t="s">
        <v>700</v>
      </c>
      <c r="D5597" s="1" t="s">
        <v>592</v>
      </c>
      <c r="E5597" s="1" t="s">
        <v>33</v>
      </c>
      <c r="F5597" s="2" t="s">
        <v>2135</v>
      </c>
      <c r="G5597" s="1">
        <v>437.85</v>
      </c>
      <c r="H5597" s="1">
        <v>3</v>
      </c>
      <c r="I5597" s="1">
        <v>131.35499999999999</v>
      </c>
    </row>
    <row r="5598" spans="1:9" x14ac:dyDescent="0.35">
      <c r="A5598" s="3" t="s">
        <v>3149</v>
      </c>
      <c r="B5598" s="1" t="s">
        <v>2924</v>
      </c>
      <c r="C5598" s="1" t="s">
        <v>42</v>
      </c>
      <c r="D5598" s="1" t="s">
        <v>1203</v>
      </c>
      <c r="E5598" s="1" t="s">
        <v>35</v>
      </c>
      <c r="F5598" s="2" t="s">
        <v>309</v>
      </c>
      <c r="G5598" s="1">
        <v>68.62</v>
      </c>
      <c r="H5598" s="1">
        <v>2</v>
      </c>
      <c r="I5598" s="1">
        <v>32.251399999999997</v>
      </c>
    </row>
    <row r="5599" spans="1:9" x14ac:dyDescent="0.35">
      <c r="A5599" s="3" t="s">
        <v>3243</v>
      </c>
      <c r="B5599" s="1" t="s">
        <v>2326</v>
      </c>
      <c r="C5599" s="1" t="s">
        <v>1875</v>
      </c>
      <c r="D5599" s="1" t="s">
        <v>1217</v>
      </c>
      <c r="E5599" s="1" t="s">
        <v>289</v>
      </c>
      <c r="F5599" s="2" t="s">
        <v>1780</v>
      </c>
      <c r="G5599" s="1">
        <v>25.02</v>
      </c>
      <c r="H5599" s="1">
        <v>3</v>
      </c>
      <c r="I5599" s="1">
        <v>6.5052000000000003</v>
      </c>
    </row>
    <row r="5600" spans="1:9" x14ac:dyDescent="0.35">
      <c r="A5600" s="3" t="s">
        <v>3243</v>
      </c>
      <c r="B5600" s="1" t="s">
        <v>2326</v>
      </c>
      <c r="C5600" s="1" t="s">
        <v>1875</v>
      </c>
      <c r="D5600" s="1" t="s">
        <v>1217</v>
      </c>
      <c r="E5600" s="1" t="s">
        <v>31</v>
      </c>
      <c r="F5600" s="2" t="s">
        <v>2906</v>
      </c>
      <c r="G5600" s="1">
        <v>10.71</v>
      </c>
      <c r="H5600" s="1">
        <v>3</v>
      </c>
      <c r="I5600" s="1">
        <v>2.7846000000000002</v>
      </c>
    </row>
    <row r="5601" spans="1:9" x14ac:dyDescent="0.35">
      <c r="A5601" s="3">
        <v>41708</v>
      </c>
      <c r="B5601" s="1" t="s">
        <v>639</v>
      </c>
      <c r="C5601" s="1" t="s">
        <v>249</v>
      </c>
      <c r="D5601" s="1" t="s">
        <v>250</v>
      </c>
      <c r="E5601" s="1" t="s">
        <v>31</v>
      </c>
      <c r="F5601" s="2" t="s">
        <v>2925</v>
      </c>
      <c r="G5601" s="1">
        <v>55.984000000000002</v>
      </c>
      <c r="H5601" s="1">
        <v>2</v>
      </c>
      <c r="I5601" s="1">
        <v>4.1988000000000003</v>
      </c>
    </row>
    <row r="5602" spans="1:9" x14ac:dyDescent="0.35">
      <c r="A5602" s="3">
        <v>41708</v>
      </c>
      <c r="B5602" s="1" t="s">
        <v>639</v>
      </c>
      <c r="C5602" s="1" t="s">
        <v>249</v>
      </c>
      <c r="D5602" s="1" t="s">
        <v>250</v>
      </c>
      <c r="E5602" s="1" t="s">
        <v>87</v>
      </c>
      <c r="F5602" s="2" t="s">
        <v>294</v>
      </c>
      <c r="G5602" s="1">
        <v>14.48</v>
      </c>
      <c r="H5602" s="1">
        <v>5</v>
      </c>
      <c r="I5602" s="1">
        <v>4.8869999999999996</v>
      </c>
    </row>
    <row r="5603" spans="1:9" x14ac:dyDescent="0.35">
      <c r="A5603" s="3">
        <v>41708</v>
      </c>
      <c r="B5603" s="1" t="s">
        <v>639</v>
      </c>
      <c r="C5603" s="1" t="s">
        <v>249</v>
      </c>
      <c r="D5603" s="1" t="s">
        <v>250</v>
      </c>
      <c r="E5603" s="1" t="s">
        <v>81</v>
      </c>
      <c r="F5603" s="2" t="s">
        <v>1826</v>
      </c>
      <c r="G5603" s="1">
        <v>142.488</v>
      </c>
      <c r="H5603" s="1">
        <v>3</v>
      </c>
      <c r="I5603" s="1">
        <v>-3.5621999999999998</v>
      </c>
    </row>
    <row r="5604" spans="1:9" x14ac:dyDescent="0.35">
      <c r="A5604" s="3" t="s">
        <v>3375</v>
      </c>
      <c r="B5604" s="1" t="s">
        <v>1546</v>
      </c>
      <c r="C5604" s="1" t="s">
        <v>93</v>
      </c>
      <c r="D5604" s="1" t="s">
        <v>52</v>
      </c>
      <c r="E5604" s="1" t="s">
        <v>26</v>
      </c>
      <c r="F5604" s="2" t="s">
        <v>2926</v>
      </c>
      <c r="G5604" s="1">
        <v>14.16</v>
      </c>
      <c r="H5604" s="1">
        <v>1</v>
      </c>
      <c r="I5604" s="1">
        <v>1.0620000000000001</v>
      </c>
    </row>
    <row r="5605" spans="1:9" x14ac:dyDescent="0.35">
      <c r="A5605" s="3" t="s">
        <v>3375</v>
      </c>
      <c r="B5605" s="1" t="s">
        <v>1546</v>
      </c>
      <c r="C5605" s="1" t="s">
        <v>93</v>
      </c>
      <c r="D5605" s="1" t="s">
        <v>52</v>
      </c>
      <c r="E5605" s="1" t="s">
        <v>44</v>
      </c>
      <c r="F5605" s="2" t="s">
        <v>2786</v>
      </c>
      <c r="G5605" s="1">
        <v>79.92</v>
      </c>
      <c r="H5605" s="1">
        <v>5</v>
      </c>
      <c r="I5605" s="1">
        <v>27.972000000000001</v>
      </c>
    </row>
    <row r="5606" spans="1:9" x14ac:dyDescent="0.35">
      <c r="A5606" s="3">
        <v>42075</v>
      </c>
      <c r="B5606" s="1" t="s">
        <v>1807</v>
      </c>
      <c r="C5606" s="1" t="s">
        <v>135</v>
      </c>
      <c r="D5606" s="1" t="s">
        <v>136</v>
      </c>
      <c r="E5606" s="1" t="s">
        <v>35</v>
      </c>
      <c r="F5606" s="2" t="s">
        <v>2800</v>
      </c>
      <c r="G5606" s="1">
        <v>590.35199999999998</v>
      </c>
      <c r="H5606" s="1">
        <v>6</v>
      </c>
      <c r="I5606" s="1">
        <v>206.6232</v>
      </c>
    </row>
    <row r="5607" spans="1:9" x14ac:dyDescent="0.35">
      <c r="A5607" s="3" t="s">
        <v>3390</v>
      </c>
      <c r="B5607" s="1" t="s">
        <v>1855</v>
      </c>
      <c r="C5607" s="1" t="s">
        <v>1874</v>
      </c>
      <c r="D5607" s="1" t="s">
        <v>43</v>
      </c>
      <c r="E5607" s="1" t="s">
        <v>29</v>
      </c>
      <c r="F5607" s="2" t="s">
        <v>2399</v>
      </c>
      <c r="G5607" s="1">
        <v>17.088000000000001</v>
      </c>
      <c r="H5607" s="1">
        <v>2</v>
      </c>
      <c r="I5607" s="1">
        <v>1.0680000000000001</v>
      </c>
    </row>
    <row r="5608" spans="1:9" x14ac:dyDescent="0.35">
      <c r="A5608" s="3" t="s">
        <v>3390</v>
      </c>
      <c r="B5608" s="1" t="s">
        <v>1855</v>
      </c>
      <c r="C5608" s="1" t="s">
        <v>1874</v>
      </c>
      <c r="D5608" s="1" t="s">
        <v>43</v>
      </c>
      <c r="E5608" s="1" t="s">
        <v>14</v>
      </c>
      <c r="F5608" s="2" t="s">
        <v>1386</v>
      </c>
      <c r="G5608" s="1">
        <v>98.391999999999996</v>
      </c>
      <c r="H5608" s="1">
        <v>1</v>
      </c>
      <c r="I5608" s="1">
        <v>-11.069100000000001</v>
      </c>
    </row>
    <row r="5609" spans="1:9" x14ac:dyDescent="0.35">
      <c r="A5609" s="3" t="s">
        <v>3304</v>
      </c>
      <c r="B5609" s="1" t="s">
        <v>968</v>
      </c>
      <c r="C5609" s="1" t="s">
        <v>135</v>
      </c>
      <c r="D5609" s="1" t="s">
        <v>136</v>
      </c>
      <c r="E5609" s="1" t="s">
        <v>31</v>
      </c>
      <c r="F5609" s="2" t="s">
        <v>319</v>
      </c>
      <c r="G5609" s="1">
        <v>11.05</v>
      </c>
      <c r="H5609" s="1">
        <v>5</v>
      </c>
      <c r="I5609" s="1">
        <v>2.9834999999999998</v>
      </c>
    </row>
    <row r="5610" spans="1:9" x14ac:dyDescent="0.35">
      <c r="A5610" s="3">
        <v>42167</v>
      </c>
      <c r="B5610" s="1" t="s">
        <v>2079</v>
      </c>
      <c r="C5610" s="1" t="s">
        <v>64</v>
      </c>
      <c r="D5610" s="1" t="s">
        <v>18</v>
      </c>
      <c r="E5610" s="1" t="s">
        <v>37</v>
      </c>
      <c r="F5610" s="2" t="s">
        <v>1737</v>
      </c>
      <c r="G5610" s="1">
        <v>7.78</v>
      </c>
      <c r="H5610" s="1">
        <v>2</v>
      </c>
      <c r="I5610" s="1">
        <v>2.0228000000000002</v>
      </c>
    </row>
    <row r="5611" spans="1:9" x14ac:dyDescent="0.35">
      <c r="A5611" s="3" t="s">
        <v>3268</v>
      </c>
      <c r="B5611" s="1" t="s">
        <v>2927</v>
      </c>
      <c r="C5611" s="1" t="s">
        <v>361</v>
      </c>
      <c r="D5611" s="1" t="s">
        <v>362</v>
      </c>
      <c r="E5611" s="1" t="s">
        <v>81</v>
      </c>
      <c r="F5611" s="2" t="s">
        <v>1313</v>
      </c>
      <c r="G5611" s="1">
        <v>659.9</v>
      </c>
      <c r="H5611" s="1">
        <v>2</v>
      </c>
      <c r="I5611" s="1">
        <v>217.767</v>
      </c>
    </row>
    <row r="5612" spans="1:9" x14ac:dyDescent="0.35">
      <c r="A5612" s="3">
        <v>42134</v>
      </c>
      <c r="B5612" s="1" t="s">
        <v>391</v>
      </c>
      <c r="C5612" s="1" t="s">
        <v>485</v>
      </c>
      <c r="D5612" s="1" t="s">
        <v>250</v>
      </c>
      <c r="E5612" s="1" t="s">
        <v>81</v>
      </c>
      <c r="F5612" s="2" t="s">
        <v>371</v>
      </c>
      <c r="G5612" s="1">
        <v>53.04</v>
      </c>
      <c r="H5612" s="1">
        <v>3</v>
      </c>
      <c r="I5612" s="1">
        <v>-4.641</v>
      </c>
    </row>
    <row r="5613" spans="1:9" x14ac:dyDescent="0.35">
      <c r="A5613" s="3" t="s">
        <v>3529</v>
      </c>
      <c r="B5613" s="1" t="s">
        <v>1129</v>
      </c>
      <c r="C5613" s="1" t="s">
        <v>47</v>
      </c>
      <c r="D5613" s="1" t="s">
        <v>48</v>
      </c>
      <c r="E5613" s="1" t="s">
        <v>81</v>
      </c>
      <c r="F5613" s="2" t="s">
        <v>1797</v>
      </c>
      <c r="G5613" s="1">
        <v>843.9</v>
      </c>
      <c r="H5613" s="1">
        <v>2</v>
      </c>
      <c r="I5613" s="1">
        <v>371.31599999999997</v>
      </c>
    </row>
    <row r="5614" spans="1:9" x14ac:dyDescent="0.35">
      <c r="A5614" s="3" t="s">
        <v>3529</v>
      </c>
      <c r="B5614" s="1" t="s">
        <v>1129</v>
      </c>
      <c r="C5614" s="1" t="s">
        <v>47</v>
      </c>
      <c r="D5614" s="1" t="s">
        <v>48</v>
      </c>
      <c r="E5614" s="1" t="s">
        <v>81</v>
      </c>
      <c r="F5614" s="2" t="s">
        <v>1021</v>
      </c>
      <c r="G5614" s="1">
        <v>1496.16</v>
      </c>
      <c r="H5614" s="1">
        <v>9</v>
      </c>
      <c r="I5614" s="1">
        <v>224.42400000000001</v>
      </c>
    </row>
    <row r="5615" spans="1:9" x14ac:dyDescent="0.35">
      <c r="A5615" s="3">
        <v>42402</v>
      </c>
      <c r="B5615" s="1" t="s">
        <v>1641</v>
      </c>
      <c r="C5615" s="1" t="s">
        <v>135</v>
      </c>
      <c r="D5615" s="1" t="s">
        <v>136</v>
      </c>
      <c r="E5615" s="1" t="s">
        <v>26</v>
      </c>
      <c r="F5615" s="2" t="s">
        <v>2928</v>
      </c>
      <c r="G5615" s="1">
        <v>117.96</v>
      </c>
      <c r="H5615" s="1">
        <v>2</v>
      </c>
      <c r="I5615" s="1">
        <v>5.8979999999999997</v>
      </c>
    </row>
    <row r="5616" spans="1:9" x14ac:dyDescent="0.35">
      <c r="A5616" s="3" t="s">
        <v>3319</v>
      </c>
      <c r="B5616" s="1" t="s">
        <v>2485</v>
      </c>
      <c r="C5616" s="1" t="s">
        <v>135</v>
      </c>
      <c r="D5616" s="1" t="s">
        <v>136</v>
      </c>
      <c r="E5616" s="1" t="s">
        <v>31</v>
      </c>
      <c r="F5616" s="2" t="s">
        <v>601</v>
      </c>
      <c r="G5616" s="1">
        <v>21.3</v>
      </c>
      <c r="H5616" s="1">
        <v>5</v>
      </c>
      <c r="I5616" s="1">
        <v>8.7330000000000005</v>
      </c>
    </row>
    <row r="5617" spans="1:9" x14ac:dyDescent="0.35">
      <c r="A5617" s="3" t="s">
        <v>3319</v>
      </c>
      <c r="B5617" s="1" t="s">
        <v>2485</v>
      </c>
      <c r="C5617" s="1" t="s">
        <v>135</v>
      </c>
      <c r="D5617" s="1" t="s">
        <v>136</v>
      </c>
      <c r="E5617" s="1" t="s">
        <v>37</v>
      </c>
      <c r="F5617" s="2" t="s">
        <v>183</v>
      </c>
      <c r="G5617" s="1">
        <v>1040.8</v>
      </c>
      <c r="H5617" s="1">
        <v>5</v>
      </c>
      <c r="I5617" s="1">
        <v>281.01600000000002</v>
      </c>
    </row>
    <row r="5618" spans="1:9" x14ac:dyDescent="0.35">
      <c r="A5618" s="3" t="s">
        <v>3319</v>
      </c>
      <c r="B5618" s="1" t="s">
        <v>2485</v>
      </c>
      <c r="C5618" s="1" t="s">
        <v>135</v>
      </c>
      <c r="D5618" s="1" t="s">
        <v>136</v>
      </c>
      <c r="E5618" s="1" t="s">
        <v>31</v>
      </c>
      <c r="F5618" s="2" t="s">
        <v>999</v>
      </c>
      <c r="G5618" s="1">
        <v>29.34</v>
      </c>
      <c r="H5618" s="1">
        <v>6</v>
      </c>
      <c r="I5618" s="1">
        <v>7.9218000000000002</v>
      </c>
    </row>
    <row r="5619" spans="1:9" x14ac:dyDescent="0.35">
      <c r="A5619" s="3" t="s">
        <v>3206</v>
      </c>
      <c r="B5619" s="1" t="s">
        <v>16</v>
      </c>
      <c r="C5619" s="1" t="s">
        <v>170</v>
      </c>
      <c r="D5619" s="1" t="s">
        <v>171</v>
      </c>
      <c r="E5619" s="1" t="s">
        <v>29</v>
      </c>
      <c r="F5619" s="2" t="s">
        <v>1871</v>
      </c>
      <c r="G5619" s="1">
        <v>19.52</v>
      </c>
      <c r="H5619" s="1">
        <v>2</v>
      </c>
      <c r="I5619" s="1">
        <v>5.3680000000000003</v>
      </c>
    </row>
    <row r="5620" spans="1:9" x14ac:dyDescent="0.35">
      <c r="A5620" s="3" t="s">
        <v>3441</v>
      </c>
      <c r="B5620" s="1" t="s">
        <v>1756</v>
      </c>
      <c r="C5620" s="1" t="s">
        <v>461</v>
      </c>
      <c r="D5620" s="1" t="s">
        <v>18</v>
      </c>
      <c r="E5620" s="1" t="s">
        <v>26</v>
      </c>
      <c r="F5620" s="2" t="s">
        <v>58</v>
      </c>
      <c r="G5620" s="1">
        <v>443.92</v>
      </c>
      <c r="H5620" s="1">
        <v>4</v>
      </c>
      <c r="I5620" s="1">
        <v>8.8783999999999992</v>
      </c>
    </row>
    <row r="5621" spans="1:9" x14ac:dyDescent="0.35">
      <c r="A5621" s="3" t="s">
        <v>3499</v>
      </c>
      <c r="B5621" s="1" t="s">
        <v>1054</v>
      </c>
      <c r="C5621" s="1" t="s">
        <v>2790</v>
      </c>
      <c r="D5621" s="1" t="s">
        <v>57</v>
      </c>
      <c r="E5621" s="1" t="s">
        <v>81</v>
      </c>
      <c r="F5621" s="2" t="s">
        <v>563</v>
      </c>
      <c r="G5621" s="1">
        <v>499.95</v>
      </c>
      <c r="H5621" s="1">
        <v>5</v>
      </c>
      <c r="I5621" s="1">
        <v>174.98249999999999</v>
      </c>
    </row>
    <row r="5622" spans="1:9" x14ac:dyDescent="0.35">
      <c r="A5622" s="3" t="s">
        <v>3499</v>
      </c>
      <c r="B5622" s="1" t="s">
        <v>1054</v>
      </c>
      <c r="C5622" s="1" t="s">
        <v>2790</v>
      </c>
      <c r="D5622" s="1" t="s">
        <v>57</v>
      </c>
      <c r="E5622" s="1" t="s">
        <v>31</v>
      </c>
      <c r="F5622" s="2" t="s">
        <v>2123</v>
      </c>
      <c r="G5622" s="1">
        <v>3.04</v>
      </c>
      <c r="H5622" s="1">
        <v>1</v>
      </c>
      <c r="I5622" s="1">
        <v>1.0336000000000001</v>
      </c>
    </row>
    <row r="5623" spans="1:9" x14ac:dyDescent="0.35">
      <c r="A5623" s="3" t="s">
        <v>3499</v>
      </c>
      <c r="B5623" s="1" t="s">
        <v>1054</v>
      </c>
      <c r="C5623" s="1" t="s">
        <v>2790</v>
      </c>
      <c r="D5623" s="1" t="s">
        <v>57</v>
      </c>
      <c r="E5623" s="1" t="s">
        <v>14</v>
      </c>
      <c r="F5623" s="2" t="s">
        <v>102</v>
      </c>
      <c r="G5623" s="1">
        <v>201.96</v>
      </c>
      <c r="H5623" s="1">
        <v>2</v>
      </c>
      <c r="I5623" s="1">
        <v>50.49</v>
      </c>
    </row>
    <row r="5624" spans="1:9" x14ac:dyDescent="0.35">
      <c r="A5624" s="3" t="s">
        <v>3499</v>
      </c>
      <c r="B5624" s="1" t="s">
        <v>1054</v>
      </c>
      <c r="C5624" s="1" t="s">
        <v>2790</v>
      </c>
      <c r="D5624" s="1" t="s">
        <v>57</v>
      </c>
      <c r="E5624" s="1" t="s">
        <v>29</v>
      </c>
      <c r="F5624" s="2" t="s">
        <v>2434</v>
      </c>
      <c r="G5624" s="1">
        <v>68.64</v>
      </c>
      <c r="H5624" s="1">
        <v>11</v>
      </c>
      <c r="I5624" s="1">
        <v>17.16</v>
      </c>
    </row>
    <row r="5625" spans="1:9" x14ac:dyDescent="0.35">
      <c r="A5625" s="3" t="s">
        <v>3663</v>
      </c>
      <c r="B5625" s="1" t="s">
        <v>413</v>
      </c>
      <c r="C5625" s="1" t="s">
        <v>17</v>
      </c>
      <c r="D5625" s="1" t="s">
        <v>18</v>
      </c>
      <c r="E5625" s="1" t="s">
        <v>81</v>
      </c>
      <c r="F5625" s="2" t="s">
        <v>1795</v>
      </c>
      <c r="G5625" s="1">
        <v>100</v>
      </c>
      <c r="H5625" s="1">
        <v>4</v>
      </c>
      <c r="I5625" s="1">
        <v>21</v>
      </c>
    </row>
    <row r="5626" spans="1:9" x14ac:dyDescent="0.35">
      <c r="A5626" s="3" t="s">
        <v>3663</v>
      </c>
      <c r="B5626" s="1" t="s">
        <v>413</v>
      </c>
      <c r="C5626" s="1" t="s">
        <v>17</v>
      </c>
      <c r="D5626" s="1" t="s">
        <v>18</v>
      </c>
      <c r="E5626" s="1" t="s">
        <v>81</v>
      </c>
      <c r="F5626" s="2" t="s">
        <v>2202</v>
      </c>
      <c r="G5626" s="1">
        <v>359.98</v>
      </c>
      <c r="H5626" s="1">
        <v>2</v>
      </c>
      <c r="I5626" s="1">
        <v>21.598800000000001</v>
      </c>
    </row>
    <row r="5627" spans="1:9" x14ac:dyDescent="0.35">
      <c r="A5627" s="3" t="s">
        <v>3494</v>
      </c>
      <c r="B5627" s="1" t="s">
        <v>1626</v>
      </c>
      <c r="C5627" s="1" t="s">
        <v>47</v>
      </c>
      <c r="D5627" s="1" t="s">
        <v>48</v>
      </c>
      <c r="E5627" s="1" t="s">
        <v>29</v>
      </c>
      <c r="F5627" s="2" t="s">
        <v>132</v>
      </c>
      <c r="G5627" s="1">
        <v>6.16</v>
      </c>
      <c r="H5627" s="1">
        <v>2</v>
      </c>
      <c r="I5627" s="1">
        <v>2.9567999999999999</v>
      </c>
    </row>
    <row r="5628" spans="1:9" x14ac:dyDescent="0.35">
      <c r="A5628" s="3" t="s">
        <v>3494</v>
      </c>
      <c r="B5628" s="1" t="s">
        <v>1626</v>
      </c>
      <c r="C5628" s="1" t="s">
        <v>47</v>
      </c>
      <c r="D5628" s="1" t="s">
        <v>48</v>
      </c>
      <c r="E5628" s="1" t="s">
        <v>24</v>
      </c>
      <c r="F5628" s="2" t="s">
        <v>1633</v>
      </c>
      <c r="G5628" s="1">
        <v>2348.8200000000002</v>
      </c>
      <c r="H5628" s="1">
        <v>9</v>
      </c>
      <c r="I5628" s="1">
        <v>399.29939999999999</v>
      </c>
    </row>
    <row r="5629" spans="1:9" x14ac:dyDescent="0.35">
      <c r="A5629" s="3" t="s">
        <v>3420</v>
      </c>
      <c r="B5629" s="1" t="s">
        <v>466</v>
      </c>
      <c r="C5629" s="1" t="s">
        <v>672</v>
      </c>
      <c r="D5629" s="1" t="s">
        <v>23</v>
      </c>
      <c r="E5629" s="1" t="s">
        <v>19</v>
      </c>
      <c r="F5629" s="2" t="s">
        <v>514</v>
      </c>
      <c r="G5629" s="1">
        <v>13.872</v>
      </c>
      <c r="H5629" s="1">
        <v>6</v>
      </c>
      <c r="I5629" s="1">
        <v>4.6818</v>
      </c>
    </row>
    <row r="5630" spans="1:9" x14ac:dyDescent="0.35">
      <c r="A5630" s="3" t="s">
        <v>3420</v>
      </c>
      <c r="B5630" s="1" t="s">
        <v>466</v>
      </c>
      <c r="C5630" s="1" t="s">
        <v>672</v>
      </c>
      <c r="D5630" s="1" t="s">
        <v>23</v>
      </c>
      <c r="E5630" s="1" t="s">
        <v>14</v>
      </c>
      <c r="F5630" s="2" t="s">
        <v>2929</v>
      </c>
      <c r="G5630" s="1">
        <v>273.55200000000002</v>
      </c>
      <c r="H5630" s="1">
        <v>3</v>
      </c>
      <c r="I5630" s="1">
        <v>-13.6776</v>
      </c>
    </row>
    <row r="5631" spans="1:9" x14ac:dyDescent="0.35">
      <c r="A5631" s="3" t="s">
        <v>3634</v>
      </c>
      <c r="B5631" s="1" t="s">
        <v>221</v>
      </c>
      <c r="C5631" s="1" t="s">
        <v>74</v>
      </c>
      <c r="D5631" s="1" t="s">
        <v>75</v>
      </c>
      <c r="E5631" s="1" t="s">
        <v>24</v>
      </c>
      <c r="F5631" s="2" t="s">
        <v>1673</v>
      </c>
      <c r="G5631" s="1">
        <v>815.29200000000003</v>
      </c>
      <c r="H5631" s="1">
        <v>9</v>
      </c>
      <c r="I5631" s="1">
        <v>-339.70499999999998</v>
      </c>
    </row>
    <row r="5632" spans="1:9" x14ac:dyDescent="0.35">
      <c r="A5632" s="3">
        <v>41945</v>
      </c>
      <c r="B5632" s="1" t="s">
        <v>703</v>
      </c>
      <c r="C5632" s="1" t="s">
        <v>2009</v>
      </c>
      <c r="D5632" s="1" t="s">
        <v>163</v>
      </c>
      <c r="E5632" s="1" t="s">
        <v>81</v>
      </c>
      <c r="F5632" s="2" t="s">
        <v>859</v>
      </c>
      <c r="G5632" s="1">
        <v>234.45</v>
      </c>
      <c r="H5632" s="1">
        <v>3</v>
      </c>
      <c r="I5632" s="1">
        <v>103.158</v>
      </c>
    </row>
    <row r="5633" spans="1:9" x14ac:dyDescent="0.35">
      <c r="A5633" s="3">
        <v>41945</v>
      </c>
      <c r="B5633" s="1" t="s">
        <v>703</v>
      </c>
      <c r="C5633" s="1" t="s">
        <v>2009</v>
      </c>
      <c r="D5633" s="1" t="s">
        <v>163</v>
      </c>
      <c r="E5633" s="1" t="s">
        <v>24</v>
      </c>
      <c r="F5633" s="2" t="s">
        <v>1714</v>
      </c>
      <c r="G5633" s="1">
        <v>1256.22</v>
      </c>
      <c r="H5633" s="1">
        <v>6</v>
      </c>
      <c r="I5633" s="1">
        <v>75.373199999999997</v>
      </c>
    </row>
    <row r="5634" spans="1:9" x14ac:dyDescent="0.35">
      <c r="A5634" s="3">
        <v>41945</v>
      </c>
      <c r="B5634" s="1" t="s">
        <v>703</v>
      </c>
      <c r="C5634" s="1" t="s">
        <v>2009</v>
      </c>
      <c r="D5634" s="1" t="s">
        <v>163</v>
      </c>
      <c r="E5634" s="1" t="s">
        <v>35</v>
      </c>
      <c r="F5634" s="2" t="s">
        <v>117</v>
      </c>
      <c r="G5634" s="1">
        <v>17.46</v>
      </c>
      <c r="H5634" s="1">
        <v>2</v>
      </c>
      <c r="I5634" s="1">
        <v>8.2062000000000008</v>
      </c>
    </row>
    <row r="5635" spans="1:9" x14ac:dyDescent="0.35">
      <c r="A5635" s="3" t="s">
        <v>3443</v>
      </c>
      <c r="B5635" s="1" t="s">
        <v>2212</v>
      </c>
      <c r="C5635" s="1" t="s">
        <v>135</v>
      </c>
      <c r="D5635" s="1" t="s">
        <v>136</v>
      </c>
      <c r="E5635" s="1" t="s">
        <v>35</v>
      </c>
      <c r="F5635" s="2" t="s">
        <v>1096</v>
      </c>
      <c r="G5635" s="1">
        <v>10.528</v>
      </c>
      <c r="H5635" s="1">
        <v>7</v>
      </c>
      <c r="I5635" s="1">
        <v>3.6848000000000001</v>
      </c>
    </row>
    <row r="5636" spans="1:9" x14ac:dyDescent="0.35">
      <c r="A5636" s="3">
        <v>42136</v>
      </c>
      <c r="B5636" s="1" t="s">
        <v>2581</v>
      </c>
      <c r="C5636" s="1" t="s">
        <v>2930</v>
      </c>
      <c r="D5636" s="1" t="s">
        <v>120</v>
      </c>
      <c r="E5636" s="1" t="s">
        <v>35</v>
      </c>
      <c r="F5636" s="2" t="s">
        <v>1670</v>
      </c>
      <c r="G5636" s="1">
        <v>152.80000000000001</v>
      </c>
      <c r="H5636" s="1">
        <v>5</v>
      </c>
      <c r="I5636" s="1">
        <v>76.400000000000006</v>
      </c>
    </row>
    <row r="5637" spans="1:9" x14ac:dyDescent="0.35">
      <c r="A5637" s="3">
        <v>42803</v>
      </c>
      <c r="B5637" s="1" t="s">
        <v>1242</v>
      </c>
      <c r="C5637" s="1" t="s">
        <v>2931</v>
      </c>
      <c r="D5637" s="1" t="s">
        <v>18</v>
      </c>
      <c r="E5637" s="1" t="s">
        <v>35</v>
      </c>
      <c r="F5637" s="2" t="s">
        <v>636</v>
      </c>
      <c r="G5637" s="1">
        <v>82.56</v>
      </c>
      <c r="H5637" s="1">
        <v>5</v>
      </c>
      <c r="I5637" s="1">
        <v>28.896000000000001</v>
      </c>
    </row>
    <row r="5638" spans="1:9" x14ac:dyDescent="0.35">
      <c r="A5638" s="3">
        <v>42803</v>
      </c>
      <c r="B5638" s="1" t="s">
        <v>1242</v>
      </c>
      <c r="C5638" s="1" t="s">
        <v>2931</v>
      </c>
      <c r="D5638" s="1" t="s">
        <v>18</v>
      </c>
      <c r="E5638" s="1" t="s">
        <v>81</v>
      </c>
      <c r="F5638" s="2" t="s">
        <v>2536</v>
      </c>
      <c r="G5638" s="1">
        <v>284.97000000000003</v>
      </c>
      <c r="H5638" s="1">
        <v>3</v>
      </c>
      <c r="I5638" s="1">
        <v>85.491</v>
      </c>
    </row>
    <row r="5639" spans="1:9" x14ac:dyDescent="0.35">
      <c r="A5639" s="3" t="s">
        <v>3522</v>
      </c>
      <c r="B5639" s="1" t="s">
        <v>2208</v>
      </c>
      <c r="C5639" s="1" t="s">
        <v>945</v>
      </c>
      <c r="D5639" s="1" t="s">
        <v>120</v>
      </c>
      <c r="E5639" s="1" t="s">
        <v>29</v>
      </c>
      <c r="F5639" s="2" t="s">
        <v>2932</v>
      </c>
      <c r="G5639" s="1">
        <v>60.84</v>
      </c>
      <c r="H5639" s="1">
        <v>3</v>
      </c>
      <c r="I5639" s="1">
        <v>23.119199999999999</v>
      </c>
    </row>
    <row r="5640" spans="1:9" x14ac:dyDescent="0.35">
      <c r="A5640" s="3" t="s">
        <v>3664</v>
      </c>
      <c r="B5640" s="1" t="s">
        <v>1134</v>
      </c>
      <c r="C5640" s="1" t="s">
        <v>461</v>
      </c>
      <c r="D5640" s="1" t="s">
        <v>18</v>
      </c>
      <c r="E5640" s="1" t="s">
        <v>14</v>
      </c>
      <c r="F5640" s="2" t="s">
        <v>341</v>
      </c>
      <c r="G5640" s="1">
        <v>1325.76</v>
      </c>
      <c r="H5640" s="1">
        <v>6</v>
      </c>
      <c r="I5640" s="1">
        <v>149.148</v>
      </c>
    </row>
    <row r="5641" spans="1:9" x14ac:dyDescent="0.35">
      <c r="A5641" s="3" t="s">
        <v>3664</v>
      </c>
      <c r="B5641" s="1" t="s">
        <v>1134</v>
      </c>
      <c r="C5641" s="1" t="s">
        <v>461</v>
      </c>
      <c r="D5641" s="1" t="s">
        <v>18</v>
      </c>
      <c r="E5641" s="1" t="s">
        <v>14</v>
      </c>
      <c r="F5641" s="2" t="s">
        <v>842</v>
      </c>
      <c r="G5641" s="1">
        <v>572.16</v>
      </c>
      <c r="H5641" s="1">
        <v>3</v>
      </c>
      <c r="I5641" s="1">
        <v>35.76</v>
      </c>
    </row>
    <row r="5642" spans="1:9" x14ac:dyDescent="0.35">
      <c r="A5642" s="3" t="s">
        <v>3379</v>
      </c>
      <c r="B5642" s="1" t="s">
        <v>356</v>
      </c>
      <c r="C5642" s="1" t="s">
        <v>536</v>
      </c>
      <c r="D5642" s="1" t="s">
        <v>250</v>
      </c>
      <c r="E5642" s="1" t="s">
        <v>44</v>
      </c>
      <c r="F5642" s="2" t="s">
        <v>2888</v>
      </c>
      <c r="G5642" s="1">
        <v>28.8</v>
      </c>
      <c r="H5642" s="1">
        <v>9</v>
      </c>
      <c r="I5642" s="1">
        <v>10.08</v>
      </c>
    </row>
    <row r="5643" spans="1:9" x14ac:dyDescent="0.35">
      <c r="A5643" s="3">
        <v>42770</v>
      </c>
      <c r="B5643" s="1" t="s">
        <v>1461</v>
      </c>
      <c r="C5643" s="1" t="s">
        <v>1920</v>
      </c>
      <c r="D5643" s="1" t="s">
        <v>368</v>
      </c>
      <c r="E5643" s="1" t="s">
        <v>31</v>
      </c>
      <c r="F5643" s="2" t="s">
        <v>71</v>
      </c>
      <c r="G5643" s="1">
        <v>11.12</v>
      </c>
      <c r="H5643" s="1">
        <v>4</v>
      </c>
      <c r="I5643" s="1">
        <v>2.8912</v>
      </c>
    </row>
    <row r="5644" spans="1:9" x14ac:dyDescent="0.35">
      <c r="A5644" s="3">
        <v>42373</v>
      </c>
      <c r="B5644" s="1" t="s">
        <v>2255</v>
      </c>
      <c r="C5644" s="1" t="s">
        <v>249</v>
      </c>
      <c r="D5644" s="1" t="s">
        <v>604</v>
      </c>
      <c r="E5644" s="1" t="s">
        <v>29</v>
      </c>
      <c r="F5644" s="2" t="s">
        <v>491</v>
      </c>
      <c r="G5644" s="1">
        <v>7.04</v>
      </c>
      <c r="H5644" s="1">
        <v>4</v>
      </c>
      <c r="I5644" s="1">
        <v>3.0975999999999999</v>
      </c>
    </row>
    <row r="5645" spans="1:9" x14ac:dyDescent="0.35">
      <c r="A5645" s="3" t="s">
        <v>3665</v>
      </c>
      <c r="B5645" s="1" t="s">
        <v>2562</v>
      </c>
      <c r="C5645" s="1" t="s">
        <v>1416</v>
      </c>
      <c r="D5645" s="1" t="s">
        <v>604</v>
      </c>
      <c r="E5645" s="1" t="s">
        <v>87</v>
      </c>
      <c r="F5645" s="2" t="s">
        <v>2168</v>
      </c>
      <c r="G5645" s="1">
        <v>17.940000000000001</v>
      </c>
      <c r="H5645" s="1">
        <v>3</v>
      </c>
      <c r="I5645" s="1">
        <v>8.7905999999999995</v>
      </c>
    </row>
    <row r="5646" spans="1:9" x14ac:dyDescent="0.35">
      <c r="A5646" s="3" t="s">
        <v>3269</v>
      </c>
      <c r="B5646" s="1" t="s">
        <v>1192</v>
      </c>
      <c r="C5646" s="1" t="s">
        <v>47</v>
      </c>
      <c r="D5646" s="1" t="s">
        <v>48</v>
      </c>
      <c r="E5646" s="1" t="s">
        <v>35</v>
      </c>
      <c r="F5646" s="2" t="s">
        <v>943</v>
      </c>
      <c r="G5646" s="1">
        <v>34.76</v>
      </c>
      <c r="H5646" s="1">
        <v>5</v>
      </c>
      <c r="I5646" s="1">
        <v>11.297000000000001</v>
      </c>
    </row>
    <row r="5647" spans="1:9" x14ac:dyDescent="0.35">
      <c r="A5647" s="3" t="s">
        <v>3225</v>
      </c>
      <c r="B5647" s="1" t="s">
        <v>1607</v>
      </c>
      <c r="C5647" s="1" t="s">
        <v>482</v>
      </c>
      <c r="D5647" s="1" t="s">
        <v>388</v>
      </c>
      <c r="E5647" s="1" t="s">
        <v>29</v>
      </c>
      <c r="F5647" s="2" t="s">
        <v>1588</v>
      </c>
      <c r="G5647" s="1">
        <v>74.45</v>
      </c>
      <c r="H5647" s="1">
        <v>5</v>
      </c>
      <c r="I5647" s="1">
        <v>20.101500000000001</v>
      </c>
    </row>
    <row r="5648" spans="1:9" x14ac:dyDescent="0.35">
      <c r="A5648" s="3">
        <v>42095</v>
      </c>
      <c r="B5648" s="1" t="s">
        <v>497</v>
      </c>
      <c r="C5648" s="1" t="s">
        <v>1247</v>
      </c>
      <c r="D5648" s="1" t="s">
        <v>163</v>
      </c>
      <c r="E5648" s="1" t="s">
        <v>29</v>
      </c>
      <c r="F5648" s="2" t="s">
        <v>1677</v>
      </c>
      <c r="G5648" s="1">
        <v>192.22</v>
      </c>
      <c r="H5648" s="1">
        <v>14</v>
      </c>
      <c r="I5648" s="1">
        <v>69.199200000000005</v>
      </c>
    </row>
    <row r="5649" spans="1:9" x14ac:dyDescent="0.35">
      <c r="A5649" s="3">
        <v>42777</v>
      </c>
      <c r="B5649" s="1" t="s">
        <v>2446</v>
      </c>
      <c r="C5649" s="1" t="s">
        <v>2093</v>
      </c>
      <c r="D5649" s="1" t="s">
        <v>61</v>
      </c>
      <c r="E5649" s="1" t="s">
        <v>44</v>
      </c>
      <c r="F5649" s="2" t="s">
        <v>1033</v>
      </c>
      <c r="G5649" s="1">
        <v>19.440000000000001</v>
      </c>
      <c r="H5649" s="1">
        <v>3</v>
      </c>
      <c r="I5649" s="1">
        <v>9.3312000000000008</v>
      </c>
    </row>
    <row r="5650" spans="1:9" x14ac:dyDescent="0.35">
      <c r="A5650" s="3" t="s">
        <v>3563</v>
      </c>
      <c r="B5650" s="1" t="s">
        <v>1098</v>
      </c>
      <c r="C5650" s="1" t="s">
        <v>2416</v>
      </c>
      <c r="D5650" s="1" t="s">
        <v>18</v>
      </c>
      <c r="E5650" s="1" t="s">
        <v>44</v>
      </c>
      <c r="F5650" s="2" t="s">
        <v>2524</v>
      </c>
      <c r="G5650" s="1">
        <v>32.4</v>
      </c>
      <c r="H5650" s="1">
        <v>5</v>
      </c>
      <c r="I5650" s="1">
        <v>15.552</v>
      </c>
    </row>
    <row r="5651" spans="1:9" x14ac:dyDescent="0.35">
      <c r="A5651" s="3" t="s">
        <v>3563</v>
      </c>
      <c r="B5651" s="1" t="s">
        <v>1098</v>
      </c>
      <c r="C5651" s="1" t="s">
        <v>2416</v>
      </c>
      <c r="D5651" s="1" t="s">
        <v>18</v>
      </c>
      <c r="E5651" s="1" t="s">
        <v>87</v>
      </c>
      <c r="F5651" s="2" t="s">
        <v>2874</v>
      </c>
      <c r="G5651" s="1">
        <v>57.9</v>
      </c>
      <c r="H5651" s="1">
        <v>5</v>
      </c>
      <c r="I5651" s="1">
        <v>28.95</v>
      </c>
    </row>
    <row r="5652" spans="1:9" x14ac:dyDescent="0.35">
      <c r="A5652" s="3" t="s">
        <v>3563</v>
      </c>
      <c r="B5652" s="1" t="s">
        <v>1098</v>
      </c>
      <c r="C5652" s="1" t="s">
        <v>2416</v>
      </c>
      <c r="D5652" s="1" t="s">
        <v>18</v>
      </c>
      <c r="E5652" s="1" t="s">
        <v>26</v>
      </c>
      <c r="F5652" s="2" t="s">
        <v>2501</v>
      </c>
      <c r="G5652" s="1">
        <v>10.56</v>
      </c>
      <c r="H5652" s="1">
        <v>2</v>
      </c>
      <c r="I5652" s="1">
        <v>0</v>
      </c>
    </row>
    <row r="5653" spans="1:9" x14ac:dyDescent="0.35">
      <c r="A5653" s="3" t="s">
        <v>3563</v>
      </c>
      <c r="B5653" s="1" t="s">
        <v>1098</v>
      </c>
      <c r="C5653" s="1" t="s">
        <v>2416</v>
      </c>
      <c r="D5653" s="1" t="s">
        <v>18</v>
      </c>
      <c r="E5653" s="1" t="s">
        <v>12</v>
      </c>
      <c r="F5653" s="2" t="s">
        <v>376</v>
      </c>
      <c r="G5653" s="1">
        <v>1194.165</v>
      </c>
      <c r="H5653" s="1">
        <v>5</v>
      </c>
      <c r="I5653" s="1">
        <v>210.73500000000001</v>
      </c>
    </row>
    <row r="5654" spans="1:9" x14ac:dyDescent="0.35">
      <c r="A5654" s="3">
        <v>42896</v>
      </c>
      <c r="B5654" s="1" t="s">
        <v>625</v>
      </c>
      <c r="C5654" s="1" t="s">
        <v>135</v>
      </c>
      <c r="D5654" s="1" t="s">
        <v>136</v>
      </c>
      <c r="E5654" s="1" t="s">
        <v>44</v>
      </c>
      <c r="F5654" s="2" t="s">
        <v>2535</v>
      </c>
      <c r="G5654" s="1">
        <v>40.99</v>
      </c>
      <c r="H5654" s="1">
        <v>1</v>
      </c>
      <c r="I5654" s="1">
        <v>20.085100000000001</v>
      </c>
    </row>
    <row r="5655" spans="1:9" x14ac:dyDescent="0.35">
      <c r="A5655" s="3">
        <v>41740</v>
      </c>
      <c r="B5655" s="1" t="s">
        <v>990</v>
      </c>
      <c r="C5655" s="1" t="s">
        <v>559</v>
      </c>
      <c r="D5655" s="1" t="s">
        <v>18</v>
      </c>
      <c r="E5655" s="1" t="s">
        <v>31</v>
      </c>
      <c r="F5655" s="2" t="s">
        <v>293</v>
      </c>
      <c r="G5655" s="1">
        <v>2.94</v>
      </c>
      <c r="H5655" s="1">
        <v>1</v>
      </c>
      <c r="I5655" s="1">
        <v>0.79379999999999995</v>
      </c>
    </row>
    <row r="5656" spans="1:9" x14ac:dyDescent="0.35">
      <c r="A5656" s="3" t="s">
        <v>3406</v>
      </c>
      <c r="B5656" s="1" t="s">
        <v>2052</v>
      </c>
      <c r="C5656" s="1" t="s">
        <v>909</v>
      </c>
      <c r="D5656" s="1" t="s">
        <v>212</v>
      </c>
      <c r="E5656" s="1" t="s">
        <v>35</v>
      </c>
      <c r="F5656" s="2" t="s">
        <v>805</v>
      </c>
      <c r="G5656" s="1">
        <v>45.24</v>
      </c>
      <c r="H5656" s="1">
        <v>4</v>
      </c>
      <c r="I5656" s="1">
        <v>-30.16</v>
      </c>
    </row>
    <row r="5657" spans="1:9" x14ac:dyDescent="0.35">
      <c r="A5657" s="3" t="s">
        <v>3406</v>
      </c>
      <c r="B5657" s="1" t="s">
        <v>2052</v>
      </c>
      <c r="C5657" s="1" t="s">
        <v>909</v>
      </c>
      <c r="D5657" s="1" t="s">
        <v>212</v>
      </c>
      <c r="E5657" s="1" t="s">
        <v>31</v>
      </c>
      <c r="F5657" s="2" t="s">
        <v>915</v>
      </c>
      <c r="G5657" s="1">
        <v>18.687999999999999</v>
      </c>
      <c r="H5657" s="1">
        <v>4</v>
      </c>
      <c r="I5657" s="1">
        <v>2.3359999999999999</v>
      </c>
    </row>
    <row r="5658" spans="1:9" x14ac:dyDescent="0.35">
      <c r="A5658" s="3" t="s">
        <v>3406</v>
      </c>
      <c r="B5658" s="1" t="s">
        <v>2052</v>
      </c>
      <c r="C5658" s="1" t="s">
        <v>909</v>
      </c>
      <c r="D5658" s="1" t="s">
        <v>212</v>
      </c>
      <c r="E5658" s="1" t="s">
        <v>44</v>
      </c>
      <c r="F5658" s="2" t="s">
        <v>2920</v>
      </c>
      <c r="G5658" s="1">
        <v>11.648</v>
      </c>
      <c r="H5658" s="1">
        <v>2</v>
      </c>
      <c r="I5658" s="1">
        <v>3.7856000000000001</v>
      </c>
    </row>
    <row r="5659" spans="1:9" x14ac:dyDescent="0.35">
      <c r="A5659" s="3" t="s">
        <v>3406</v>
      </c>
      <c r="B5659" s="1" t="s">
        <v>2052</v>
      </c>
      <c r="C5659" s="1" t="s">
        <v>909</v>
      </c>
      <c r="D5659" s="1" t="s">
        <v>212</v>
      </c>
      <c r="E5659" s="1" t="s">
        <v>81</v>
      </c>
      <c r="F5659" s="2" t="s">
        <v>792</v>
      </c>
      <c r="G5659" s="1">
        <v>112.776</v>
      </c>
      <c r="H5659" s="1">
        <v>3</v>
      </c>
      <c r="I5659" s="1">
        <v>-8.4581999999999997</v>
      </c>
    </row>
    <row r="5660" spans="1:9" x14ac:dyDescent="0.35">
      <c r="A5660" s="3" t="s">
        <v>3406</v>
      </c>
      <c r="B5660" s="1" t="s">
        <v>2052</v>
      </c>
      <c r="C5660" s="1" t="s">
        <v>909</v>
      </c>
      <c r="D5660" s="1" t="s">
        <v>212</v>
      </c>
      <c r="E5660" s="1" t="s">
        <v>24</v>
      </c>
      <c r="F5660" s="2" t="s">
        <v>1673</v>
      </c>
      <c r="G5660" s="1">
        <v>377.45</v>
      </c>
      <c r="H5660" s="1">
        <v>5</v>
      </c>
      <c r="I5660" s="1">
        <v>-264.21499999999997</v>
      </c>
    </row>
    <row r="5661" spans="1:9" x14ac:dyDescent="0.35">
      <c r="A5661" s="3" t="s">
        <v>3406</v>
      </c>
      <c r="B5661" s="1" t="s">
        <v>2052</v>
      </c>
      <c r="C5661" s="1" t="s">
        <v>909</v>
      </c>
      <c r="D5661" s="1" t="s">
        <v>212</v>
      </c>
      <c r="E5661" s="1" t="s">
        <v>19</v>
      </c>
      <c r="F5661" s="2" t="s">
        <v>2507</v>
      </c>
      <c r="G5661" s="1">
        <v>15.936</v>
      </c>
      <c r="H5661" s="1">
        <v>4</v>
      </c>
      <c r="I5661" s="1">
        <v>5.1791999999999998</v>
      </c>
    </row>
    <row r="5662" spans="1:9" x14ac:dyDescent="0.35">
      <c r="A5662" s="3" t="s">
        <v>3406</v>
      </c>
      <c r="B5662" s="1" t="s">
        <v>2052</v>
      </c>
      <c r="C5662" s="1" t="s">
        <v>909</v>
      </c>
      <c r="D5662" s="1" t="s">
        <v>212</v>
      </c>
      <c r="E5662" s="1" t="s">
        <v>33</v>
      </c>
      <c r="F5662" s="2" t="s">
        <v>2281</v>
      </c>
      <c r="G5662" s="1">
        <v>28.68</v>
      </c>
      <c r="H5662" s="1">
        <v>3</v>
      </c>
      <c r="I5662" s="1">
        <v>-7.17</v>
      </c>
    </row>
    <row r="5663" spans="1:9" x14ac:dyDescent="0.35">
      <c r="A5663" s="3" t="s">
        <v>3644</v>
      </c>
      <c r="B5663" s="1" t="s">
        <v>2319</v>
      </c>
      <c r="C5663" s="1" t="s">
        <v>228</v>
      </c>
      <c r="D5663" s="1" t="s">
        <v>229</v>
      </c>
      <c r="E5663" s="1" t="s">
        <v>29</v>
      </c>
      <c r="F5663" s="2" t="s">
        <v>532</v>
      </c>
      <c r="G5663" s="1">
        <v>21.44</v>
      </c>
      <c r="H5663" s="1">
        <v>2</v>
      </c>
      <c r="I5663" s="1">
        <v>7.5039999999999996</v>
      </c>
    </row>
    <row r="5664" spans="1:9" x14ac:dyDescent="0.35">
      <c r="A5664" s="3" t="s">
        <v>3644</v>
      </c>
      <c r="B5664" s="1" t="s">
        <v>2319</v>
      </c>
      <c r="C5664" s="1" t="s">
        <v>228</v>
      </c>
      <c r="D5664" s="1" t="s">
        <v>229</v>
      </c>
      <c r="E5664" s="1" t="s">
        <v>26</v>
      </c>
      <c r="F5664" s="2" t="s">
        <v>1757</v>
      </c>
      <c r="G5664" s="1">
        <v>511.05599999999998</v>
      </c>
      <c r="H5664" s="1">
        <v>9</v>
      </c>
      <c r="I5664" s="1">
        <v>-95.822999999999993</v>
      </c>
    </row>
    <row r="5665" spans="1:9" x14ac:dyDescent="0.35">
      <c r="A5665" s="3" t="s">
        <v>3666</v>
      </c>
      <c r="B5665" s="1" t="s">
        <v>2474</v>
      </c>
      <c r="C5665" s="1" t="s">
        <v>303</v>
      </c>
      <c r="D5665" s="1" t="s">
        <v>250</v>
      </c>
      <c r="E5665" s="1" t="s">
        <v>31</v>
      </c>
      <c r="F5665" s="2" t="s">
        <v>2933</v>
      </c>
      <c r="G5665" s="1">
        <v>18.655999999999999</v>
      </c>
      <c r="H5665" s="1">
        <v>2</v>
      </c>
      <c r="I5665" s="1">
        <v>1.3992</v>
      </c>
    </row>
    <row r="5666" spans="1:9" x14ac:dyDescent="0.35">
      <c r="A5666" s="3" t="s">
        <v>3666</v>
      </c>
      <c r="B5666" s="1" t="s">
        <v>2474</v>
      </c>
      <c r="C5666" s="1" t="s">
        <v>303</v>
      </c>
      <c r="D5666" s="1" t="s">
        <v>250</v>
      </c>
      <c r="E5666" s="1" t="s">
        <v>35</v>
      </c>
      <c r="F5666" s="2" t="s">
        <v>1819</v>
      </c>
      <c r="G5666" s="1">
        <v>11.087999999999999</v>
      </c>
      <c r="H5666" s="1">
        <v>7</v>
      </c>
      <c r="I5666" s="1">
        <v>-8.1311999999999998</v>
      </c>
    </row>
    <row r="5667" spans="1:9" x14ac:dyDescent="0.35">
      <c r="A5667" s="3" t="s">
        <v>3666</v>
      </c>
      <c r="B5667" s="1" t="s">
        <v>2474</v>
      </c>
      <c r="C5667" s="1" t="s">
        <v>303</v>
      </c>
      <c r="D5667" s="1" t="s">
        <v>250</v>
      </c>
      <c r="E5667" s="1" t="s">
        <v>26</v>
      </c>
      <c r="F5667" s="2" t="s">
        <v>455</v>
      </c>
      <c r="G5667" s="1">
        <v>66.688000000000002</v>
      </c>
      <c r="H5667" s="1">
        <v>1</v>
      </c>
      <c r="I5667" s="1">
        <v>4.1680000000000001</v>
      </c>
    </row>
    <row r="5668" spans="1:9" x14ac:dyDescent="0.35">
      <c r="A5668" s="3" t="s">
        <v>3666</v>
      </c>
      <c r="B5668" s="1" t="s">
        <v>2474</v>
      </c>
      <c r="C5668" s="1" t="s">
        <v>303</v>
      </c>
      <c r="D5668" s="1" t="s">
        <v>250</v>
      </c>
      <c r="E5668" s="1" t="s">
        <v>26</v>
      </c>
      <c r="F5668" s="2" t="s">
        <v>1400</v>
      </c>
      <c r="G5668" s="1">
        <v>99.488</v>
      </c>
      <c r="H5668" s="1">
        <v>2</v>
      </c>
      <c r="I5668" s="1">
        <v>8.7051999999999996</v>
      </c>
    </row>
    <row r="5669" spans="1:9" x14ac:dyDescent="0.35">
      <c r="A5669" s="3">
        <v>42680</v>
      </c>
      <c r="B5669" s="1" t="s">
        <v>1248</v>
      </c>
      <c r="C5669" s="1" t="s">
        <v>47</v>
      </c>
      <c r="D5669" s="1" t="s">
        <v>48</v>
      </c>
      <c r="E5669" s="1" t="s">
        <v>19</v>
      </c>
      <c r="F5669" s="2" t="s">
        <v>1177</v>
      </c>
      <c r="G5669" s="1">
        <v>14.62</v>
      </c>
      <c r="H5669" s="1">
        <v>2</v>
      </c>
      <c r="I5669" s="1">
        <v>6.8714000000000004</v>
      </c>
    </row>
    <row r="5670" spans="1:9" x14ac:dyDescent="0.35">
      <c r="A5670" s="3">
        <v>42680</v>
      </c>
      <c r="B5670" s="1" t="s">
        <v>1248</v>
      </c>
      <c r="C5670" s="1" t="s">
        <v>47</v>
      </c>
      <c r="D5670" s="1" t="s">
        <v>48</v>
      </c>
      <c r="E5670" s="1" t="s">
        <v>35</v>
      </c>
      <c r="F5670" s="2" t="s">
        <v>965</v>
      </c>
      <c r="G5670" s="1">
        <v>53.984000000000002</v>
      </c>
      <c r="H5670" s="1">
        <v>14</v>
      </c>
      <c r="I5670" s="1">
        <v>17.544799999999999</v>
      </c>
    </row>
    <row r="5671" spans="1:9" x14ac:dyDescent="0.35">
      <c r="A5671" s="3">
        <v>42680</v>
      </c>
      <c r="B5671" s="1" t="s">
        <v>1248</v>
      </c>
      <c r="C5671" s="1" t="s">
        <v>47</v>
      </c>
      <c r="D5671" s="1" t="s">
        <v>48</v>
      </c>
      <c r="E5671" s="1" t="s">
        <v>81</v>
      </c>
      <c r="F5671" s="2" t="s">
        <v>2163</v>
      </c>
      <c r="G5671" s="1">
        <v>389.97</v>
      </c>
      <c r="H5671" s="1">
        <v>3</v>
      </c>
      <c r="I5671" s="1">
        <v>132.5898</v>
      </c>
    </row>
    <row r="5672" spans="1:9" x14ac:dyDescent="0.35">
      <c r="A5672" s="3">
        <v>42253</v>
      </c>
      <c r="B5672" s="1" t="s">
        <v>897</v>
      </c>
      <c r="C5672" s="1" t="s">
        <v>2934</v>
      </c>
      <c r="D5672" s="1" t="s">
        <v>2459</v>
      </c>
      <c r="E5672" s="1" t="s">
        <v>29</v>
      </c>
      <c r="F5672" s="2" t="s">
        <v>2903</v>
      </c>
      <c r="G5672" s="1">
        <v>355.36</v>
      </c>
      <c r="H5672" s="1">
        <v>4</v>
      </c>
      <c r="I5672" s="1">
        <v>92.393600000000006</v>
      </c>
    </row>
    <row r="5673" spans="1:9" x14ac:dyDescent="0.35">
      <c r="A5673" s="3">
        <v>42253</v>
      </c>
      <c r="B5673" s="1" t="s">
        <v>897</v>
      </c>
      <c r="C5673" s="1" t="s">
        <v>2934</v>
      </c>
      <c r="D5673" s="1" t="s">
        <v>2459</v>
      </c>
      <c r="E5673" s="1" t="s">
        <v>33</v>
      </c>
      <c r="F5673" s="2" t="s">
        <v>2858</v>
      </c>
      <c r="G5673" s="1">
        <v>140.376</v>
      </c>
      <c r="H5673" s="1">
        <v>3</v>
      </c>
      <c r="I5673" s="1">
        <v>8.7735000000000003</v>
      </c>
    </row>
    <row r="5674" spans="1:9" x14ac:dyDescent="0.35">
      <c r="A5674" s="3" t="s">
        <v>3357</v>
      </c>
      <c r="B5674" s="1" t="s">
        <v>292</v>
      </c>
      <c r="C5674" s="1" t="s">
        <v>399</v>
      </c>
      <c r="D5674" s="1" t="s">
        <v>52</v>
      </c>
      <c r="E5674" s="1" t="s">
        <v>87</v>
      </c>
      <c r="F5674" s="2" t="s">
        <v>2752</v>
      </c>
      <c r="G5674" s="1">
        <v>15.84</v>
      </c>
      <c r="H5674" s="1">
        <v>2</v>
      </c>
      <c r="I5674" s="1">
        <v>5.5439999999999996</v>
      </c>
    </row>
    <row r="5675" spans="1:9" x14ac:dyDescent="0.35">
      <c r="A5675" s="3" t="s">
        <v>3357</v>
      </c>
      <c r="B5675" s="1" t="s">
        <v>292</v>
      </c>
      <c r="C5675" s="1" t="s">
        <v>399</v>
      </c>
      <c r="D5675" s="1" t="s">
        <v>52</v>
      </c>
      <c r="E5675" s="1" t="s">
        <v>44</v>
      </c>
      <c r="F5675" s="2" t="s">
        <v>933</v>
      </c>
      <c r="G5675" s="1">
        <v>8.4480000000000004</v>
      </c>
      <c r="H5675" s="1">
        <v>2</v>
      </c>
      <c r="I5675" s="1">
        <v>2.64</v>
      </c>
    </row>
    <row r="5676" spans="1:9" x14ac:dyDescent="0.35">
      <c r="A5676" s="3" t="s">
        <v>3233</v>
      </c>
      <c r="B5676" s="1" t="s">
        <v>1798</v>
      </c>
      <c r="C5676" s="1" t="s">
        <v>47</v>
      </c>
      <c r="D5676" s="1" t="s">
        <v>48</v>
      </c>
      <c r="E5676" s="1" t="s">
        <v>44</v>
      </c>
      <c r="F5676" s="2" t="s">
        <v>1133</v>
      </c>
      <c r="G5676" s="1">
        <v>12.96</v>
      </c>
      <c r="H5676" s="1">
        <v>2</v>
      </c>
      <c r="I5676" s="1">
        <v>6.2207999999999997</v>
      </c>
    </row>
    <row r="5677" spans="1:9" x14ac:dyDescent="0.35">
      <c r="A5677" s="3" t="s">
        <v>3667</v>
      </c>
      <c r="B5677" s="1" t="s">
        <v>2150</v>
      </c>
      <c r="C5677" s="1" t="s">
        <v>47</v>
      </c>
      <c r="D5677" s="1" t="s">
        <v>48</v>
      </c>
      <c r="E5677" s="1" t="s">
        <v>33</v>
      </c>
      <c r="F5677" s="2" t="s">
        <v>377</v>
      </c>
      <c r="G5677" s="1">
        <v>57.408000000000001</v>
      </c>
      <c r="H5677" s="1">
        <v>6</v>
      </c>
      <c r="I5677" s="1">
        <v>5.7408000000000001</v>
      </c>
    </row>
    <row r="5678" spans="1:9" x14ac:dyDescent="0.35">
      <c r="A5678" s="3" t="s">
        <v>3667</v>
      </c>
      <c r="B5678" s="1" t="s">
        <v>2150</v>
      </c>
      <c r="C5678" s="1" t="s">
        <v>47</v>
      </c>
      <c r="D5678" s="1" t="s">
        <v>48</v>
      </c>
      <c r="E5678" s="1" t="s">
        <v>81</v>
      </c>
      <c r="F5678" s="2" t="s">
        <v>2812</v>
      </c>
      <c r="G5678" s="1">
        <v>27.6</v>
      </c>
      <c r="H5678" s="1">
        <v>4</v>
      </c>
      <c r="I5678" s="1">
        <v>2.2080000000000002</v>
      </c>
    </row>
    <row r="5679" spans="1:9" x14ac:dyDescent="0.35">
      <c r="A5679" s="3" t="s">
        <v>3490</v>
      </c>
      <c r="B5679" s="1" t="s">
        <v>908</v>
      </c>
      <c r="C5679" s="1" t="s">
        <v>154</v>
      </c>
      <c r="D5679" s="1" t="s">
        <v>106</v>
      </c>
      <c r="E5679" s="1" t="s">
        <v>29</v>
      </c>
      <c r="F5679" s="2" t="s">
        <v>2539</v>
      </c>
      <c r="G5679" s="1">
        <v>38.975999999999999</v>
      </c>
      <c r="H5679" s="1">
        <v>3</v>
      </c>
      <c r="I5679" s="1">
        <v>-50.668799999999997</v>
      </c>
    </row>
    <row r="5680" spans="1:9" x14ac:dyDescent="0.35">
      <c r="A5680" s="3" t="s">
        <v>3668</v>
      </c>
      <c r="B5680" s="1" t="s">
        <v>2345</v>
      </c>
      <c r="C5680" s="1" t="s">
        <v>2935</v>
      </c>
      <c r="D5680" s="1" t="s">
        <v>120</v>
      </c>
      <c r="E5680" s="1" t="s">
        <v>137</v>
      </c>
      <c r="F5680" s="2" t="s">
        <v>281</v>
      </c>
      <c r="G5680" s="1">
        <v>20.440000000000001</v>
      </c>
      <c r="H5680" s="1">
        <v>7</v>
      </c>
      <c r="I5680" s="1">
        <v>9.1980000000000004</v>
      </c>
    </row>
    <row r="5681" spans="1:9" x14ac:dyDescent="0.35">
      <c r="A5681" s="3" t="s">
        <v>3668</v>
      </c>
      <c r="B5681" s="1" t="s">
        <v>2345</v>
      </c>
      <c r="C5681" s="1" t="s">
        <v>2935</v>
      </c>
      <c r="D5681" s="1" t="s">
        <v>120</v>
      </c>
      <c r="E5681" s="1" t="s">
        <v>44</v>
      </c>
      <c r="F5681" s="2" t="s">
        <v>926</v>
      </c>
      <c r="G5681" s="1">
        <v>109.92</v>
      </c>
      <c r="H5681" s="1">
        <v>2</v>
      </c>
      <c r="I5681" s="1">
        <v>53.860799999999998</v>
      </c>
    </row>
    <row r="5682" spans="1:9" x14ac:dyDescent="0.35">
      <c r="A5682" s="3" t="s">
        <v>3644</v>
      </c>
      <c r="B5682" s="1" t="s">
        <v>1943</v>
      </c>
      <c r="C5682" s="1" t="s">
        <v>2700</v>
      </c>
      <c r="D5682" s="1" t="s">
        <v>322</v>
      </c>
      <c r="E5682" s="1" t="s">
        <v>35</v>
      </c>
      <c r="F5682" s="2" t="s">
        <v>1995</v>
      </c>
      <c r="G5682" s="1">
        <v>6.38</v>
      </c>
      <c r="H5682" s="1">
        <v>1</v>
      </c>
      <c r="I5682" s="1">
        <v>2.9348000000000001</v>
      </c>
    </row>
    <row r="5683" spans="1:9" x14ac:dyDescent="0.35">
      <c r="A5683" s="3" t="s">
        <v>3644</v>
      </c>
      <c r="B5683" s="1" t="s">
        <v>1943</v>
      </c>
      <c r="C5683" s="1" t="s">
        <v>2700</v>
      </c>
      <c r="D5683" s="1" t="s">
        <v>322</v>
      </c>
      <c r="E5683" s="1" t="s">
        <v>44</v>
      </c>
      <c r="F5683" s="2" t="s">
        <v>143</v>
      </c>
      <c r="G5683" s="1">
        <v>6.48</v>
      </c>
      <c r="H5683" s="1">
        <v>1</v>
      </c>
      <c r="I5683" s="1">
        <v>3.1103999999999998</v>
      </c>
    </row>
    <row r="5684" spans="1:9" x14ac:dyDescent="0.35">
      <c r="A5684" s="3">
        <v>41674</v>
      </c>
      <c r="B5684" s="1" t="s">
        <v>1309</v>
      </c>
      <c r="C5684" s="1" t="s">
        <v>2817</v>
      </c>
      <c r="D5684" s="1" t="s">
        <v>604</v>
      </c>
      <c r="E5684" s="1" t="s">
        <v>44</v>
      </c>
      <c r="F5684" s="2" t="s">
        <v>2723</v>
      </c>
      <c r="G5684" s="1">
        <v>15.84</v>
      </c>
      <c r="H5684" s="1">
        <v>3</v>
      </c>
      <c r="I5684" s="1">
        <v>7.1280000000000001</v>
      </c>
    </row>
    <row r="5685" spans="1:9" x14ac:dyDescent="0.35">
      <c r="A5685" s="3">
        <v>41674</v>
      </c>
      <c r="B5685" s="1" t="s">
        <v>1309</v>
      </c>
      <c r="C5685" s="1" t="s">
        <v>2817</v>
      </c>
      <c r="D5685" s="1" t="s">
        <v>604</v>
      </c>
      <c r="E5685" s="1" t="s">
        <v>33</v>
      </c>
      <c r="F5685" s="2" t="s">
        <v>2533</v>
      </c>
      <c r="G5685" s="1">
        <v>1049.93</v>
      </c>
      <c r="H5685" s="1">
        <v>7</v>
      </c>
      <c r="I5685" s="1">
        <v>293.98039999999997</v>
      </c>
    </row>
    <row r="5686" spans="1:9" x14ac:dyDescent="0.35">
      <c r="A5686" s="3">
        <v>41674</v>
      </c>
      <c r="B5686" s="1" t="s">
        <v>1309</v>
      </c>
      <c r="C5686" s="1" t="s">
        <v>2817</v>
      </c>
      <c r="D5686" s="1" t="s">
        <v>604</v>
      </c>
      <c r="E5686" s="1" t="s">
        <v>37</v>
      </c>
      <c r="F5686" s="2" t="s">
        <v>2108</v>
      </c>
      <c r="G5686" s="1">
        <v>154.9</v>
      </c>
      <c r="H5686" s="1">
        <v>5</v>
      </c>
      <c r="I5686" s="1">
        <v>40.274000000000001</v>
      </c>
    </row>
    <row r="5687" spans="1:9" x14ac:dyDescent="0.35">
      <c r="A5687" s="3">
        <v>42135</v>
      </c>
      <c r="B5687" s="1" t="s">
        <v>446</v>
      </c>
      <c r="C5687" s="1" t="s">
        <v>47</v>
      </c>
      <c r="D5687" s="1" t="s">
        <v>48</v>
      </c>
      <c r="E5687" s="1" t="s">
        <v>35</v>
      </c>
      <c r="F5687" s="2" t="s">
        <v>232</v>
      </c>
      <c r="G5687" s="1">
        <v>98.352000000000004</v>
      </c>
      <c r="H5687" s="1">
        <v>3</v>
      </c>
      <c r="I5687" s="1">
        <v>35.6526</v>
      </c>
    </row>
    <row r="5688" spans="1:9" x14ac:dyDescent="0.35">
      <c r="A5688" s="3" t="s">
        <v>3669</v>
      </c>
      <c r="B5688" s="1" t="s">
        <v>921</v>
      </c>
      <c r="C5688" s="1" t="s">
        <v>1961</v>
      </c>
      <c r="D5688" s="1" t="s">
        <v>23</v>
      </c>
      <c r="E5688" s="1" t="s">
        <v>137</v>
      </c>
      <c r="F5688" s="2" t="s">
        <v>251</v>
      </c>
      <c r="G5688" s="1">
        <v>14.32</v>
      </c>
      <c r="H5688" s="1">
        <v>5</v>
      </c>
      <c r="I5688" s="1">
        <v>5.1909999999999998</v>
      </c>
    </row>
    <row r="5689" spans="1:9" x14ac:dyDescent="0.35">
      <c r="A5689" s="3" t="s">
        <v>3669</v>
      </c>
      <c r="B5689" s="1" t="s">
        <v>921</v>
      </c>
      <c r="C5689" s="1" t="s">
        <v>1961</v>
      </c>
      <c r="D5689" s="1" t="s">
        <v>23</v>
      </c>
      <c r="E5689" s="1" t="s">
        <v>29</v>
      </c>
      <c r="F5689" s="2" t="s">
        <v>2066</v>
      </c>
      <c r="G5689" s="1">
        <v>129.88800000000001</v>
      </c>
      <c r="H5689" s="1">
        <v>6</v>
      </c>
      <c r="I5689" s="1">
        <v>12.988799999999999</v>
      </c>
    </row>
    <row r="5690" spans="1:9" x14ac:dyDescent="0.35">
      <c r="A5690" s="3" t="s">
        <v>3669</v>
      </c>
      <c r="B5690" s="1" t="s">
        <v>921</v>
      </c>
      <c r="C5690" s="1" t="s">
        <v>1961</v>
      </c>
      <c r="D5690" s="1" t="s">
        <v>23</v>
      </c>
      <c r="E5690" s="1" t="s">
        <v>87</v>
      </c>
      <c r="F5690" s="2" t="s">
        <v>1299</v>
      </c>
      <c r="G5690" s="1">
        <v>48.944000000000003</v>
      </c>
      <c r="H5690" s="1">
        <v>7</v>
      </c>
      <c r="I5690" s="1">
        <v>16.518599999999999</v>
      </c>
    </row>
    <row r="5691" spans="1:9" x14ac:dyDescent="0.35">
      <c r="A5691" s="3" t="s">
        <v>3632</v>
      </c>
      <c r="B5691" s="1" t="s">
        <v>210</v>
      </c>
      <c r="C5691" s="1" t="s">
        <v>93</v>
      </c>
      <c r="D5691" s="1" t="s">
        <v>52</v>
      </c>
      <c r="E5691" s="1" t="s">
        <v>14</v>
      </c>
      <c r="F5691" s="2" t="s">
        <v>2909</v>
      </c>
      <c r="G5691" s="1">
        <v>275.05799999999999</v>
      </c>
      <c r="H5691" s="1">
        <v>3</v>
      </c>
      <c r="I5691" s="1">
        <v>-90.376199999999997</v>
      </c>
    </row>
    <row r="5692" spans="1:9" x14ac:dyDescent="0.35">
      <c r="A5692" s="3">
        <v>42289</v>
      </c>
      <c r="B5692" s="1" t="s">
        <v>1324</v>
      </c>
      <c r="C5692" s="1" t="s">
        <v>1875</v>
      </c>
      <c r="D5692" s="1" t="s">
        <v>1217</v>
      </c>
      <c r="E5692" s="1" t="s">
        <v>31</v>
      </c>
      <c r="F5692" s="2" t="s">
        <v>2123</v>
      </c>
      <c r="G5692" s="1">
        <v>27.36</v>
      </c>
      <c r="H5692" s="1">
        <v>9</v>
      </c>
      <c r="I5692" s="1">
        <v>9.3024000000000004</v>
      </c>
    </row>
    <row r="5693" spans="1:9" x14ac:dyDescent="0.35">
      <c r="A5693" s="3">
        <v>42289</v>
      </c>
      <c r="B5693" s="1" t="s">
        <v>1324</v>
      </c>
      <c r="C5693" s="1" t="s">
        <v>1875</v>
      </c>
      <c r="D5693" s="1" t="s">
        <v>1217</v>
      </c>
      <c r="E5693" s="1" t="s">
        <v>44</v>
      </c>
      <c r="F5693" s="2" t="s">
        <v>767</v>
      </c>
      <c r="G5693" s="1">
        <v>44.75</v>
      </c>
      <c r="H5693" s="1">
        <v>5</v>
      </c>
      <c r="I5693" s="1">
        <v>20.585000000000001</v>
      </c>
    </row>
    <row r="5694" spans="1:9" x14ac:dyDescent="0.35">
      <c r="A5694" s="3">
        <v>42289</v>
      </c>
      <c r="B5694" s="1" t="s">
        <v>1324</v>
      </c>
      <c r="C5694" s="1" t="s">
        <v>1875</v>
      </c>
      <c r="D5694" s="1" t="s">
        <v>1217</v>
      </c>
      <c r="E5694" s="1" t="s">
        <v>33</v>
      </c>
      <c r="F5694" s="2" t="s">
        <v>934</v>
      </c>
      <c r="G5694" s="1">
        <v>134.99</v>
      </c>
      <c r="H5694" s="1">
        <v>1</v>
      </c>
      <c r="I5694" s="1">
        <v>36.447299999999998</v>
      </c>
    </row>
    <row r="5695" spans="1:9" x14ac:dyDescent="0.35">
      <c r="A5695" s="3">
        <v>42289</v>
      </c>
      <c r="B5695" s="1" t="s">
        <v>1324</v>
      </c>
      <c r="C5695" s="1" t="s">
        <v>1875</v>
      </c>
      <c r="D5695" s="1" t="s">
        <v>1217</v>
      </c>
      <c r="E5695" s="1" t="s">
        <v>44</v>
      </c>
      <c r="F5695" s="2" t="s">
        <v>2854</v>
      </c>
      <c r="G5695" s="1">
        <v>26.4</v>
      </c>
      <c r="H5695" s="1">
        <v>5</v>
      </c>
      <c r="I5695" s="1">
        <v>12.672000000000001</v>
      </c>
    </row>
    <row r="5696" spans="1:9" x14ac:dyDescent="0.35">
      <c r="A5696" s="3">
        <v>42289</v>
      </c>
      <c r="B5696" s="1" t="s">
        <v>1324</v>
      </c>
      <c r="C5696" s="1" t="s">
        <v>1875</v>
      </c>
      <c r="D5696" s="1" t="s">
        <v>1217</v>
      </c>
      <c r="E5696" s="1" t="s">
        <v>14</v>
      </c>
      <c r="F5696" s="2" t="s">
        <v>607</v>
      </c>
      <c r="G5696" s="1">
        <v>542.94000000000005</v>
      </c>
      <c r="H5696" s="1">
        <v>3</v>
      </c>
      <c r="I5696" s="1">
        <v>141.1644</v>
      </c>
    </row>
    <row r="5697" spans="1:9" x14ac:dyDescent="0.35">
      <c r="A5697" s="3">
        <v>42495</v>
      </c>
      <c r="B5697" s="1" t="s">
        <v>2713</v>
      </c>
      <c r="C5697" s="1" t="s">
        <v>64</v>
      </c>
      <c r="D5697" s="1" t="s">
        <v>18</v>
      </c>
      <c r="E5697" s="1" t="s">
        <v>24</v>
      </c>
      <c r="F5697" s="2" t="s">
        <v>1634</v>
      </c>
      <c r="G5697" s="1">
        <v>71.087999999999994</v>
      </c>
      <c r="H5697" s="1">
        <v>2</v>
      </c>
      <c r="I5697" s="1">
        <v>-1.7771999999999999</v>
      </c>
    </row>
    <row r="5698" spans="1:9" x14ac:dyDescent="0.35">
      <c r="A5698" s="3" t="s">
        <v>3670</v>
      </c>
      <c r="B5698" s="1" t="s">
        <v>1208</v>
      </c>
      <c r="C5698" s="1" t="s">
        <v>154</v>
      </c>
      <c r="D5698" s="1" t="s">
        <v>106</v>
      </c>
      <c r="E5698" s="1" t="s">
        <v>35</v>
      </c>
      <c r="F5698" s="2" t="s">
        <v>633</v>
      </c>
      <c r="G5698" s="1">
        <v>27.396000000000001</v>
      </c>
      <c r="H5698" s="1">
        <v>9</v>
      </c>
      <c r="I5698" s="1">
        <v>-42.463799999999999</v>
      </c>
    </row>
    <row r="5699" spans="1:9" x14ac:dyDescent="0.35">
      <c r="A5699" s="3" t="s">
        <v>3670</v>
      </c>
      <c r="B5699" s="1" t="s">
        <v>1208</v>
      </c>
      <c r="C5699" s="1" t="s">
        <v>154</v>
      </c>
      <c r="D5699" s="1" t="s">
        <v>106</v>
      </c>
      <c r="E5699" s="1" t="s">
        <v>35</v>
      </c>
      <c r="F5699" s="2" t="s">
        <v>1812</v>
      </c>
      <c r="G5699" s="1">
        <v>13.456</v>
      </c>
      <c r="H5699" s="1">
        <v>1</v>
      </c>
      <c r="I5699" s="1">
        <v>-23.547999999999998</v>
      </c>
    </row>
    <row r="5700" spans="1:9" x14ac:dyDescent="0.35">
      <c r="A5700" s="3">
        <v>42501</v>
      </c>
      <c r="B5700" s="1" t="s">
        <v>1573</v>
      </c>
      <c r="C5700" s="1" t="s">
        <v>914</v>
      </c>
      <c r="D5700" s="1" t="s">
        <v>52</v>
      </c>
      <c r="E5700" s="1" t="s">
        <v>19</v>
      </c>
      <c r="F5700" s="2" t="s">
        <v>1025</v>
      </c>
      <c r="G5700" s="1">
        <v>11.84</v>
      </c>
      <c r="H5700" s="1">
        <v>1</v>
      </c>
      <c r="I5700" s="1">
        <v>4.4400000000000004</v>
      </c>
    </row>
    <row r="5701" spans="1:9" x14ac:dyDescent="0.35">
      <c r="A5701" s="3">
        <v>42805</v>
      </c>
      <c r="B5701" s="1" t="s">
        <v>196</v>
      </c>
      <c r="C5701" s="1" t="s">
        <v>64</v>
      </c>
      <c r="D5701" s="1" t="s">
        <v>18</v>
      </c>
      <c r="E5701" s="1" t="s">
        <v>44</v>
      </c>
      <c r="F5701" s="2" t="s">
        <v>2772</v>
      </c>
      <c r="G5701" s="1">
        <v>35.880000000000003</v>
      </c>
      <c r="H5701" s="1">
        <v>6</v>
      </c>
      <c r="I5701" s="1">
        <v>17.581199999999999</v>
      </c>
    </row>
    <row r="5702" spans="1:9" x14ac:dyDescent="0.35">
      <c r="A5702" s="3" t="s">
        <v>3410</v>
      </c>
      <c r="B5702" s="1" t="s">
        <v>1465</v>
      </c>
      <c r="C5702" s="1" t="s">
        <v>994</v>
      </c>
      <c r="D5702" s="1" t="s">
        <v>250</v>
      </c>
      <c r="E5702" s="1" t="s">
        <v>87</v>
      </c>
      <c r="F5702" s="2" t="s">
        <v>1094</v>
      </c>
      <c r="G5702" s="1">
        <v>40.752000000000002</v>
      </c>
      <c r="H5702" s="1">
        <v>3</v>
      </c>
      <c r="I5702" s="1">
        <v>15.282</v>
      </c>
    </row>
    <row r="5703" spans="1:9" x14ac:dyDescent="0.35">
      <c r="A5703" s="3" t="s">
        <v>3410</v>
      </c>
      <c r="B5703" s="1" t="s">
        <v>1465</v>
      </c>
      <c r="C5703" s="1" t="s">
        <v>994</v>
      </c>
      <c r="D5703" s="1" t="s">
        <v>250</v>
      </c>
      <c r="E5703" s="1" t="s">
        <v>81</v>
      </c>
      <c r="F5703" s="2" t="s">
        <v>1789</v>
      </c>
      <c r="G5703" s="1">
        <v>139.96</v>
      </c>
      <c r="H5703" s="1">
        <v>5</v>
      </c>
      <c r="I5703" s="1">
        <v>-22.743500000000001</v>
      </c>
    </row>
    <row r="5704" spans="1:9" x14ac:dyDescent="0.35">
      <c r="A5704" s="3" t="s">
        <v>3610</v>
      </c>
      <c r="B5704" s="1" t="s">
        <v>1073</v>
      </c>
      <c r="C5704" s="1" t="s">
        <v>2114</v>
      </c>
      <c r="D5704" s="1" t="s">
        <v>250</v>
      </c>
      <c r="E5704" s="1" t="s">
        <v>31</v>
      </c>
      <c r="F5704" s="2" t="s">
        <v>1597</v>
      </c>
      <c r="G5704" s="1">
        <v>2.6240000000000001</v>
      </c>
      <c r="H5704" s="1">
        <v>1</v>
      </c>
      <c r="I5704" s="1">
        <v>0.29520000000000002</v>
      </c>
    </row>
    <row r="5705" spans="1:9" x14ac:dyDescent="0.35">
      <c r="A5705" s="3" t="s">
        <v>3610</v>
      </c>
      <c r="B5705" s="1" t="s">
        <v>1073</v>
      </c>
      <c r="C5705" s="1" t="s">
        <v>2114</v>
      </c>
      <c r="D5705" s="1" t="s">
        <v>250</v>
      </c>
      <c r="E5705" s="1" t="s">
        <v>24</v>
      </c>
      <c r="F5705" s="2" t="s">
        <v>2214</v>
      </c>
      <c r="G5705" s="1">
        <v>136.53</v>
      </c>
      <c r="H5705" s="1">
        <v>1</v>
      </c>
      <c r="I5705" s="1">
        <v>-52.336500000000001</v>
      </c>
    </row>
    <row r="5706" spans="1:9" x14ac:dyDescent="0.35">
      <c r="A5706" s="3" t="s">
        <v>3610</v>
      </c>
      <c r="B5706" s="1" t="s">
        <v>1073</v>
      </c>
      <c r="C5706" s="1" t="s">
        <v>2114</v>
      </c>
      <c r="D5706" s="1" t="s">
        <v>250</v>
      </c>
      <c r="E5706" s="1" t="s">
        <v>81</v>
      </c>
      <c r="F5706" s="2" t="s">
        <v>1313</v>
      </c>
      <c r="G5706" s="1">
        <v>263.95999999999998</v>
      </c>
      <c r="H5706" s="1">
        <v>1</v>
      </c>
      <c r="I5706" s="1">
        <v>42.893500000000003</v>
      </c>
    </row>
    <row r="5707" spans="1:9" x14ac:dyDescent="0.35">
      <c r="A5707" s="3">
        <v>41709</v>
      </c>
      <c r="B5707" s="1" t="s">
        <v>993</v>
      </c>
      <c r="C5707" s="1" t="s">
        <v>367</v>
      </c>
      <c r="D5707" s="1" t="s">
        <v>368</v>
      </c>
      <c r="E5707" s="1" t="s">
        <v>289</v>
      </c>
      <c r="F5707" s="2" t="s">
        <v>2605</v>
      </c>
      <c r="G5707" s="1">
        <v>11.64</v>
      </c>
      <c r="H5707" s="1">
        <v>3</v>
      </c>
      <c r="I5707" s="1">
        <v>3.3755999999999999</v>
      </c>
    </row>
    <row r="5708" spans="1:9" x14ac:dyDescent="0.35">
      <c r="A5708" s="3" t="s">
        <v>3351</v>
      </c>
      <c r="B5708" s="1" t="s">
        <v>1663</v>
      </c>
      <c r="C5708" s="1" t="s">
        <v>135</v>
      </c>
      <c r="D5708" s="1" t="s">
        <v>136</v>
      </c>
      <c r="E5708" s="1" t="s">
        <v>35</v>
      </c>
      <c r="F5708" s="2" t="s">
        <v>2656</v>
      </c>
      <c r="G5708" s="1">
        <v>40.176000000000002</v>
      </c>
      <c r="H5708" s="1">
        <v>3</v>
      </c>
      <c r="I5708" s="1">
        <v>14.563800000000001</v>
      </c>
    </row>
    <row r="5709" spans="1:9" x14ac:dyDescent="0.35">
      <c r="A5709" s="3">
        <v>42221</v>
      </c>
      <c r="B5709" s="1" t="s">
        <v>1802</v>
      </c>
      <c r="C5709" s="1" t="s">
        <v>135</v>
      </c>
      <c r="D5709" s="1" t="s">
        <v>136</v>
      </c>
      <c r="E5709" s="1" t="s">
        <v>29</v>
      </c>
      <c r="F5709" s="2" t="s">
        <v>1291</v>
      </c>
      <c r="G5709" s="1">
        <v>79.44</v>
      </c>
      <c r="H5709" s="1">
        <v>3</v>
      </c>
      <c r="I5709" s="1">
        <v>30.187200000000001</v>
      </c>
    </row>
    <row r="5710" spans="1:9" x14ac:dyDescent="0.35">
      <c r="A5710" s="3">
        <v>42221</v>
      </c>
      <c r="B5710" s="1" t="s">
        <v>1802</v>
      </c>
      <c r="C5710" s="1" t="s">
        <v>135</v>
      </c>
      <c r="D5710" s="1" t="s">
        <v>136</v>
      </c>
      <c r="E5710" s="1" t="s">
        <v>289</v>
      </c>
      <c r="F5710" s="2" t="s">
        <v>2352</v>
      </c>
      <c r="G5710" s="1">
        <v>357.93</v>
      </c>
      <c r="H5710" s="1">
        <v>3</v>
      </c>
      <c r="I5710" s="1">
        <v>7.1585999999999999</v>
      </c>
    </row>
    <row r="5711" spans="1:9" x14ac:dyDescent="0.35">
      <c r="A5711" s="3">
        <v>42221</v>
      </c>
      <c r="B5711" s="1" t="s">
        <v>1802</v>
      </c>
      <c r="C5711" s="1" t="s">
        <v>135</v>
      </c>
      <c r="D5711" s="1" t="s">
        <v>136</v>
      </c>
      <c r="E5711" s="1" t="s">
        <v>14</v>
      </c>
      <c r="F5711" s="2" t="s">
        <v>856</v>
      </c>
      <c r="G5711" s="1">
        <v>127.764</v>
      </c>
      <c r="H5711" s="1">
        <v>2</v>
      </c>
      <c r="I5711" s="1">
        <v>21.294</v>
      </c>
    </row>
    <row r="5712" spans="1:9" x14ac:dyDescent="0.35">
      <c r="A5712" s="3">
        <v>42221</v>
      </c>
      <c r="B5712" s="1" t="s">
        <v>1802</v>
      </c>
      <c r="C5712" s="1" t="s">
        <v>135</v>
      </c>
      <c r="D5712" s="1" t="s">
        <v>136</v>
      </c>
      <c r="E5712" s="1" t="s">
        <v>579</v>
      </c>
      <c r="F5712" s="2" t="s">
        <v>678</v>
      </c>
      <c r="G5712" s="1">
        <v>2799.944</v>
      </c>
      <c r="H5712" s="1">
        <v>7</v>
      </c>
      <c r="I5712" s="1">
        <v>1014.9797</v>
      </c>
    </row>
    <row r="5713" spans="1:9" x14ac:dyDescent="0.35">
      <c r="A5713" s="3">
        <v>42221</v>
      </c>
      <c r="B5713" s="1" t="s">
        <v>1802</v>
      </c>
      <c r="C5713" s="1" t="s">
        <v>135</v>
      </c>
      <c r="D5713" s="1" t="s">
        <v>136</v>
      </c>
      <c r="E5713" s="1" t="s">
        <v>44</v>
      </c>
      <c r="F5713" s="2" t="s">
        <v>2570</v>
      </c>
      <c r="G5713" s="1">
        <v>19.440000000000001</v>
      </c>
      <c r="H5713" s="1">
        <v>3</v>
      </c>
      <c r="I5713" s="1">
        <v>9.3312000000000008</v>
      </c>
    </row>
    <row r="5714" spans="1:9" x14ac:dyDescent="0.35">
      <c r="A5714" s="3" t="s">
        <v>3450</v>
      </c>
      <c r="B5714" s="1" t="s">
        <v>606</v>
      </c>
      <c r="C5714" s="1" t="s">
        <v>154</v>
      </c>
      <c r="D5714" s="1" t="s">
        <v>106</v>
      </c>
      <c r="E5714" s="1" t="s">
        <v>33</v>
      </c>
      <c r="F5714" s="2" t="s">
        <v>929</v>
      </c>
      <c r="G5714" s="1">
        <v>36.792000000000002</v>
      </c>
      <c r="H5714" s="1">
        <v>1</v>
      </c>
      <c r="I5714" s="1">
        <v>4.1391</v>
      </c>
    </row>
    <row r="5715" spans="1:9" x14ac:dyDescent="0.35">
      <c r="A5715" s="3">
        <v>41642</v>
      </c>
      <c r="B5715" s="1" t="s">
        <v>1332</v>
      </c>
      <c r="C5715" s="1" t="s">
        <v>135</v>
      </c>
      <c r="D5715" s="1" t="s">
        <v>136</v>
      </c>
      <c r="E5715" s="1" t="s">
        <v>33</v>
      </c>
      <c r="F5715" s="2" t="s">
        <v>1468</v>
      </c>
      <c r="G5715" s="1">
        <v>5.94</v>
      </c>
      <c r="H5715" s="1">
        <v>3</v>
      </c>
      <c r="I5715" s="1">
        <v>1.6037999999999999</v>
      </c>
    </row>
    <row r="5716" spans="1:9" x14ac:dyDescent="0.35">
      <c r="A5716" s="3" t="s">
        <v>3339</v>
      </c>
      <c r="B5716" s="1" t="s">
        <v>620</v>
      </c>
      <c r="C5716" s="1" t="s">
        <v>693</v>
      </c>
      <c r="D5716" s="1" t="s">
        <v>163</v>
      </c>
      <c r="E5716" s="1" t="s">
        <v>26</v>
      </c>
      <c r="F5716" s="2" t="s">
        <v>1425</v>
      </c>
      <c r="G5716" s="1">
        <v>177.55</v>
      </c>
      <c r="H5716" s="1">
        <v>5</v>
      </c>
      <c r="I5716" s="1">
        <v>47.938499999999998</v>
      </c>
    </row>
    <row r="5717" spans="1:9" x14ac:dyDescent="0.35">
      <c r="A5717" s="3">
        <v>42257</v>
      </c>
      <c r="B5717" s="1" t="s">
        <v>1170</v>
      </c>
      <c r="C5717" s="1" t="s">
        <v>2930</v>
      </c>
      <c r="D5717" s="1" t="s">
        <v>120</v>
      </c>
      <c r="E5717" s="1" t="s">
        <v>81</v>
      </c>
      <c r="F5717" s="2" t="s">
        <v>1207</v>
      </c>
      <c r="G5717" s="1">
        <v>619.95000000000005</v>
      </c>
      <c r="H5717" s="1">
        <v>5</v>
      </c>
      <c r="I5717" s="1">
        <v>111.59099999999999</v>
      </c>
    </row>
    <row r="5718" spans="1:9" x14ac:dyDescent="0.35">
      <c r="A5718" s="3">
        <v>42257</v>
      </c>
      <c r="B5718" s="1" t="s">
        <v>1170</v>
      </c>
      <c r="C5718" s="1" t="s">
        <v>2930</v>
      </c>
      <c r="D5718" s="1" t="s">
        <v>120</v>
      </c>
      <c r="E5718" s="1" t="s">
        <v>33</v>
      </c>
      <c r="F5718" s="2" t="s">
        <v>265</v>
      </c>
      <c r="G5718" s="1">
        <v>29.16</v>
      </c>
      <c r="H5718" s="1">
        <v>3</v>
      </c>
      <c r="I5718" s="1">
        <v>8.4564000000000004</v>
      </c>
    </row>
    <row r="5719" spans="1:9" x14ac:dyDescent="0.35">
      <c r="A5719" s="3">
        <v>42257</v>
      </c>
      <c r="B5719" s="1" t="s">
        <v>1170</v>
      </c>
      <c r="C5719" s="1" t="s">
        <v>2930</v>
      </c>
      <c r="D5719" s="1" t="s">
        <v>120</v>
      </c>
      <c r="E5719" s="1" t="s">
        <v>87</v>
      </c>
      <c r="F5719" s="2" t="s">
        <v>332</v>
      </c>
      <c r="G5719" s="1">
        <v>57.96</v>
      </c>
      <c r="H5719" s="1">
        <v>7</v>
      </c>
      <c r="I5719" s="1">
        <v>27.241199999999999</v>
      </c>
    </row>
    <row r="5720" spans="1:9" x14ac:dyDescent="0.35">
      <c r="A5720" s="3">
        <v>42257</v>
      </c>
      <c r="B5720" s="1" t="s">
        <v>1170</v>
      </c>
      <c r="C5720" s="1" t="s">
        <v>2930</v>
      </c>
      <c r="D5720" s="1" t="s">
        <v>120</v>
      </c>
      <c r="E5720" s="1" t="s">
        <v>37</v>
      </c>
      <c r="F5720" s="2" t="s">
        <v>1559</v>
      </c>
      <c r="G5720" s="1">
        <v>29.402999999999999</v>
      </c>
      <c r="H5720" s="1">
        <v>3</v>
      </c>
      <c r="I5720" s="1">
        <v>5.2271999999999998</v>
      </c>
    </row>
    <row r="5721" spans="1:9" x14ac:dyDescent="0.35">
      <c r="A5721" s="3" t="s">
        <v>3671</v>
      </c>
      <c r="B5721" s="1" t="s">
        <v>2748</v>
      </c>
      <c r="C5721" s="1" t="s">
        <v>1799</v>
      </c>
      <c r="D5721" s="1" t="s">
        <v>129</v>
      </c>
      <c r="E5721" s="1" t="s">
        <v>26</v>
      </c>
      <c r="F5721" s="2" t="s">
        <v>2613</v>
      </c>
      <c r="G5721" s="1">
        <v>81.400000000000006</v>
      </c>
      <c r="H5721" s="1">
        <v>5</v>
      </c>
      <c r="I5721" s="1">
        <v>21.164000000000001</v>
      </c>
    </row>
    <row r="5722" spans="1:9" x14ac:dyDescent="0.35">
      <c r="A5722" s="3" t="s">
        <v>3458</v>
      </c>
      <c r="B5722" s="1" t="s">
        <v>68</v>
      </c>
      <c r="C5722" s="1" t="s">
        <v>162</v>
      </c>
      <c r="D5722" s="1" t="s">
        <v>212</v>
      </c>
      <c r="E5722" s="1" t="s">
        <v>137</v>
      </c>
      <c r="F5722" s="2" t="s">
        <v>138</v>
      </c>
      <c r="G5722" s="1">
        <v>8.7200000000000006</v>
      </c>
      <c r="H5722" s="1">
        <v>5</v>
      </c>
      <c r="I5722" s="1">
        <v>2.2890000000000001</v>
      </c>
    </row>
    <row r="5723" spans="1:9" x14ac:dyDescent="0.35">
      <c r="A5723" s="3" t="s">
        <v>3458</v>
      </c>
      <c r="B5723" s="1" t="s">
        <v>68</v>
      </c>
      <c r="C5723" s="1" t="s">
        <v>162</v>
      </c>
      <c r="D5723" s="1" t="s">
        <v>212</v>
      </c>
      <c r="E5723" s="1" t="s">
        <v>81</v>
      </c>
      <c r="F5723" s="2" t="s">
        <v>2164</v>
      </c>
      <c r="G5723" s="1">
        <v>91.176000000000002</v>
      </c>
      <c r="H5723" s="1">
        <v>3</v>
      </c>
      <c r="I5723" s="1">
        <v>4.5587999999999997</v>
      </c>
    </row>
    <row r="5724" spans="1:9" x14ac:dyDescent="0.35">
      <c r="A5724" s="3" t="s">
        <v>3458</v>
      </c>
      <c r="B5724" s="1" t="s">
        <v>68</v>
      </c>
      <c r="C5724" s="1" t="s">
        <v>162</v>
      </c>
      <c r="D5724" s="1" t="s">
        <v>212</v>
      </c>
      <c r="E5724" s="1" t="s">
        <v>81</v>
      </c>
      <c r="F5724" s="2" t="s">
        <v>2033</v>
      </c>
      <c r="G5724" s="1">
        <v>159.96799999999999</v>
      </c>
      <c r="H5724" s="1">
        <v>4</v>
      </c>
      <c r="I5724" s="1">
        <v>29.994</v>
      </c>
    </row>
    <row r="5725" spans="1:9" x14ac:dyDescent="0.35">
      <c r="A5725" s="3" t="s">
        <v>3220</v>
      </c>
      <c r="B5725" s="1" t="s">
        <v>278</v>
      </c>
      <c r="C5725" s="1" t="s">
        <v>64</v>
      </c>
      <c r="D5725" s="1" t="s">
        <v>18</v>
      </c>
      <c r="E5725" s="1" t="s">
        <v>44</v>
      </c>
      <c r="F5725" s="2" t="s">
        <v>1412</v>
      </c>
      <c r="G5725" s="1">
        <v>12.96</v>
      </c>
      <c r="H5725" s="1">
        <v>2</v>
      </c>
      <c r="I5725" s="1">
        <v>6.2207999999999997</v>
      </c>
    </row>
    <row r="5726" spans="1:9" x14ac:dyDescent="0.35">
      <c r="A5726" s="3" t="s">
        <v>3672</v>
      </c>
      <c r="B5726" s="1" t="s">
        <v>1773</v>
      </c>
      <c r="C5726" s="1" t="s">
        <v>154</v>
      </c>
      <c r="D5726" s="1" t="s">
        <v>106</v>
      </c>
      <c r="E5726" s="1" t="s">
        <v>26</v>
      </c>
      <c r="F5726" s="2" t="s">
        <v>1585</v>
      </c>
      <c r="G5726" s="1">
        <v>331.536</v>
      </c>
      <c r="H5726" s="1">
        <v>3</v>
      </c>
      <c r="I5726" s="1">
        <v>-82.884</v>
      </c>
    </row>
    <row r="5727" spans="1:9" x14ac:dyDescent="0.35">
      <c r="A5727" s="3" t="s">
        <v>3149</v>
      </c>
      <c r="B5727" s="1" t="s">
        <v>466</v>
      </c>
      <c r="C5727" s="1" t="s">
        <v>135</v>
      </c>
      <c r="D5727" s="1" t="s">
        <v>136</v>
      </c>
      <c r="E5727" s="1" t="s">
        <v>81</v>
      </c>
      <c r="F5727" s="2" t="s">
        <v>2211</v>
      </c>
      <c r="G5727" s="1">
        <v>899.91</v>
      </c>
      <c r="H5727" s="1">
        <v>9</v>
      </c>
      <c r="I5727" s="1">
        <v>395.96039999999999</v>
      </c>
    </row>
    <row r="5728" spans="1:9" x14ac:dyDescent="0.35">
      <c r="A5728" s="3">
        <v>42099</v>
      </c>
      <c r="B5728" s="1" t="s">
        <v>2562</v>
      </c>
      <c r="C5728" s="1" t="s">
        <v>93</v>
      </c>
      <c r="D5728" s="1" t="s">
        <v>52</v>
      </c>
      <c r="E5728" s="1" t="s">
        <v>33</v>
      </c>
      <c r="F5728" s="2" t="s">
        <v>1647</v>
      </c>
      <c r="G5728" s="1">
        <v>946.34400000000005</v>
      </c>
      <c r="H5728" s="1">
        <v>7</v>
      </c>
      <c r="I5728" s="1">
        <v>118.29300000000001</v>
      </c>
    </row>
    <row r="5729" spans="1:9" x14ac:dyDescent="0.35">
      <c r="A5729" s="3">
        <v>42959</v>
      </c>
      <c r="B5729" s="1" t="s">
        <v>762</v>
      </c>
      <c r="C5729" s="1" t="s">
        <v>56</v>
      </c>
      <c r="D5729" s="1" t="s">
        <v>57</v>
      </c>
      <c r="E5729" s="1" t="s">
        <v>81</v>
      </c>
      <c r="F5729" s="2" t="s">
        <v>1826</v>
      </c>
      <c r="G5729" s="1">
        <v>178.11</v>
      </c>
      <c r="H5729" s="1">
        <v>3</v>
      </c>
      <c r="I5729" s="1">
        <v>32.059800000000003</v>
      </c>
    </row>
    <row r="5730" spans="1:9" x14ac:dyDescent="0.35">
      <c r="A5730" s="3">
        <v>42959</v>
      </c>
      <c r="B5730" s="1" t="s">
        <v>762</v>
      </c>
      <c r="C5730" s="1" t="s">
        <v>56</v>
      </c>
      <c r="D5730" s="1" t="s">
        <v>57</v>
      </c>
      <c r="E5730" s="1" t="s">
        <v>37</v>
      </c>
      <c r="F5730" s="2" t="s">
        <v>1620</v>
      </c>
      <c r="G5730" s="1">
        <v>1089.75</v>
      </c>
      <c r="H5730" s="1">
        <v>3</v>
      </c>
      <c r="I5730" s="1">
        <v>305.13</v>
      </c>
    </row>
    <row r="5731" spans="1:9" x14ac:dyDescent="0.35">
      <c r="A5731" s="3">
        <v>42959</v>
      </c>
      <c r="B5731" s="1" t="s">
        <v>762</v>
      </c>
      <c r="C5731" s="1" t="s">
        <v>56</v>
      </c>
      <c r="D5731" s="1" t="s">
        <v>57</v>
      </c>
      <c r="E5731" s="1" t="s">
        <v>19</v>
      </c>
      <c r="F5731" s="2" t="s">
        <v>1026</v>
      </c>
      <c r="G5731" s="1">
        <v>61.06</v>
      </c>
      <c r="H5731" s="1">
        <v>2</v>
      </c>
      <c r="I5731" s="1">
        <v>28.087599999999998</v>
      </c>
    </row>
    <row r="5732" spans="1:9" x14ac:dyDescent="0.35">
      <c r="A5732" s="3">
        <v>42959</v>
      </c>
      <c r="B5732" s="1" t="s">
        <v>762</v>
      </c>
      <c r="C5732" s="1" t="s">
        <v>56</v>
      </c>
      <c r="D5732" s="1" t="s">
        <v>57</v>
      </c>
      <c r="E5732" s="1" t="s">
        <v>12</v>
      </c>
      <c r="F5732" s="2" t="s">
        <v>1869</v>
      </c>
      <c r="G5732" s="1">
        <v>459.92</v>
      </c>
      <c r="H5732" s="1">
        <v>4</v>
      </c>
      <c r="I5732" s="1">
        <v>41.392800000000001</v>
      </c>
    </row>
    <row r="5733" spans="1:9" x14ac:dyDescent="0.35">
      <c r="A5733" s="3">
        <v>42959</v>
      </c>
      <c r="B5733" s="1" t="s">
        <v>762</v>
      </c>
      <c r="C5733" s="1" t="s">
        <v>56</v>
      </c>
      <c r="D5733" s="1" t="s">
        <v>57</v>
      </c>
      <c r="E5733" s="1" t="s">
        <v>44</v>
      </c>
      <c r="F5733" s="2" t="s">
        <v>602</v>
      </c>
      <c r="G5733" s="1">
        <v>27.52</v>
      </c>
      <c r="H5733" s="1">
        <v>4</v>
      </c>
      <c r="I5733" s="1">
        <v>12.6592</v>
      </c>
    </row>
    <row r="5734" spans="1:9" x14ac:dyDescent="0.35">
      <c r="A5734" s="3" t="s">
        <v>3230</v>
      </c>
      <c r="B5734" s="1" t="s">
        <v>466</v>
      </c>
      <c r="C5734" s="1" t="s">
        <v>2936</v>
      </c>
      <c r="D5734" s="1" t="s">
        <v>368</v>
      </c>
      <c r="E5734" s="1" t="s">
        <v>12</v>
      </c>
      <c r="F5734" s="2" t="s">
        <v>2548</v>
      </c>
      <c r="G5734" s="1">
        <v>638.82000000000005</v>
      </c>
      <c r="H5734" s="1">
        <v>9</v>
      </c>
      <c r="I5734" s="1">
        <v>185.2578</v>
      </c>
    </row>
    <row r="5735" spans="1:9" x14ac:dyDescent="0.35">
      <c r="A5735" s="3" t="s">
        <v>3230</v>
      </c>
      <c r="B5735" s="1" t="s">
        <v>466</v>
      </c>
      <c r="C5735" s="1" t="s">
        <v>2936</v>
      </c>
      <c r="D5735" s="1" t="s">
        <v>368</v>
      </c>
      <c r="E5735" s="1" t="s">
        <v>289</v>
      </c>
      <c r="F5735" s="2" t="s">
        <v>1190</v>
      </c>
      <c r="G5735" s="1">
        <v>30.69</v>
      </c>
      <c r="H5735" s="1">
        <v>3</v>
      </c>
      <c r="I5735" s="1">
        <v>7.9794</v>
      </c>
    </row>
    <row r="5736" spans="1:9" x14ac:dyDescent="0.35">
      <c r="A5736" s="3" t="s">
        <v>3230</v>
      </c>
      <c r="B5736" s="1" t="s">
        <v>466</v>
      </c>
      <c r="C5736" s="1" t="s">
        <v>2936</v>
      </c>
      <c r="D5736" s="1" t="s">
        <v>368</v>
      </c>
      <c r="E5736" s="1" t="s">
        <v>29</v>
      </c>
      <c r="F5736" s="2" t="s">
        <v>1645</v>
      </c>
      <c r="G5736" s="1">
        <v>25.16</v>
      </c>
      <c r="H5736" s="1">
        <v>2</v>
      </c>
      <c r="I5736" s="1">
        <v>8.5543999999999993</v>
      </c>
    </row>
    <row r="5737" spans="1:9" x14ac:dyDescent="0.35">
      <c r="A5737" s="3" t="s">
        <v>3673</v>
      </c>
      <c r="B5737" s="1" t="s">
        <v>2149</v>
      </c>
      <c r="C5737" s="1" t="s">
        <v>135</v>
      </c>
      <c r="D5737" s="1" t="s">
        <v>136</v>
      </c>
      <c r="E5737" s="1" t="s">
        <v>35</v>
      </c>
      <c r="F5737" s="2" t="s">
        <v>2420</v>
      </c>
      <c r="G5737" s="1">
        <v>13.92</v>
      </c>
      <c r="H5737" s="1">
        <v>3</v>
      </c>
      <c r="I5737" s="1">
        <v>4.8719999999999999</v>
      </c>
    </row>
    <row r="5738" spans="1:9" x14ac:dyDescent="0.35">
      <c r="A5738" s="3" t="s">
        <v>3674</v>
      </c>
      <c r="B5738" s="1" t="s">
        <v>2139</v>
      </c>
      <c r="C5738" s="1" t="s">
        <v>17</v>
      </c>
      <c r="D5738" s="1" t="s">
        <v>18</v>
      </c>
      <c r="E5738" s="1" t="s">
        <v>44</v>
      </c>
      <c r="F5738" s="2" t="s">
        <v>681</v>
      </c>
      <c r="G5738" s="1">
        <v>19.36</v>
      </c>
      <c r="H5738" s="1">
        <v>2</v>
      </c>
      <c r="I5738" s="1">
        <v>9.2927999999999997</v>
      </c>
    </row>
    <row r="5739" spans="1:9" x14ac:dyDescent="0.35">
      <c r="A5739" s="3" t="s">
        <v>3674</v>
      </c>
      <c r="B5739" s="1" t="s">
        <v>2139</v>
      </c>
      <c r="C5739" s="1" t="s">
        <v>17</v>
      </c>
      <c r="D5739" s="1" t="s">
        <v>18</v>
      </c>
      <c r="E5739" s="1" t="s">
        <v>29</v>
      </c>
      <c r="F5739" s="2" t="s">
        <v>179</v>
      </c>
      <c r="G5739" s="1">
        <v>19.3</v>
      </c>
      <c r="H5739" s="1">
        <v>2</v>
      </c>
      <c r="I5739" s="1">
        <v>5.79</v>
      </c>
    </row>
    <row r="5740" spans="1:9" x14ac:dyDescent="0.35">
      <c r="A5740" s="3" t="s">
        <v>3263</v>
      </c>
      <c r="B5740" s="1" t="s">
        <v>2415</v>
      </c>
      <c r="C5740" s="1" t="s">
        <v>64</v>
      </c>
      <c r="D5740" s="1" t="s">
        <v>18</v>
      </c>
      <c r="E5740" s="1" t="s">
        <v>35</v>
      </c>
      <c r="F5740" s="2" t="s">
        <v>2317</v>
      </c>
      <c r="G5740" s="1">
        <v>38.375999999999998</v>
      </c>
      <c r="H5740" s="1">
        <v>3</v>
      </c>
      <c r="I5740" s="1">
        <v>13.4316</v>
      </c>
    </row>
    <row r="5741" spans="1:9" x14ac:dyDescent="0.35">
      <c r="A5741" s="3" t="s">
        <v>3675</v>
      </c>
      <c r="B5741" s="1" t="s">
        <v>2555</v>
      </c>
      <c r="C5741" s="1" t="s">
        <v>367</v>
      </c>
      <c r="D5741" s="1" t="s">
        <v>18</v>
      </c>
      <c r="E5741" s="1" t="s">
        <v>44</v>
      </c>
      <c r="F5741" s="2" t="s">
        <v>2733</v>
      </c>
      <c r="G5741" s="1">
        <v>12.96</v>
      </c>
      <c r="H5741" s="1">
        <v>2</v>
      </c>
      <c r="I5741" s="1">
        <v>6.3503999999999996</v>
      </c>
    </row>
    <row r="5742" spans="1:9" x14ac:dyDescent="0.35">
      <c r="A5742" s="3" t="s">
        <v>3675</v>
      </c>
      <c r="B5742" s="1" t="s">
        <v>2555</v>
      </c>
      <c r="C5742" s="1" t="s">
        <v>367</v>
      </c>
      <c r="D5742" s="1" t="s">
        <v>18</v>
      </c>
      <c r="E5742" s="1" t="s">
        <v>29</v>
      </c>
      <c r="F5742" s="2" t="s">
        <v>1291</v>
      </c>
      <c r="G5742" s="1">
        <v>26.48</v>
      </c>
      <c r="H5742" s="1">
        <v>1</v>
      </c>
      <c r="I5742" s="1">
        <v>10.0624</v>
      </c>
    </row>
    <row r="5743" spans="1:9" x14ac:dyDescent="0.35">
      <c r="A5743" s="3" t="s">
        <v>3675</v>
      </c>
      <c r="B5743" s="1" t="s">
        <v>2555</v>
      </c>
      <c r="C5743" s="1" t="s">
        <v>367</v>
      </c>
      <c r="D5743" s="1" t="s">
        <v>18</v>
      </c>
      <c r="E5743" s="1" t="s">
        <v>338</v>
      </c>
      <c r="F5743" s="2" t="s">
        <v>1835</v>
      </c>
      <c r="G5743" s="1">
        <v>532.72</v>
      </c>
      <c r="H5743" s="1">
        <v>2</v>
      </c>
      <c r="I5743" s="1">
        <v>53.271999999999998</v>
      </c>
    </row>
    <row r="5744" spans="1:9" x14ac:dyDescent="0.35">
      <c r="A5744" s="3" t="s">
        <v>3675</v>
      </c>
      <c r="B5744" s="1" t="s">
        <v>2555</v>
      </c>
      <c r="C5744" s="1" t="s">
        <v>367</v>
      </c>
      <c r="D5744" s="1" t="s">
        <v>18</v>
      </c>
      <c r="E5744" s="1" t="s">
        <v>44</v>
      </c>
      <c r="F5744" s="2" t="s">
        <v>1148</v>
      </c>
      <c r="G5744" s="1">
        <v>26.72</v>
      </c>
      <c r="H5744" s="1">
        <v>4</v>
      </c>
      <c r="I5744" s="1">
        <v>12.8256</v>
      </c>
    </row>
    <row r="5745" spans="1:9" x14ac:dyDescent="0.35">
      <c r="A5745" s="3" t="s">
        <v>3675</v>
      </c>
      <c r="B5745" s="1" t="s">
        <v>2555</v>
      </c>
      <c r="C5745" s="1" t="s">
        <v>367</v>
      </c>
      <c r="D5745" s="1" t="s">
        <v>18</v>
      </c>
      <c r="E5745" s="1" t="s">
        <v>44</v>
      </c>
      <c r="F5745" s="2" t="s">
        <v>1022</v>
      </c>
      <c r="G5745" s="1">
        <v>20.04</v>
      </c>
      <c r="H5745" s="1">
        <v>3</v>
      </c>
      <c r="I5745" s="1">
        <v>9.6191999999999993</v>
      </c>
    </row>
    <row r="5746" spans="1:9" x14ac:dyDescent="0.35">
      <c r="A5746" s="3" t="s">
        <v>3675</v>
      </c>
      <c r="B5746" s="1" t="s">
        <v>2555</v>
      </c>
      <c r="C5746" s="1" t="s">
        <v>367</v>
      </c>
      <c r="D5746" s="1" t="s">
        <v>18</v>
      </c>
      <c r="E5746" s="1" t="s">
        <v>26</v>
      </c>
      <c r="F5746" s="2" t="s">
        <v>763</v>
      </c>
      <c r="G5746" s="1">
        <v>795.48</v>
      </c>
      <c r="H5746" s="1">
        <v>7</v>
      </c>
      <c r="I5746" s="1">
        <v>7.9547999999999996</v>
      </c>
    </row>
    <row r="5747" spans="1:9" x14ac:dyDescent="0.35">
      <c r="A5747" s="3" t="s">
        <v>3675</v>
      </c>
      <c r="B5747" s="1" t="s">
        <v>2555</v>
      </c>
      <c r="C5747" s="1" t="s">
        <v>367</v>
      </c>
      <c r="D5747" s="1" t="s">
        <v>18</v>
      </c>
      <c r="E5747" s="1" t="s">
        <v>29</v>
      </c>
      <c r="F5747" s="2" t="s">
        <v>2306</v>
      </c>
      <c r="G5747" s="1">
        <v>21.56</v>
      </c>
      <c r="H5747" s="1">
        <v>7</v>
      </c>
      <c r="I5747" s="1">
        <v>6.8992000000000004</v>
      </c>
    </row>
    <row r="5748" spans="1:9" x14ac:dyDescent="0.35">
      <c r="A5748" s="3">
        <v>42594</v>
      </c>
      <c r="B5748" s="1" t="s">
        <v>122</v>
      </c>
      <c r="C5748" s="1" t="s">
        <v>1522</v>
      </c>
      <c r="D5748" s="1" t="s">
        <v>43</v>
      </c>
      <c r="E5748" s="1" t="s">
        <v>33</v>
      </c>
      <c r="F5748" s="2" t="s">
        <v>886</v>
      </c>
      <c r="G5748" s="1">
        <v>249.584</v>
      </c>
      <c r="H5748" s="1">
        <v>2</v>
      </c>
      <c r="I5748" s="1">
        <v>31.198</v>
      </c>
    </row>
    <row r="5749" spans="1:9" x14ac:dyDescent="0.35">
      <c r="A5749" s="3">
        <v>42594</v>
      </c>
      <c r="B5749" s="1" t="s">
        <v>122</v>
      </c>
      <c r="C5749" s="1" t="s">
        <v>1522</v>
      </c>
      <c r="D5749" s="1" t="s">
        <v>43</v>
      </c>
      <c r="E5749" s="1" t="s">
        <v>81</v>
      </c>
      <c r="F5749" s="2" t="s">
        <v>1249</v>
      </c>
      <c r="G5749" s="1">
        <v>68.111999999999995</v>
      </c>
      <c r="H5749" s="1">
        <v>3</v>
      </c>
      <c r="I5749" s="1">
        <v>17.8794</v>
      </c>
    </row>
    <row r="5750" spans="1:9" x14ac:dyDescent="0.35">
      <c r="A5750" s="3">
        <v>42594</v>
      </c>
      <c r="B5750" s="1" t="s">
        <v>122</v>
      </c>
      <c r="C5750" s="1" t="s">
        <v>1522</v>
      </c>
      <c r="D5750" s="1" t="s">
        <v>43</v>
      </c>
      <c r="E5750" s="1" t="s">
        <v>81</v>
      </c>
      <c r="F5750" s="2" t="s">
        <v>2812</v>
      </c>
      <c r="G5750" s="1">
        <v>16.559999999999999</v>
      </c>
      <c r="H5750" s="1">
        <v>3</v>
      </c>
      <c r="I5750" s="1">
        <v>-2.484</v>
      </c>
    </row>
    <row r="5751" spans="1:9" x14ac:dyDescent="0.35">
      <c r="A5751" s="3" t="s">
        <v>3303</v>
      </c>
      <c r="B5751" s="1" t="s">
        <v>255</v>
      </c>
      <c r="C5751" s="1" t="s">
        <v>559</v>
      </c>
      <c r="D5751" s="1" t="s">
        <v>136</v>
      </c>
      <c r="E5751" s="1" t="s">
        <v>33</v>
      </c>
      <c r="F5751" s="2" t="s">
        <v>2064</v>
      </c>
      <c r="G5751" s="1">
        <v>74.95</v>
      </c>
      <c r="H5751" s="1">
        <v>5</v>
      </c>
      <c r="I5751" s="1">
        <v>36.725499999999997</v>
      </c>
    </row>
    <row r="5752" spans="1:9" x14ac:dyDescent="0.35">
      <c r="A5752" s="3" t="s">
        <v>3578</v>
      </c>
      <c r="B5752" s="1" t="s">
        <v>2860</v>
      </c>
      <c r="C5752" s="1" t="s">
        <v>2937</v>
      </c>
      <c r="D5752" s="1" t="s">
        <v>106</v>
      </c>
      <c r="E5752" s="1" t="s">
        <v>24</v>
      </c>
      <c r="F5752" s="2" t="s">
        <v>39</v>
      </c>
      <c r="G5752" s="1">
        <v>355.45499999999998</v>
      </c>
      <c r="H5752" s="1">
        <v>3</v>
      </c>
      <c r="I5752" s="1">
        <v>-184.8366</v>
      </c>
    </row>
    <row r="5753" spans="1:9" x14ac:dyDescent="0.35">
      <c r="A5753" s="3" t="s">
        <v>3233</v>
      </c>
      <c r="B5753" s="1" t="s">
        <v>885</v>
      </c>
      <c r="C5753" s="1" t="s">
        <v>461</v>
      </c>
      <c r="D5753" s="1" t="s">
        <v>18</v>
      </c>
      <c r="E5753" s="1" t="s">
        <v>19</v>
      </c>
      <c r="F5753" s="2" t="s">
        <v>2938</v>
      </c>
      <c r="G5753" s="1">
        <v>44.4</v>
      </c>
      <c r="H5753" s="1">
        <v>3</v>
      </c>
      <c r="I5753" s="1">
        <v>22.2</v>
      </c>
    </row>
    <row r="5754" spans="1:9" x14ac:dyDescent="0.35">
      <c r="A5754" s="3" t="s">
        <v>3233</v>
      </c>
      <c r="B5754" s="1" t="s">
        <v>885</v>
      </c>
      <c r="C5754" s="1" t="s">
        <v>461</v>
      </c>
      <c r="D5754" s="1" t="s">
        <v>18</v>
      </c>
      <c r="E5754" s="1" t="s">
        <v>19</v>
      </c>
      <c r="F5754" s="2" t="s">
        <v>1090</v>
      </c>
      <c r="G5754" s="1">
        <v>20.65</v>
      </c>
      <c r="H5754" s="1">
        <v>5</v>
      </c>
      <c r="I5754" s="1">
        <v>9.4990000000000006</v>
      </c>
    </row>
    <row r="5755" spans="1:9" x14ac:dyDescent="0.35">
      <c r="A5755" s="3">
        <v>42431</v>
      </c>
      <c r="B5755" s="1" t="s">
        <v>2547</v>
      </c>
      <c r="C5755" s="1" t="s">
        <v>693</v>
      </c>
      <c r="D5755" s="1" t="s">
        <v>11</v>
      </c>
      <c r="E5755" s="1" t="s">
        <v>14</v>
      </c>
      <c r="F5755" s="2" t="s">
        <v>705</v>
      </c>
      <c r="G5755" s="1">
        <v>866.4</v>
      </c>
      <c r="H5755" s="1">
        <v>4</v>
      </c>
      <c r="I5755" s="1">
        <v>225.26400000000001</v>
      </c>
    </row>
    <row r="5756" spans="1:9" x14ac:dyDescent="0.35">
      <c r="A5756" s="3" t="s">
        <v>3506</v>
      </c>
      <c r="B5756" s="1" t="s">
        <v>924</v>
      </c>
      <c r="C5756" s="1" t="s">
        <v>162</v>
      </c>
      <c r="D5756" s="1" t="s">
        <v>163</v>
      </c>
      <c r="E5756" s="1" t="s">
        <v>31</v>
      </c>
      <c r="F5756" s="2" t="s">
        <v>608</v>
      </c>
      <c r="G5756" s="1">
        <v>5.56</v>
      </c>
      <c r="H5756" s="1">
        <v>2</v>
      </c>
      <c r="I5756" s="1">
        <v>1.4456</v>
      </c>
    </row>
    <row r="5757" spans="1:9" x14ac:dyDescent="0.35">
      <c r="A5757" s="3" t="s">
        <v>3598</v>
      </c>
      <c r="B5757" s="1" t="s">
        <v>2320</v>
      </c>
      <c r="C5757" s="1" t="s">
        <v>51</v>
      </c>
      <c r="D5757" s="1" t="s">
        <v>52</v>
      </c>
      <c r="E5757" s="1" t="s">
        <v>37</v>
      </c>
      <c r="F5757" s="2" t="s">
        <v>2802</v>
      </c>
      <c r="G5757" s="1">
        <v>3.16</v>
      </c>
      <c r="H5757" s="1">
        <v>4</v>
      </c>
      <c r="I5757" s="1">
        <v>-8.532</v>
      </c>
    </row>
    <row r="5758" spans="1:9" x14ac:dyDescent="0.35">
      <c r="A5758" s="3" t="s">
        <v>3598</v>
      </c>
      <c r="B5758" s="1" t="s">
        <v>2320</v>
      </c>
      <c r="C5758" s="1" t="s">
        <v>51</v>
      </c>
      <c r="D5758" s="1" t="s">
        <v>52</v>
      </c>
      <c r="E5758" s="1" t="s">
        <v>579</v>
      </c>
      <c r="F5758" s="2" t="s">
        <v>1085</v>
      </c>
      <c r="G5758" s="1">
        <v>1999.96</v>
      </c>
      <c r="H5758" s="1">
        <v>5</v>
      </c>
      <c r="I5758" s="1">
        <v>624.98749999999995</v>
      </c>
    </row>
    <row r="5759" spans="1:9" x14ac:dyDescent="0.35">
      <c r="A5759" s="3">
        <v>42316</v>
      </c>
      <c r="B5759" s="1" t="s">
        <v>2939</v>
      </c>
      <c r="C5759" s="1" t="s">
        <v>1912</v>
      </c>
      <c r="D5759" s="1" t="s">
        <v>43</v>
      </c>
      <c r="E5759" s="1" t="s">
        <v>29</v>
      </c>
      <c r="F5759" s="2" t="s">
        <v>2312</v>
      </c>
      <c r="G5759" s="1">
        <v>46.152000000000001</v>
      </c>
      <c r="H5759" s="1">
        <v>3</v>
      </c>
      <c r="I5759" s="1">
        <v>12.1149</v>
      </c>
    </row>
    <row r="5760" spans="1:9" x14ac:dyDescent="0.35">
      <c r="A5760" s="3" t="s">
        <v>3145</v>
      </c>
      <c r="B5760" s="1" t="s">
        <v>28</v>
      </c>
      <c r="C5760" s="1" t="s">
        <v>1055</v>
      </c>
      <c r="D5760" s="1" t="s">
        <v>23</v>
      </c>
      <c r="E5760" s="1" t="s">
        <v>338</v>
      </c>
      <c r="F5760" s="2" t="s">
        <v>2890</v>
      </c>
      <c r="G5760" s="1">
        <v>32.984999999999999</v>
      </c>
      <c r="H5760" s="1">
        <v>3</v>
      </c>
      <c r="I5760" s="1">
        <v>-1.9791000000000001</v>
      </c>
    </row>
    <row r="5761" spans="1:9" x14ac:dyDescent="0.35">
      <c r="A5761" s="3" t="s">
        <v>3507</v>
      </c>
      <c r="B5761" s="1" t="s">
        <v>2362</v>
      </c>
      <c r="C5761" s="1" t="s">
        <v>17</v>
      </c>
      <c r="D5761" s="1" t="s">
        <v>18</v>
      </c>
      <c r="E5761" s="1" t="s">
        <v>26</v>
      </c>
      <c r="F5761" s="2" t="s">
        <v>1327</v>
      </c>
      <c r="G5761" s="1">
        <v>481.32</v>
      </c>
      <c r="H5761" s="1">
        <v>4</v>
      </c>
      <c r="I5761" s="1">
        <v>125.14319999999999</v>
      </c>
    </row>
    <row r="5762" spans="1:9" x14ac:dyDescent="0.35">
      <c r="A5762" s="3" t="s">
        <v>3507</v>
      </c>
      <c r="B5762" s="1" t="s">
        <v>2362</v>
      </c>
      <c r="C5762" s="1" t="s">
        <v>17</v>
      </c>
      <c r="D5762" s="1" t="s">
        <v>18</v>
      </c>
      <c r="E5762" s="1" t="s">
        <v>35</v>
      </c>
      <c r="F5762" s="2" t="s">
        <v>759</v>
      </c>
      <c r="G5762" s="1">
        <v>6.3840000000000003</v>
      </c>
      <c r="H5762" s="1">
        <v>1</v>
      </c>
      <c r="I5762" s="1">
        <v>2.1545999999999998</v>
      </c>
    </row>
    <row r="5763" spans="1:9" x14ac:dyDescent="0.35">
      <c r="A5763" s="3">
        <v>43077</v>
      </c>
      <c r="B5763" s="1" t="s">
        <v>2129</v>
      </c>
      <c r="C5763" s="1" t="s">
        <v>2940</v>
      </c>
      <c r="D5763" s="1" t="s">
        <v>18</v>
      </c>
      <c r="E5763" s="1" t="s">
        <v>37</v>
      </c>
      <c r="F5763" s="2" t="s">
        <v>1852</v>
      </c>
      <c r="G5763" s="1">
        <v>542.94000000000005</v>
      </c>
      <c r="H5763" s="1">
        <v>3</v>
      </c>
      <c r="I5763" s="1">
        <v>152.0232</v>
      </c>
    </row>
    <row r="5764" spans="1:9" x14ac:dyDescent="0.35">
      <c r="A5764" s="3">
        <v>43077</v>
      </c>
      <c r="B5764" s="1" t="s">
        <v>2129</v>
      </c>
      <c r="C5764" s="1" t="s">
        <v>2940</v>
      </c>
      <c r="D5764" s="1" t="s">
        <v>18</v>
      </c>
      <c r="E5764" s="1" t="s">
        <v>29</v>
      </c>
      <c r="F5764" s="2" t="s">
        <v>1677</v>
      </c>
      <c r="G5764" s="1">
        <v>54.92</v>
      </c>
      <c r="H5764" s="1">
        <v>4</v>
      </c>
      <c r="I5764" s="1">
        <v>19.7712</v>
      </c>
    </row>
    <row r="5765" spans="1:9" x14ac:dyDescent="0.35">
      <c r="A5765" s="3">
        <v>42074</v>
      </c>
      <c r="B5765" s="1" t="s">
        <v>389</v>
      </c>
      <c r="C5765" s="1" t="s">
        <v>559</v>
      </c>
      <c r="D5765" s="1" t="s">
        <v>136</v>
      </c>
      <c r="E5765" s="1" t="s">
        <v>14</v>
      </c>
      <c r="F5765" s="2" t="s">
        <v>2628</v>
      </c>
      <c r="G5765" s="1">
        <v>1448.82</v>
      </c>
      <c r="H5765" s="1">
        <v>10</v>
      </c>
      <c r="I5765" s="1">
        <v>209.274</v>
      </c>
    </row>
    <row r="5766" spans="1:9" x14ac:dyDescent="0.35">
      <c r="A5766" s="3">
        <v>42286</v>
      </c>
      <c r="B5766" s="1" t="s">
        <v>1569</v>
      </c>
      <c r="C5766" s="1" t="s">
        <v>47</v>
      </c>
      <c r="D5766" s="1" t="s">
        <v>48</v>
      </c>
      <c r="E5766" s="1" t="s">
        <v>26</v>
      </c>
      <c r="F5766" s="2" t="s">
        <v>2928</v>
      </c>
      <c r="G5766" s="1">
        <v>353.88</v>
      </c>
      <c r="H5766" s="1">
        <v>6</v>
      </c>
      <c r="I5766" s="1">
        <v>17.693999999999999</v>
      </c>
    </row>
    <row r="5767" spans="1:9" x14ac:dyDescent="0.35">
      <c r="A5767" s="3">
        <v>41862</v>
      </c>
      <c r="B5767" s="1" t="s">
        <v>77</v>
      </c>
      <c r="C5767" s="1" t="s">
        <v>2941</v>
      </c>
      <c r="D5767" s="1" t="s">
        <v>18</v>
      </c>
      <c r="E5767" s="1" t="s">
        <v>33</v>
      </c>
      <c r="F5767" s="2" t="s">
        <v>1473</v>
      </c>
      <c r="G5767" s="1">
        <v>333.57600000000002</v>
      </c>
      <c r="H5767" s="1">
        <v>3</v>
      </c>
      <c r="I5767" s="1">
        <v>25.0182</v>
      </c>
    </row>
    <row r="5768" spans="1:9" x14ac:dyDescent="0.35">
      <c r="A5768" s="3">
        <v>42592</v>
      </c>
      <c r="B5768" s="1" t="s">
        <v>1211</v>
      </c>
      <c r="C5768" s="1" t="s">
        <v>336</v>
      </c>
      <c r="D5768" s="1" t="s">
        <v>52</v>
      </c>
      <c r="E5768" s="1" t="s">
        <v>19</v>
      </c>
      <c r="F5768" s="2" t="s">
        <v>2235</v>
      </c>
      <c r="G5768" s="1">
        <v>60.143999999999998</v>
      </c>
      <c r="H5768" s="1">
        <v>6</v>
      </c>
      <c r="I5768" s="1">
        <v>20.2986</v>
      </c>
    </row>
    <row r="5769" spans="1:9" x14ac:dyDescent="0.35">
      <c r="A5769" s="3">
        <v>42956</v>
      </c>
      <c r="B5769" s="1" t="s">
        <v>2846</v>
      </c>
      <c r="C5769" s="1" t="s">
        <v>93</v>
      </c>
      <c r="D5769" s="1" t="s">
        <v>52</v>
      </c>
      <c r="E5769" s="1" t="s">
        <v>81</v>
      </c>
      <c r="F5769" s="2" t="s">
        <v>1566</v>
      </c>
      <c r="G5769" s="1">
        <v>85.2</v>
      </c>
      <c r="H5769" s="1">
        <v>6</v>
      </c>
      <c r="I5769" s="1">
        <v>20.234999999999999</v>
      </c>
    </row>
    <row r="5770" spans="1:9" x14ac:dyDescent="0.35">
      <c r="A5770" s="3" t="s">
        <v>3676</v>
      </c>
      <c r="B5770" s="1" t="s">
        <v>1073</v>
      </c>
      <c r="C5770" s="1" t="s">
        <v>2020</v>
      </c>
      <c r="D5770" s="1" t="s">
        <v>592</v>
      </c>
      <c r="E5770" s="1" t="s">
        <v>19</v>
      </c>
      <c r="F5770" s="2" t="s">
        <v>1754</v>
      </c>
      <c r="G5770" s="1">
        <v>3.15</v>
      </c>
      <c r="H5770" s="1">
        <v>1</v>
      </c>
      <c r="I5770" s="1">
        <v>1.512</v>
      </c>
    </row>
    <row r="5771" spans="1:9" x14ac:dyDescent="0.35">
      <c r="A5771" s="3" t="s">
        <v>3676</v>
      </c>
      <c r="B5771" s="1" t="s">
        <v>1073</v>
      </c>
      <c r="C5771" s="1" t="s">
        <v>2020</v>
      </c>
      <c r="D5771" s="1" t="s">
        <v>592</v>
      </c>
      <c r="E5771" s="1" t="s">
        <v>44</v>
      </c>
      <c r="F5771" s="2" t="s">
        <v>998</v>
      </c>
      <c r="G5771" s="1">
        <v>22.72</v>
      </c>
      <c r="H5771" s="1">
        <v>4</v>
      </c>
      <c r="I5771" s="1">
        <v>10.224</v>
      </c>
    </row>
    <row r="5772" spans="1:9" x14ac:dyDescent="0.35">
      <c r="A5772" s="3" t="s">
        <v>3392</v>
      </c>
      <c r="B5772" s="1" t="s">
        <v>1663</v>
      </c>
      <c r="C5772" s="1" t="s">
        <v>17</v>
      </c>
      <c r="D5772" s="1" t="s">
        <v>18</v>
      </c>
      <c r="E5772" s="1" t="s">
        <v>29</v>
      </c>
      <c r="F5772" s="2" t="s">
        <v>939</v>
      </c>
      <c r="G5772" s="1">
        <v>14.91</v>
      </c>
      <c r="H5772" s="1">
        <v>3</v>
      </c>
      <c r="I5772" s="1">
        <v>4.6220999999999997</v>
      </c>
    </row>
    <row r="5773" spans="1:9" x14ac:dyDescent="0.35">
      <c r="A5773" s="3" t="s">
        <v>3392</v>
      </c>
      <c r="B5773" s="1" t="s">
        <v>1663</v>
      </c>
      <c r="C5773" s="1" t="s">
        <v>17</v>
      </c>
      <c r="D5773" s="1" t="s">
        <v>18</v>
      </c>
      <c r="E5773" s="1" t="s">
        <v>37</v>
      </c>
      <c r="F5773" s="2" t="s">
        <v>2257</v>
      </c>
      <c r="G5773" s="1">
        <v>1158.1199999999999</v>
      </c>
      <c r="H5773" s="1">
        <v>4</v>
      </c>
      <c r="I5773" s="1">
        <v>335.85480000000001</v>
      </c>
    </row>
    <row r="5774" spans="1:9" x14ac:dyDescent="0.35">
      <c r="A5774" s="3" t="s">
        <v>3527</v>
      </c>
      <c r="B5774" s="1" t="s">
        <v>436</v>
      </c>
      <c r="C5774" s="1" t="s">
        <v>162</v>
      </c>
      <c r="D5774" s="1" t="s">
        <v>298</v>
      </c>
      <c r="E5774" s="1" t="s">
        <v>579</v>
      </c>
      <c r="F5774" s="2" t="s">
        <v>653</v>
      </c>
      <c r="G5774" s="1">
        <v>599.99</v>
      </c>
      <c r="H5774" s="1">
        <v>1</v>
      </c>
      <c r="I5774" s="1">
        <v>233.99610000000001</v>
      </c>
    </row>
    <row r="5775" spans="1:9" x14ac:dyDescent="0.35">
      <c r="A5775" s="3" t="s">
        <v>3677</v>
      </c>
      <c r="B5775" s="1" t="s">
        <v>919</v>
      </c>
      <c r="C5775" s="1" t="s">
        <v>2873</v>
      </c>
      <c r="D5775" s="1" t="s">
        <v>52</v>
      </c>
      <c r="E5775" s="1" t="s">
        <v>26</v>
      </c>
      <c r="F5775" s="2" t="s">
        <v>668</v>
      </c>
      <c r="G5775" s="1">
        <v>23.968</v>
      </c>
      <c r="H5775" s="1">
        <v>2</v>
      </c>
      <c r="I5775" s="1">
        <v>2.3967999999999998</v>
      </c>
    </row>
    <row r="5776" spans="1:9" x14ac:dyDescent="0.35">
      <c r="A5776" s="3">
        <v>42708</v>
      </c>
      <c r="B5776" s="1" t="s">
        <v>1600</v>
      </c>
      <c r="C5776" s="1" t="s">
        <v>17</v>
      </c>
      <c r="D5776" s="1" t="s">
        <v>18</v>
      </c>
      <c r="E5776" s="1" t="s">
        <v>14</v>
      </c>
      <c r="F5776" s="2" t="s">
        <v>2929</v>
      </c>
      <c r="G5776" s="1">
        <v>638.28800000000001</v>
      </c>
      <c r="H5776" s="1">
        <v>7</v>
      </c>
      <c r="I5776" s="1">
        <v>-31.914400000000001</v>
      </c>
    </row>
    <row r="5777" spans="1:9" x14ac:dyDescent="0.35">
      <c r="A5777" s="3">
        <v>42708</v>
      </c>
      <c r="B5777" s="1" t="s">
        <v>1600</v>
      </c>
      <c r="C5777" s="1" t="s">
        <v>17</v>
      </c>
      <c r="D5777" s="1" t="s">
        <v>18</v>
      </c>
      <c r="E5777" s="1" t="s">
        <v>35</v>
      </c>
      <c r="F5777" s="2" t="s">
        <v>1261</v>
      </c>
      <c r="G5777" s="1">
        <v>13.208</v>
      </c>
      <c r="H5777" s="1">
        <v>1</v>
      </c>
      <c r="I5777" s="1">
        <v>4.6227999999999998</v>
      </c>
    </row>
    <row r="5778" spans="1:9" x14ac:dyDescent="0.35">
      <c r="A5778" s="3">
        <v>42472</v>
      </c>
      <c r="B5778" s="1" t="s">
        <v>861</v>
      </c>
      <c r="C5778" s="1" t="s">
        <v>734</v>
      </c>
      <c r="D5778" s="1" t="s">
        <v>136</v>
      </c>
      <c r="E5778" s="1" t="s">
        <v>35</v>
      </c>
      <c r="F5778" s="2" t="s">
        <v>1103</v>
      </c>
      <c r="G5778" s="1">
        <v>15.528</v>
      </c>
      <c r="H5778" s="1">
        <v>3</v>
      </c>
      <c r="I5778" s="1">
        <v>5.8230000000000004</v>
      </c>
    </row>
    <row r="5779" spans="1:9" x14ac:dyDescent="0.35">
      <c r="A5779" s="3">
        <v>42472</v>
      </c>
      <c r="B5779" s="1" t="s">
        <v>1605</v>
      </c>
      <c r="C5779" s="1" t="s">
        <v>64</v>
      </c>
      <c r="D5779" s="1" t="s">
        <v>18</v>
      </c>
      <c r="E5779" s="1" t="s">
        <v>44</v>
      </c>
      <c r="F5779" s="2" t="s">
        <v>1541</v>
      </c>
      <c r="G5779" s="1">
        <v>104.85</v>
      </c>
      <c r="H5779" s="1">
        <v>1</v>
      </c>
      <c r="I5779" s="1">
        <v>50.328000000000003</v>
      </c>
    </row>
    <row r="5780" spans="1:9" x14ac:dyDescent="0.35">
      <c r="A5780" s="3">
        <v>41954</v>
      </c>
      <c r="B5780" s="1" t="s">
        <v>1038</v>
      </c>
      <c r="C5780" s="1" t="s">
        <v>17</v>
      </c>
      <c r="D5780" s="1" t="s">
        <v>18</v>
      </c>
      <c r="E5780" s="1" t="s">
        <v>31</v>
      </c>
      <c r="F5780" s="2" t="s">
        <v>738</v>
      </c>
      <c r="G5780" s="1">
        <v>30.48</v>
      </c>
      <c r="H5780" s="1">
        <v>3</v>
      </c>
      <c r="I5780" s="1">
        <v>7.9248000000000003</v>
      </c>
    </row>
    <row r="5781" spans="1:9" x14ac:dyDescent="0.35">
      <c r="A5781" s="3">
        <v>41954</v>
      </c>
      <c r="B5781" s="1" t="s">
        <v>1038</v>
      </c>
      <c r="C5781" s="1" t="s">
        <v>17</v>
      </c>
      <c r="D5781" s="1" t="s">
        <v>18</v>
      </c>
      <c r="E5781" s="1" t="s">
        <v>14</v>
      </c>
      <c r="F5781" s="2" t="s">
        <v>1925</v>
      </c>
      <c r="G5781" s="1">
        <v>112.648</v>
      </c>
      <c r="H5781" s="1">
        <v>1</v>
      </c>
      <c r="I5781" s="1">
        <v>11.264799999999999</v>
      </c>
    </row>
    <row r="5782" spans="1:9" x14ac:dyDescent="0.35">
      <c r="A5782" s="3">
        <v>42039</v>
      </c>
      <c r="B5782" s="1" t="s">
        <v>1708</v>
      </c>
      <c r="C5782" s="1" t="s">
        <v>17</v>
      </c>
      <c r="D5782" s="1" t="s">
        <v>18</v>
      </c>
      <c r="E5782" s="1" t="s">
        <v>338</v>
      </c>
      <c r="F5782" s="2" t="s">
        <v>2942</v>
      </c>
      <c r="G5782" s="1">
        <v>71.975999999999999</v>
      </c>
      <c r="H5782" s="1">
        <v>3</v>
      </c>
      <c r="I5782" s="1">
        <v>24.291899999999998</v>
      </c>
    </row>
    <row r="5783" spans="1:9" x14ac:dyDescent="0.35">
      <c r="A5783" s="3">
        <v>42350</v>
      </c>
      <c r="B5783" s="1" t="s">
        <v>774</v>
      </c>
      <c r="C5783" s="1" t="s">
        <v>2943</v>
      </c>
      <c r="D5783" s="1" t="s">
        <v>18</v>
      </c>
      <c r="E5783" s="1" t="s">
        <v>31</v>
      </c>
      <c r="F5783" s="2" t="s">
        <v>319</v>
      </c>
      <c r="G5783" s="1">
        <v>2.21</v>
      </c>
      <c r="H5783" s="1">
        <v>1</v>
      </c>
      <c r="I5783" s="1">
        <v>0.59670000000000001</v>
      </c>
    </row>
    <row r="5784" spans="1:9" x14ac:dyDescent="0.35">
      <c r="A5784" s="3">
        <v>42350</v>
      </c>
      <c r="B5784" s="1" t="s">
        <v>774</v>
      </c>
      <c r="C5784" s="1" t="s">
        <v>2943</v>
      </c>
      <c r="D5784" s="1" t="s">
        <v>18</v>
      </c>
      <c r="E5784" s="1" t="s">
        <v>87</v>
      </c>
      <c r="F5784" s="2" t="s">
        <v>1331</v>
      </c>
      <c r="G5784" s="1">
        <v>15.52</v>
      </c>
      <c r="H5784" s="1">
        <v>4</v>
      </c>
      <c r="I5784" s="1">
        <v>7.4496000000000002</v>
      </c>
    </row>
    <row r="5785" spans="1:9" x14ac:dyDescent="0.35">
      <c r="A5785" s="3">
        <v>42350</v>
      </c>
      <c r="B5785" s="1" t="s">
        <v>774</v>
      </c>
      <c r="C5785" s="1" t="s">
        <v>2943</v>
      </c>
      <c r="D5785" s="1" t="s">
        <v>18</v>
      </c>
      <c r="E5785" s="1" t="s">
        <v>44</v>
      </c>
      <c r="F5785" s="2" t="s">
        <v>2228</v>
      </c>
      <c r="G5785" s="1">
        <v>36.44</v>
      </c>
      <c r="H5785" s="1">
        <v>4</v>
      </c>
      <c r="I5785" s="1">
        <v>16.398</v>
      </c>
    </row>
    <row r="5786" spans="1:9" x14ac:dyDescent="0.35">
      <c r="A5786" s="3">
        <v>42776</v>
      </c>
      <c r="B5786" s="1" t="s">
        <v>2914</v>
      </c>
      <c r="C5786" s="1" t="s">
        <v>162</v>
      </c>
      <c r="D5786" s="1" t="s">
        <v>212</v>
      </c>
      <c r="E5786" s="1" t="s">
        <v>12</v>
      </c>
      <c r="F5786" s="2" t="s">
        <v>684</v>
      </c>
      <c r="G5786" s="1">
        <v>217.76400000000001</v>
      </c>
      <c r="H5786" s="1">
        <v>6</v>
      </c>
      <c r="I5786" s="1">
        <v>-384.71640000000002</v>
      </c>
    </row>
    <row r="5787" spans="1:9" x14ac:dyDescent="0.35">
      <c r="A5787" s="3">
        <v>42776</v>
      </c>
      <c r="B5787" s="1" t="s">
        <v>2914</v>
      </c>
      <c r="C5787" s="1" t="s">
        <v>162</v>
      </c>
      <c r="D5787" s="1" t="s">
        <v>212</v>
      </c>
      <c r="E5787" s="1" t="s">
        <v>289</v>
      </c>
      <c r="F5787" s="2" t="s">
        <v>1056</v>
      </c>
      <c r="G5787" s="1">
        <v>39.072000000000003</v>
      </c>
      <c r="H5787" s="1">
        <v>6</v>
      </c>
      <c r="I5787" s="1">
        <v>4.3956</v>
      </c>
    </row>
    <row r="5788" spans="1:9" x14ac:dyDescent="0.35">
      <c r="A5788" s="3">
        <v>42776</v>
      </c>
      <c r="B5788" s="1" t="s">
        <v>2914</v>
      </c>
      <c r="C5788" s="1" t="s">
        <v>162</v>
      </c>
      <c r="D5788" s="1" t="s">
        <v>212</v>
      </c>
      <c r="E5788" s="1" t="s">
        <v>35</v>
      </c>
      <c r="F5788" s="2" t="s">
        <v>1409</v>
      </c>
      <c r="G5788" s="1">
        <v>22.638000000000002</v>
      </c>
      <c r="H5788" s="1">
        <v>7</v>
      </c>
      <c r="I5788" s="1">
        <v>-16.601199999999999</v>
      </c>
    </row>
    <row r="5789" spans="1:9" x14ac:dyDescent="0.35">
      <c r="A5789" s="3">
        <v>42776</v>
      </c>
      <c r="B5789" s="1" t="s">
        <v>2914</v>
      </c>
      <c r="C5789" s="1" t="s">
        <v>162</v>
      </c>
      <c r="D5789" s="1" t="s">
        <v>212</v>
      </c>
      <c r="E5789" s="1" t="s">
        <v>31</v>
      </c>
      <c r="F5789" s="2" t="s">
        <v>2294</v>
      </c>
      <c r="G5789" s="1">
        <v>95.144000000000005</v>
      </c>
      <c r="H5789" s="1">
        <v>7</v>
      </c>
      <c r="I5789" s="1">
        <v>10.7037</v>
      </c>
    </row>
    <row r="5790" spans="1:9" x14ac:dyDescent="0.35">
      <c r="A5790" s="3">
        <v>43012</v>
      </c>
      <c r="B5790" s="1" t="s">
        <v>2944</v>
      </c>
      <c r="C5790" s="1" t="s">
        <v>719</v>
      </c>
      <c r="D5790" s="1" t="s">
        <v>23</v>
      </c>
      <c r="E5790" s="1" t="s">
        <v>29</v>
      </c>
      <c r="F5790" s="2" t="s">
        <v>2306</v>
      </c>
      <c r="G5790" s="1">
        <v>12.32</v>
      </c>
      <c r="H5790" s="1">
        <v>5</v>
      </c>
      <c r="I5790" s="1">
        <v>1.8480000000000001</v>
      </c>
    </row>
    <row r="5791" spans="1:9" x14ac:dyDescent="0.35">
      <c r="A5791" s="3">
        <v>43012</v>
      </c>
      <c r="B5791" s="1" t="s">
        <v>2944</v>
      </c>
      <c r="C5791" s="1" t="s">
        <v>719</v>
      </c>
      <c r="D5791" s="1" t="s">
        <v>23</v>
      </c>
      <c r="E5791" s="1" t="s">
        <v>35</v>
      </c>
      <c r="F5791" s="2" t="s">
        <v>1209</v>
      </c>
      <c r="G5791" s="1">
        <v>4.4189999999999996</v>
      </c>
      <c r="H5791" s="1">
        <v>3</v>
      </c>
      <c r="I5791" s="1">
        <v>-3.0933000000000002</v>
      </c>
    </row>
    <row r="5792" spans="1:9" x14ac:dyDescent="0.35">
      <c r="A5792" s="3" t="s">
        <v>3555</v>
      </c>
      <c r="B5792" s="1" t="s">
        <v>1155</v>
      </c>
      <c r="C5792" s="1" t="s">
        <v>2371</v>
      </c>
      <c r="D5792" s="1" t="s">
        <v>18</v>
      </c>
      <c r="E5792" s="1" t="s">
        <v>137</v>
      </c>
      <c r="F5792" s="2" t="s">
        <v>1157</v>
      </c>
      <c r="G5792" s="1">
        <v>35</v>
      </c>
      <c r="H5792" s="1">
        <v>7</v>
      </c>
      <c r="I5792" s="1">
        <v>16.8</v>
      </c>
    </row>
    <row r="5793" spans="1:9" x14ac:dyDescent="0.35">
      <c r="A5793" s="3" t="s">
        <v>3555</v>
      </c>
      <c r="B5793" s="1" t="s">
        <v>1155</v>
      </c>
      <c r="C5793" s="1" t="s">
        <v>2371</v>
      </c>
      <c r="D5793" s="1" t="s">
        <v>18</v>
      </c>
      <c r="E5793" s="1" t="s">
        <v>14</v>
      </c>
      <c r="F5793" s="2" t="s">
        <v>1606</v>
      </c>
      <c r="G5793" s="1">
        <v>72.784000000000006</v>
      </c>
      <c r="H5793" s="1">
        <v>1</v>
      </c>
      <c r="I5793" s="1">
        <v>0</v>
      </c>
    </row>
    <row r="5794" spans="1:9" x14ac:dyDescent="0.35">
      <c r="A5794" s="3" t="s">
        <v>3555</v>
      </c>
      <c r="B5794" s="1" t="s">
        <v>1155</v>
      </c>
      <c r="C5794" s="1" t="s">
        <v>2371</v>
      </c>
      <c r="D5794" s="1" t="s">
        <v>18</v>
      </c>
      <c r="E5794" s="1" t="s">
        <v>37</v>
      </c>
      <c r="F5794" s="2" t="s">
        <v>754</v>
      </c>
      <c r="G5794" s="1">
        <v>97.84</v>
      </c>
      <c r="H5794" s="1">
        <v>2</v>
      </c>
      <c r="I5794" s="1">
        <v>25.438400000000001</v>
      </c>
    </row>
    <row r="5795" spans="1:9" x14ac:dyDescent="0.35">
      <c r="A5795" s="3" t="s">
        <v>3555</v>
      </c>
      <c r="B5795" s="1" t="s">
        <v>1155</v>
      </c>
      <c r="C5795" s="1" t="s">
        <v>2371</v>
      </c>
      <c r="D5795" s="1" t="s">
        <v>18</v>
      </c>
      <c r="E5795" s="1" t="s">
        <v>29</v>
      </c>
      <c r="F5795" s="2" t="s">
        <v>86</v>
      </c>
      <c r="G5795" s="1">
        <v>51.75</v>
      </c>
      <c r="H5795" s="1">
        <v>1</v>
      </c>
      <c r="I5795" s="1">
        <v>15.525</v>
      </c>
    </row>
    <row r="5796" spans="1:9" x14ac:dyDescent="0.35">
      <c r="A5796" s="3" t="s">
        <v>3555</v>
      </c>
      <c r="B5796" s="1" t="s">
        <v>1155</v>
      </c>
      <c r="C5796" s="1" t="s">
        <v>2371</v>
      </c>
      <c r="D5796" s="1" t="s">
        <v>18</v>
      </c>
      <c r="E5796" s="1" t="s">
        <v>35</v>
      </c>
      <c r="F5796" s="2" t="s">
        <v>1223</v>
      </c>
      <c r="G5796" s="1">
        <v>46.671999999999997</v>
      </c>
      <c r="H5796" s="1">
        <v>2</v>
      </c>
      <c r="I5796" s="1">
        <v>16.3352</v>
      </c>
    </row>
    <row r="5797" spans="1:9" x14ac:dyDescent="0.35">
      <c r="A5797" s="3" t="s">
        <v>3494</v>
      </c>
      <c r="B5797" s="1" t="s">
        <v>1580</v>
      </c>
      <c r="C5797" s="1" t="s">
        <v>135</v>
      </c>
      <c r="D5797" s="1" t="s">
        <v>136</v>
      </c>
      <c r="E5797" s="1" t="s">
        <v>26</v>
      </c>
      <c r="F5797" s="2" t="s">
        <v>2408</v>
      </c>
      <c r="G5797" s="1">
        <v>1395.54</v>
      </c>
      <c r="H5797" s="1">
        <v>9</v>
      </c>
      <c r="I5797" s="1">
        <v>362.84039999999999</v>
      </c>
    </row>
    <row r="5798" spans="1:9" x14ac:dyDescent="0.35">
      <c r="A5798" s="3" t="s">
        <v>3494</v>
      </c>
      <c r="B5798" s="1" t="s">
        <v>1580</v>
      </c>
      <c r="C5798" s="1" t="s">
        <v>135</v>
      </c>
      <c r="D5798" s="1" t="s">
        <v>136</v>
      </c>
      <c r="E5798" s="1" t="s">
        <v>29</v>
      </c>
      <c r="F5798" s="2" t="s">
        <v>304</v>
      </c>
      <c r="G5798" s="1">
        <v>117.36</v>
      </c>
      <c r="H5798" s="1">
        <v>4</v>
      </c>
      <c r="I5798" s="1">
        <v>36.381599999999999</v>
      </c>
    </row>
    <row r="5799" spans="1:9" x14ac:dyDescent="0.35">
      <c r="A5799" s="3" t="s">
        <v>3494</v>
      </c>
      <c r="B5799" s="1" t="s">
        <v>1580</v>
      </c>
      <c r="C5799" s="1" t="s">
        <v>135</v>
      </c>
      <c r="D5799" s="1" t="s">
        <v>136</v>
      </c>
      <c r="E5799" s="1" t="s">
        <v>19</v>
      </c>
      <c r="F5799" s="2" t="s">
        <v>1539</v>
      </c>
      <c r="G5799" s="1">
        <v>18.899999999999999</v>
      </c>
      <c r="H5799" s="1">
        <v>3</v>
      </c>
      <c r="I5799" s="1">
        <v>8.6940000000000008</v>
      </c>
    </row>
    <row r="5800" spans="1:9" x14ac:dyDescent="0.35">
      <c r="A5800" s="3" t="s">
        <v>3494</v>
      </c>
      <c r="B5800" s="1" t="s">
        <v>1580</v>
      </c>
      <c r="C5800" s="1" t="s">
        <v>135</v>
      </c>
      <c r="D5800" s="1" t="s">
        <v>136</v>
      </c>
      <c r="E5800" s="1" t="s">
        <v>44</v>
      </c>
      <c r="F5800" s="2" t="s">
        <v>1628</v>
      </c>
      <c r="G5800" s="1">
        <v>77.52</v>
      </c>
      <c r="H5800" s="1">
        <v>2</v>
      </c>
      <c r="I5800" s="1">
        <v>37.9848</v>
      </c>
    </row>
    <row r="5801" spans="1:9" x14ac:dyDescent="0.35">
      <c r="A5801" s="3" t="s">
        <v>3678</v>
      </c>
      <c r="B5801" s="1" t="s">
        <v>983</v>
      </c>
      <c r="C5801" s="1" t="s">
        <v>154</v>
      </c>
      <c r="D5801" s="1" t="s">
        <v>106</v>
      </c>
      <c r="E5801" s="1" t="s">
        <v>14</v>
      </c>
      <c r="F5801" s="2" t="s">
        <v>2489</v>
      </c>
      <c r="G5801" s="1">
        <v>421.37200000000001</v>
      </c>
      <c r="H5801" s="1">
        <v>2</v>
      </c>
      <c r="I5801" s="1">
        <v>-6.0195999999999996</v>
      </c>
    </row>
    <row r="5802" spans="1:9" x14ac:dyDescent="0.35">
      <c r="A5802" s="3">
        <v>41950</v>
      </c>
      <c r="B5802" s="1" t="s">
        <v>1582</v>
      </c>
      <c r="C5802" s="1" t="s">
        <v>1766</v>
      </c>
      <c r="D5802" s="1" t="s">
        <v>52</v>
      </c>
      <c r="E5802" s="1" t="s">
        <v>33</v>
      </c>
      <c r="F5802" s="2" t="s">
        <v>1917</v>
      </c>
      <c r="G5802" s="1">
        <v>575.96799999999996</v>
      </c>
      <c r="H5802" s="1">
        <v>4</v>
      </c>
      <c r="I5802" s="1">
        <v>43.197600000000001</v>
      </c>
    </row>
    <row r="5803" spans="1:9" x14ac:dyDescent="0.35">
      <c r="A5803" s="3">
        <v>41950</v>
      </c>
      <c r="B5803" s="1" t="s">
        <v>1582</v>
      </c>
      <c r="C5803" s="1" t="s">
        <v>1766</v>
      </c>
      <c r="D5803" s="1" t="s">
        <v>52</v>
      </c>
      <c r="E5803" s="1" t="s">
        <v>44</v>
      </c>
      <c r="F5803" s="2" t="s">
        <v>2588</v>
      </c>
      <c r="G5803" s="1">
        <v>10.368</v>
      </c>
      <c r="H5803" s="1">
        <v>2</v>
      </c>
      <c r="I5803" s="1">
        <v>3.6288</v>
      </c>
    </row>
    <row r="5804" spans="1:9" x14ac:dyDescent="0.35">
      <c r="A5804" s="3" t="s">
        <v>3679</v>
      </c>
      <c r="B5804" s="1" t="s">
        <v>329</v>
      </c>
      <c r="C5804" s="1" t="s">
        <v>2191</v>
      </c>
      <c r="D5804" s="1" t="s">
        <v>18</v>
      </c>
      <c r="E5804" s="1" t="s">
        <v>33</v>
      </c>
      <c r="F5804" s="2" t="s">
        <v>786</v>
      </c>
      <c r="G5804" s="1">
        <v>15.984</v>
      </c>
      <c r="H5804" s="1">
        <v>2</v>
      </c>
      <c r="I5804" s="1">
        <v>1.1988000000000001</v>
      </c>
    </row>
    <row r="5805" spans="1:9" x14ac:dyDescent="0.35">
      <c r="A5805" s="3">
        <v>43074</v>
      </c>
      <c r="B5805" s="1" t="s">
        <v>2362</v>
      </c>
      <c r="C5805" s="1" t="s">
        <v>162</v>
      </c>
      <c r="D5805" s="1" t="s">
        <v>250</v>
      </c>
      <c r="E5805" s="1" t="s">
        <v>31</v>
      </c>
      <c r="F5805" s="2" t="s">
        <v>1762</v>
      </c>
      <c r="G5805" s="1">
        <v>10.272</v>
      </c>
      <c r="H5805" s="1">
        <v>3</v>
      </c>
      <c r="I5805" s="1">
        <v>1.1556</v>
      </c>
    </row>
    <row r="5806" spans="1:9" x14ac:dyDescent="0.35">
      <c r="A5806" s="3" t="s">
        <v>3165</v>
      </c>
      <c r="B5806" s="1" t="s">
        <v>2648</v>
      </c>
      <c r="C5806" s="1" t="s">
        <v>399</v>
      </c>
      <c r="D5806" s="1" t="s">
        <v>52</v>
      </c>
      <c r="E5806" s="1" t="s">
        <v>26</v>
      </c>
      <c r="F5806" s="2" t="s">
        <v>2015</v>
      </c>
      <c r="G5806" s="1">
        <v>61.792000000000002</v>
      </c>
      <c r="H5806" s="1">
        <v>4</v>
      </c>
      <c r="I5806" s="1">
        <v>6.1791999999999998</v>
      </c>
    </row>
    <row r="5807" spans="1:9" x14ac:dyDescent="0.35">
      <c r="A5807" s="3" t="s">
        <v>3165</v>
      </c>
      <c r="B5807" s="1" t="s">
        <v>2648</v>
      </c>
      <c r="C5807" s="1" t="s">
        <v>399</v>
      </c>
      <c r="D5807" s="1" t="s">
        <v>52</v>
      </c>
      <c r="E5807" s="1" t="s">
        <v>12</v>
      </c>
      <c r="F5807" s="2" t="s">
        <v>1235</v>
      </c>
      <c r="G5807" s="1">
        <v>205.9992</v>
      </c>
      <c r="H5807" s="1">
        <v>3</v>
      </c>
      <c r="I5807" s="1">
        <v>-27.264600000000002</v>
      </c>
    </row>
    <row r="5808" spans="1:9" x14ac:dyDescent="0.35">
      <c r="A5808" s="3">
        <v>42469</v>
      </c>
      <c r="B5808" s="1" t="s">
        <v>463</v>
      </c>
      <c r="C5808" s="1" t="s">
        <v>2099</v>
      </c>
      <c r="D5808" s="1" t="s">
        <v>171</v>
      </c>
      <c r="E5808" s="1" t="s">
        <v>44</v>
      </c>
      <c r="F5808" s="2" t="s">
        <v>1258</v>
      </c>
      <c r="G5808" s="1">
        <v>12.192</v>
      </c>
      <c r="H5808" s="1">
        <v>3</v>
      </c>
      <c r="I5808" s="1">
        <v>4.1147999999999998</v>
      </c>
    </row>
    <row r="5809" spans="1:9" x14ac:dyDescent="0.35">
      <c r="A5809" s="3">
        <v>42469</v>
      </c>
      <c r="B5809" s="1" t="s">
        <v>463</v>
      </c>
      <c r="C5809" s="1" t="s">
        <v>2099</v>
      </c>
      <c r="D5809" s="1" t="s">
        <v>171</v>
      </c>
      <c r="E5809" s="1" t="s">
        <v>37</v>
      </c>
      <c r="F5809" s="2" t="s">
        <v>2176</v>
      </c>
      <c r="G5809" s="1">
        <v>87.168000000000006</v>
      </c>
      <c r="H5809" s="1">
        <v>2</v>
      </c>
      <c r="I5809" s="1">
        <v>8.7167999999999992</v>
      </c>
    </row>
    <row r="5810" spans="1:9" x14ac:dyDescent="0.35">
      <c r="A5810" s="3">
        <v>42469</v>
      </c>
      <c r="B5810" s="1" t="s">
        <v>463</v>
      </c>
      <c r="C5810" s="1" t="s">
        <v>2099</v>
      </c>
      <c r="D5810" s="1" t="s">
        <v>171</v>
      </c>
      <c r="E5810" s="1" t="s">
        <v>31</v>
      </c>
      <c r="F5810" s="2" t="s">
        <v>2615</v>
      </c>
      <c r="G5810" s="1">
        <v>31.744</v>
      </c>
      <c r="H5810" s="1">
        <v>2</v>
      </c>
      <c r="I5810" s="1">
        <v>8.3328000000000007</v>
      </c>
    </row>
    <row r="5811" spans="1:9" x14ac:dyDescent="0.35">
      <c r="A5811" s="3">
        <v>42523</v>
      </c>
      <c r="B5811" s="1" t="s">
        <v>841</v>
      </c>
      <c r="C5811" s="1" t="s">
        <v>2453</v>
      </c>
      <c r="D5811" s="1" t="s">
        <v>171</v>
      </c>
      <c r="E5811" s="1" t="s">
        <v>29</v>
      </c>
      <c r="F5811" s="2" t="s">
        <v>863</v>
      </c>
      <c r="G5811" s="1">
        <v>132.22399999999999</v>
      </c>
      <c r="H5811" s="1">
        <v>4</v>
      </c>
      <c r="I5811" s="1">
        <v>-18.180800000000001</v>
      </c>
    </row>
    <row r="5812" spans="1:9" x14ac:dyDescent="0.35">
      <c r="A5812" s="3" t="s">
        <v>3679</v>
      </c>
      <c r="B5812" s="1" t="s">
        <v>966</v>
      </c>
      <c r="C5812" s="1" t="s">
        <v>461</v>
      </c>
      <c r="D5812" s="1" t="s">
        <v>18</v>
      </c>
      <c r="E5812" s="1" t="s">
        <v>44</v>
      </c>
      <c r="F5812" s="2" t="s">
        <v>94</v>
      </c>
      <c r="G5812" s="1">
        <v>105.52</v>
      </c>
      <c r="H5812" s="1">
        <v>4</v>
      </c>
      <c r="I5812" s="1">
        <v>48.539200000000001</v>
      </c>
    </row>
    <row r="5813" spans="1:9" x14ac:dyDescent="0.35">
      <c r="A5813" s="3" t="s">
        <v>3679</v>
      </c>
      <c r="B5813" s="1" t="s">
        <v>966</v>
      </c>
      <c r="C5813" s="1" t="s">
        <v>461</v>
      </c>
      <c r="D5813" s="1" t="s">
        <v>18</v>
      </c>
      <c r="E5813" s="1" t="s">
        <v>29</v>
      </c>
      <c r="F5813" s="2" t="s">
        <v>2945</v>
      </c>
      <c r="G5813" s="1">
        <v>91.96</v>
      </c>
      <c r="H5813" s="1">
        <v>2</v>
      </c>
      <c r="I5813" s="1">
        <v>15.6332</v>
      </c>
    </row>
    <row r="5814" spans="1:9" x14ac:dyDescent="0.35">
      <c r="A5814" s="3" t="s">
        <v>3679</v>
      </c>
      <c r="B5814" s="1" t="s">
        <v>966</v>
      </c>
      <c r="C5814" s="1" t="s">
        <v>461</v>
      </c>
      <c r="D5814" s="1" t="s">
        <v>18</v>
      </c>
      <c r="E5814" s="1" t="s">
        <v>33</v>
      </c>
      <c r="F5814" s="2" t="s">
        <v>1137</v>
      </c>
      <c r="G5814" s="1">
        <v>1487.9760000000001</v>
      </c>
      <c r="H5814" s="1">
        <v>3</v>
      </c>
      <c r="I5814" s="1">
        <v>185.99700000000001</v>
      </c>
    </row>
    <row r="5815" spans="1:9" x14ac:dyDescent="0.35">
      <c r="A5815" s="3">
        <v>42042</v>
      </c>
      <c r="B5815" s="1" t="s">
        <v>981</v>
      </c>
      <c r="C5815" s="1" t="s">
        <v>135</v>
      </c>
      <c r="D5815" s="1" t="s">
        <v>136</v>
      </c>
      <c r="E5815" s="1" t="s">
        <v>44</v>
      </c>
      <c r="F5815" s="2" t="s">
        <v>2869</v>
      </c>
      <c r="G5815" s="1">
        <v>19.440000000000001</v>
      </c>
      <c r="H5815" s="1">
        <v>3</v>
      </c>
      <c r="I5815" s="1">
        <v>9.3312000000000008</v>
      </c>
    </row>
    <row r="5816" spans="1:9" x14ac:dyDescent="0.35">
      <c r="A5816" s="3" t="s">
        <v>3469</v>
      </c>
      <c r="B5816" s="1" t="s">
        <v>1955</v>
      </c>
      <c r="C5816" s="1" t="s">
        <v>438</v>
      </c>
      <c r="D5816" s="1" t="s">
        <v>23</v>
      </c>
      <c r="E5816" s="1" t="s">
        <v>81</v>
      </c>
      <c r="F5816" s="2" t="s">
        <v>1996</v>
      </c>
      <c r="G5816" s="1">
        <v>11.672000000000001</v>
      </c>
      <c r="H5816" s="1">
        <v>1</v>
      </c>
      <c r="I5816" s="1">
        <v>-0.72950000000000004</v>
      </c>
    </row>
    <row r="5817" spans="1:9" x14ac:dyDescent="0.35">
      <c r="A5817" s="3" t="s">
        <v>3164</v>
      </c>
      <c r="B5817" s="1" t="s">
        <v>816</v>
      </c>
      <c r="C5817" s="1" t="s">
        <v>2946</v>
      </c>
      <c r="D5817" s="1" t="s">
        <v>136</v>
      </c>
      <c r="E5817" s="1" t="s">
        <v>33</v>
      </c>
      <c r="F5817" s="2" t="s">
        <v>1059</v>
      </c>
      <c r="G5817" s="1">
        <v>279.95999999999998</v>
      </c>
      <c r="H5817" s="1">
        <v>4</v>
      </c>
      <c r="I5817" s="1">
        <v>78.388800000000003</v>
      </c>
    </row>
    <row r="5818" spans="1:9" x14ac:dyDescent="0.35">
      <c r="A5818" s="3" t="s">
        <v>3164</v>
      </c>
      <c r="B5818" s="1" t="s">
        <v>816</v>
      </c>
      <c r="C5818" s="1" t="s">
        <v>2946</v>
      </c>
      <c r="D5818" s="1" t="s">
        <v>136</v>
      </c>
      <c r="E5818" s="1" t="s">
        <v>35</v>
      </c>
      <c r="F5818" s="2" t="s">
        <v>150</v>
      </c>
      <c r="G5818" s="1">
        <v>12.912000000000001</v>
      </c>
      <c r="H5818" s="1">
        <v>3</v>
      </c>
      <c r="I5818" s="1">
        <v>4.6806000000000001</v>
      </c>
    </row>
    <row r="5819" spans="1:9" x14ac:dyDescent="0.35">
      <c r="A5819" s="3" t="s">
        <v>3164</v>
      </c>
      <c r="B5819" s="1" t="s">
        <v>816</v>
      </c>
      <c r="C5819" s="1" t="s">
        <v>2946</v>
      </c>
      <c r="D5819" s="1" t="s">
        <v>136</v>
      </c>
      <c r="E5819" s="1" t="s">
        <v>35</v>
      </c>
      <c r="F5819" s="2" t="s">
        <v>1484</v>
      </c>
      <c r="G5819" s="1">
        <v>17.088000000000001</v>
      </c>
      <c r="H5819" s="1">
        <v>4</v>
      </c>
      <c r="I5819" s="1">
        <v>5.7671999999999999</v>
      </c>
    </row>
    <row r="5820" spans="1:9" x14ac:dyDescent="0.35">
      <c r="A5820" s="3" t="s">
        <v>3164</v>
      </c>
      <c r="B5820" s="1" t="s">
        <v>816</v>
      </c>
      <c r="C5820" s="1" t="s">
        <v>2946</v>
      </c>
      <c r="D5820" s="1" t="s">
        <v>136</v>
      </c>
      <c r="E5820" s="1" t="s">
        <v>19</v>
      </c>
      <c r="F5820" s="2" t="s">
        <v>605</v>
      </c>
      <c r="G5820" s="1">
        <v>93.15</v>
      </c>
      <c r="H5820" s="1">
        <v>9</v>
      </c>
      <c r="I5820" s="1">
        <v>44.712000000000003</v>
      </c>
    </row>
    <row r="5821" spans="1:9" x14ac:dyDescent="0.35">
      <c r="A5821" s="3" t="s">
        <v>3164</v>
      </c>
      <c r="B5821" s="1" t="s">
        <v>816</v>
      </c>
      <c r="C5821" s="1" t="s">
        <v>2946</v>
      </c>
      <c r="D5821" s="1" t="s">
        <v>136</v>
      </c>
      <c r="E5821" s="1" t="s">
        <v>19</v>
      </c>
      <c r="F5821" s="2" t="s">
        <v>1287</v>
      </c>
      <c r="G5821" s="1">
        <v>11.52</v>
      </c>
      <c r="H5821" s="1">
        <v>4</v>
      </c>
      <c r="I5821" s="1">
        <v>5.6448</v>
      </c>
    </row>
    <row r="5822" spans="1:9" x14ac:dyDescent="0.35">
      <c r="A5822" s="3">
        <v>43074</v>
      </c>
      <c r="B5822" s="1" t="s">
        <v>2682</v>
      </c>
      <c r="C5822" s="1" t="s">
        <v>64</v>
      </c>
      <c r="D5822" s="1" t="s">
        <v>18</v>
      </c>
      <c r="E5822" s="1" t="s">
        <v>289</v>
      </c>
      <c r="F5822" s="2" t="s">
        <v>2352</v>
      </c>
      <c r="G5822" s="1">
        <v>238.62</v>
      </c>
      <c r="H5822" s="1">
        <v>2</v>
      </c>
      <c r="I5822" s="1">
        <v>4.7724000000000002</v>
      </c>
    </row>
    <row r="5823" spans="1:9" x14ac:dyDescent="0.35">
      <c r="A5823" s="3">
        <v>43074</v>
      </c>
      <c r="B5823" s="1" t="s">
        <v>2682</v>
      </c>
      <c r="C5823" s="1" t="s">
        <v>64</v>
      </c>
      <c r="D5823" s="1" t="s">
        <v>18</v>
      </c>
      <c r="E5823" s="1" t="s">
        <v>37</v>
      </c>
      <c r="F5823" s="2" t="s">
        <v>1743</v>
      </c>
      <c r="G5823" s="1">
        <v>7.77</v>
      </c>
      <c r="H5823" s="1">
        <v>1</v>
      </c>
      <c r="I5823" s="1">
        <v>2.0979000000000001</v>
      </c>
    </row>
    <row r="5824" spans="1:9" x14ac:dyDescent="0.35">
      <c r="A5824" s="3">
        <v>43074</v>
      </c>
      <c r="B5824" s="1" t="s">
        <v>2682</v>
      </c>
      <c r="C5824" s="1" t="s">
        <v>64</v>
      </c>
      <c r="D5824" s="1" t="s">
        <v>18</v>
      </c>
      <c r="E5824" s="1" t="s">
        <v>24</v>
      </c>
      <c r="F5824" s="2" t="s">
        <v>1244</v>
      </c>
      <c r="G5824" s="1">
        <v>285.48</v>
      </c>
      <c r="H5824" s="1">
        <v>5</v>
      </c>
      <c r="I5824" s="1">
        <v>-10.705500000000001</v>
      </c>
    </row>
    <row r="5825" spans="1:9" x14ac:dyDescent="0.35">
      <c r="A5825" s="3">
        <v>43074</v>
      </c>
      <c r="B5825" s="1" t="s">
        <v>2682</v>
      </c>
      <c r="C5825" s="1" t="s">
        <v>64</v>
      </c>
      <c r="D5825" s="1" t="s">
        <v>18</v>
      </c>
      <c r="E5825" s="1" t="s">
        <v>35</v>
      </c>
      <c r="F5825" s="2" t="s">
        <v>1868</v>
      </c>
      <c r="G5825" s="1">
        <v>19.167999999999999</v>
      </c>
      <c r="H5825" s="1">
        <v>4</v>
      </c>
      <c r="I5825" s="1">
        <v>6.4691999999999998</v>
      </c>
    </row>
    <row r="5826" spans="1:9" x14ac:dyDescent="0.35">
      <c r="A5826" s="3">
        <v>41675</v>
      </c>
      <c r="B5826" s="1" t="s">
        <v>927</v>
      </c>
      <c r="C5826" s="1" t="s">
        <v>249</v>
      </c>
      <c r="D5826" s="1" t="s">
        <v>250</v>
      </c>
      <c r="E5826" s="1" t="s">
        <v>37</v>
      </c>
      <c r="F5826" s="2" t="s">
        <v>1559</v>
      </c>
      <c r="G5826" s="1">
        <v>26.135999999999999</v>
      </c>
      <c r="H5826" s="1">
        <v>3</v>
      </c>
      <c r="I5826" s="1">
        <v>1.9601999999999999</v>
      </c>
    </row>
    <row r="5827" spans="1:9" x14ac:dyDescent="0.35">
      <c r="A5827" s="3">
        <v>42803</v>
      </c>
      <c r="B5827" s="1" t="s">
        <v>2470</v>
      </c>
      <c r="C5827" s="1" t="s">
        <v>135</v>
      </c>
      <c r="D5827" s="1" t="s">
        <v>136</v>
      </c>
      <c r="E5827" s="1" t="s">
        <v>44</v>
      </c>
      <c r="F5827" s="2" t="s">
        <v>1639</v>
      </c>
      <c r="G5827" s="1">
        <v>419.4</v>
      </c>
      <c r="H5827" s="1">
        <v>4</v>
      </c>
      <c r="I5827" s="1">
        <v>201.31200000000001</v>
      </c>
    </row>
    <row r="5828" spans="1:9" x14ac:dyDescent="0.35">
      <c r="A5828" s="3">
        <v>42803</v>
      </c>
      <c r="B5828" s="1" t="s">
        <v>2470</v>
      </c>
      <c r="C5828" s="1" t="s">
        <v>135</v>
      </c>
      <c r="D5828" s="1" t="s">
        <v>136</v>
      </c>
      <c r="E5828" s="1" t="s">
        <v>14</v>
      </c>
      <c r="F5828" s="2" t="s">
        <v>2861</v>
      </c>
      <c r="G5828" s="1">
        <v>90.801000000000002</v>
      </c>
      <c r="H5828" s="1">
        <v>1</v>
      </c>
      <c r="I5828" s="1">
        <v>14.124599999999999</v>
      </c>
    </row>
    <row r="5829" spans="1:9" x14ac:dyDescent="0.35">
      <c r="A5829" s="3">
        <v>42803</v>
      </c>
      <c r="B5829" s="1" t="s">
        <v>2470</v>
      </c>
      <c r="C5829" s="1" t="s">
        <v>135</v>
      </c>
      <c r="D5829" s="1" t="s">
        <v>136</v>
      </c>
      <c r="E5829" s="1" t="s">
        <v>14</v>
      </c>
      <c r="F5829" s="2" t="s">
        <v>434</v>
      </c>
      <c r="G5829" s="1">
        <v>181.76400000000001</v>
      </c>
      <c r="H5829" s="1">
        <v>2</v>
      </c>
      <c r="I5829" s="1">
        <v>-8.0784000000000002</v>
      </c>
    </row>
    <row r="5830" spans="1:9" x14ac:dyDescent="0.35">
      <c r="A5830" s="3">
        <v>42803</v>
      </c>
      <c r="B5830" s="1" t="s">
        <v>2470</v>
      </c>
      <c r="C5830" s="1" t="s">
        <v>135</v>
      </c>
      <c r="D5830" s="1" t="s">
        <v>136</v>
      </c>
      <c r="E5830" s="1" t="s">
        <v>31</v>
      </c>
      <c r="F5830" s="2" t="s">
        <v>1782</v>
      </c>
      <c r="G5830" s="1">
        <v>5.56</v>
      </c>
      <c r="H5830" s="1">
        <v>2</v>
      </c>
      <c r="I5830" s="1">
        <v>2.2240000000000002</v>
      </c>
    </row>
    <row r="5831" spans="1:9" x14ac:dyDescent="0.35">
      <c r="A5831" s="3">
        <v>42441</v>
      </c>
      <c r="B5831" s="1" t="s">
        <v>1661</v>
      </c>
      <c r="C5831" s="1" t="s">
        <v>693</v>
      </c>
      <c r="D5831" s="1" t="s">
        <v>129</v>
      </c>
      <c r="E5831" s="1" t="s">
        <v>24</v>
      </c>
      <c r="F5831" s="2" t="s">
        <v>584</v>
      </c>
      <c r="G5831" s="1">
        <v>581.96</v>
      </c>
      <c r="H5831" s="1">
        <v>2</v>
      </c>
      <c r="I5831" s="1">
        <v>104.75279999999999</v>
      </c>
    </row>
    <row r="5832" spans="1:9" x14ac:dyDescent="0.35">
      <c r="A5832" s="3">
        <v>42441</v>
      </c>
      <c r="B5832" s="1" t="s">
        <v>1661</v>
      </c>
      <c r="C5832" s="1" t="s">
        <v>693</v>
      </c>
      <c r="D5832" s="1" t="s">
        <v>129</v>
      </c>
      <c r="E5832" s="1" t="s">
        <v>14</v>
      </c>
      <c r="F5832" s="2" t="s">
        <v>1908</v>
      </c>
      <c r="G5832" s="1">
        <v>29.98</v>
      </c>
      <c r="H5832" s="1">
        <v>1</v>
      </c>
      <c r="I5832" s="1">
        <v>8.0945999999999998</v>
      </c>
    </row>
    <row r="5833" spans="1:9" x14ac:dyDescent="0.35">
      <c r="A5833" s="3" t="s">
        <v>3680</v>
      </c>
      <c r="B5833" s="1" t="s">
        <v>1079</v>
      </c>
      <c r="C5833" s="1" t="s">
        <v>461</v>
      </c>
      <c r="D5833" s="1" t="s">
        <v>18</v>
      </c>
      <c r="E5833" s="1" t="s">
        <v>81</v>
      </c>
      <c r="F5833" s="2" t="s">
        <v>2163</v>
      </c>
      <c r="G5833" s="1">
        <v>519.96</v>
      </c>
      <c r="H5833" s="1">
        <v>4</v>
      </c>
      <c r="I5833" s="1">
        <v>176.78639999999999</v>
      </c>
    </row>
    <row r="5834" spans="1:9" x14ac:dyDescent="0.35">
      <c r="A5834" s="3" t="s">
        <v>3666</v>
      </c>
      <c r="B5834" s="1" t="s">
        <v>1600</v>
      </c>
      <c r="C5834" s="1" t="s">
        <v>42</v>
      </c>
      <c r="D5834" s="1" t="s">
        <v>43</v>
      </c>
      <c r="E5834" s="1" t="s">
        <v>19</v>
      </c>
      <c r="F5834" s="2" t="s">
        <v>1595</v>
      </c>
      <c r="G5834" s="1">
        <v>6.2640000000000002</v>
      </c>
      <c r="H5834" s="1">
        <v>3</v>
      </c>
      <c r="I5834" s="1">
        <v>2.0358000000000001</v>
      </c>
    </row>
    <row r="5835" spans="1:9" x14ac:dyDescent="0.35">
      <c r="A5835" s="3" t="s">
        <v>3666</v>
      </c>
      <c r="B5835" s="1" t="s">
        <v>1600</v>
      </c>
      <c r="C5835" s="1" t="s">
        <v>42</v>
      </c>
      <c r="D5835" s="1" t="s">
        <v>43</v>
      </c>
      <c r="E5835" s="1" t="s">
        <v>14</v>
      </c>
      <c r="F5835" s="2" t="s">
        <v>1606</v>
      </c>
      <c r="G5835" s="1">
        <v>363.92</v>
      </c>
      <c r="H5835" s="1">
        <v>5</v>
      </c>
      <c r="I5835" s="1">
        <v>0</v>
      </c>
    </row>
    <row r="5836" spans="1:9" x14ac:dyDescent="0.35">
      <c r="A5836" s="3">
        <v>42253</v>
      </c>
      <c r="B5836" s="1" t="s">
        <v>333</v>
      </c>
      <c r="C5836" s="1" t="s">
        <v>672</v>
      </c>
      <c r="D5836" s="1" t="s">
        <v>23</v>
      </c>
      <c r="E5836" s="1" t="s">
        <v>35</v>
      </c>
      <c r="F5836" s="2" t="s">
        <v>2728</v>
      </c>
      <c r="G5836" s="1">
        <v>64.2</v>
      </c>
      <c r="H5836" s="1">
        <v>5</v>
      </c>
      <c r="I5836" s="1">
        <v>-42.8</v>
      </c>
    </row>
    <row r="5837" spans="1:9" x14ac:dyDescent="0.35">
      <c r="A5837" s="3">
        <v>42253</v>
      </c>
      <c r="B5837" s="1" t="s">
        <v>333</v>
      </c>
      <c r="C5837" s="1" t="s">
        <v>672</v>
      </c>
      <c r="D5837" s="1" t="s">
        <v>23</v>
      </c>
      <c r="E5837" s="1" t="s">
        <v>35</v>
      </c>
      <c r="F5837" s="2" t="s">
        <v>1932</v>
      </c>
      <c r="G5837" s="1">
        <v>38.520000000000003</v>
      </c>
      <c r="H5837" s="1">
        <v>3</v>
      </c>
      <c r="I5837" s="1">
        <v>-26.963999999999999</v>
      </c>
    </row>
    <row r="5838" spans="1:9" x14ac:dyDescent="0.35">
      <c r="A5838" s="3">
        <v>42253</v>
      </c>
      <c r="B5838" s="1" t="s">
        <v>333</v>
      </c>
      <c r="C5838" s="1" t="s">
        <v>672</v>
      </c>
      <c r="D5838" s="1" t="s">
        <v>23</v>
      </c>
      <c r="E5838" s="1" t="s">
        <v>81</v>
      </c>
      <c r="F5838" s="2" t="s">
        <v>2826</v>
      </c>
      <c r="G5838" s="1">
        <v>72.599999999999994</v>
      </c>
      <c r="H5838" s="1">
        <v>5</v>
      </c>
      <c r="I5838" s="1">
        <v>-8.1675000000000004</v>
      </c>
    </row>
    <row r="5839" spans="1:9" x14ac:dyDescent="0.35">
      <c r="A5839" s="3" t="s">
        <v>3227</v>
      </c>
      <c r="B5839" s="1" t="s">
        <v>2947</v>
      </c>
      <c r="C5839" s="1" t="s">
        <v>17</v>
      </c>
      <c r="D5839" s="1" t="s">
        <v>18</v>
      </c>
      <c r="E5839" s="1" t="s">
        <v>33</v>
      </c>
      <c r="F5839" s="2" t="s">
        <v>2948</v>
      </c>
      <c r="G5839" s="1">
        <v>57.567999999999998</v>
      </c>
      <c r="H5839" s="1">
        <v>4</v>
      </c>
      <c r="I5839" s="1">
        <v>5.7568000000000001</v>
      </c>
    </row>
    <row r="5840" spans="1:9" x14ac:dyDescent="0.35">
      <c r="A5840" s="3" t="s">
        <v>3681</v>
      </c>
      <c r="B5840" s="1" t="s">
        <v>2139</v>
      </c>
      <c r="C5840" s="1" t="s">
        <v>47</v>
      </c>
      <c r="D5840" s="1" t="s">
        <v>48</v>
      </c>
      <c r="E5840" s="1" t="s">
        <v>26</v>
      </c>
      <c r="F5840" s="2" t="s">
        <v>2949</v>
      </c>
      <c r="G5840" s="1">
        <v>83.7</v>
      </c>
      <c r="H5840" s="1">
        <v>5</v>
      </c>
      <c r="I5840" s="1">
        <v>3.3479999999999999</v>
      </c>
    </row>
    <row r="5841" spans="1:9" x14ac:dyDescent="0.35">
      <c r="A5841" s="3" t="s">
        <v>3682</v>
      </c>
      <c r="B5841" s="1" t="s">
        <v>2440</v>
      </c>
      <c r="C5841" s="1" t="s">
        <v>540</v>
      </c>
      <c r="D5841" s="1" t="s">
        <v>163</v>
      </c>
      <c r="E5841" s="1" t="s">
        <v>44</v>
      </c>
      <c r="F5841" s="2" t="s">
        <v>1977</v>
      </c>
      <c r="G5841" s="1">
        <v>32.4</v>
      </c>
      <c r="H5841" s="1">
        <v>5</v>
      </c>
      <c r="I5841" s="1">
        <v>15.552</v>
      </c>
    </row>
    <row r="5842" spans="1:9" x14ac:dyDescent="0.35">
      <c r="A5842" s="3" t="s">
        <v>3682</v>
      </c>
      <c r="B5842" s="1" t="s">
        <v>2440</v>
      </c>
      <c r="C5842" s="1" t="s">
        <v>540</v>
      </c>
      <c r="D5842" s="1" t="s">
        <v>163</v>
      </c>
      <c r="E5842" s="1" t="s">
        <v>29</v>
      </c>
      <c r="F5842" s="2" t="s">
        <v>1557</v>
      </c>
      <c r="G5842" s="1">
        <v>47.98</v>
      </c>
      <c r="H5842" s="1">
        <v>2</v>
      </c>
      <c r="I5842" s="1">
        <v>11.035399999999999</v>
      </c>
    </row>
    <row r="5843" spans="1:9" x14ac:dyDescent="0.35">
      <c r="A5843" s="3" t="s">
        <v>3550</v>
      </c>
      <c r="B5843" s="1" t="s">
        <v>2065</v>
      </c>
      <c r="C5843" s="1" t="s">
        <v>461</v>
      </c>
      <c r="D5843" s="1" t="s">
        <v>18</v>
      </c>
      <c r="E5843" s="1" t="s">
        <v>33</v>
      </c>
      <c r="F5843" s="2" t="s">
        <v>2950</v>
      </c>
      <c r="G5843" s="1">
        <v>415.96800000000002</v>
      </c>
      <c r="H5843" s="1">
        <v>4</v>
      </c>
      <c r="I5843" s="1">
        <v>51.996000000000002</v>
      </c>
    </row>
    <row r="5844" spans="1:9" x14ac:dyDescent="0.35">
      <c r="A5844" s="3" t="s">
        <v>3550</v>
      </c>
      <c r="B5844" s="1" t="s">
        <v>2065</v>
      </c>
      <c r="C5844" s="1" t="s">
        <v>461</v>
      </c>
      <c r="D5844" s="1" t="s">
        <v>18</v>
      </c>
      <c r="E5844" s="1" t="s">
        <v>26</v>
      </c>
      <c r="F5844" s="2" t="s">
        <v>1490</v>
      </c>
      <c r="G5844" s="1">
        <v>304.89999999999998</v>
      </c>
      <c r="H5844" s="1">
        <v>5</v>
      </c>
      <c r="I5844" s="1">
        <v>6.0979999999999999</v>
      </c>
    </row>
    <row r="5845" spans="1:9" x14ac:dyDescent="0.35">
      <c r="A5845" s="3" t="s">
        <v>3550</v>
      </c>
      <c r="B5845" s="1" t="s">
        <v>2065</v>
      </c>
      <c r="C5845" s="1" t="s">
        <v>461</v>
      </c>
      <c r="D5845" s="1" t="s">
        <v>18</v>
      </c>
      <c r="E5845" s="1" t="s">
        <v>29</v>
      </c>
      <c r="F5845" s="2" t="s">
        <v>2831</v>
      </c>
      <c r="G5845" s="1">
        <v>80.959999999999994</v>
      </c>
      <c r="H5845" s="1">
        <v>4</v>
      </c>
      <c r="I5845" s="1">
        <v>29.145600000000002</v>
      </c>
    </row>
    <row r="5846" spans="1:9" x14ac:dyDescent="0.35">
      <c r="A5846" s="3" t="s">
        <v>3550</v>
      </c>
      <c r="B5846" s="1" t="s">
        <v>2065</v>
      </c>
      <c r="C5846" s="1" t="s">
        <v>461</v>
      </c>
      <c r="D5846" s="1" t="s">
        <v>18</v>
      </c>
      <c r="E5846" s="1" t="s">
        <v>26</v>
      </c>
      <c r="F5846" s="2" t="s">
        <v>2776</v>
      </c>
      <c r="G5846" s="1">
        <v>777.21</v>
      </c>
      <c r="H5846" s="1">
        <v>7</v>
      </c>
      <c r="I5846" s="1">
        <v>54.404699999999998</v>
      </c>
    </row>
    <row r="5847" spans="1:9" x14ac:dyDescent="0.35">
      <c r="A5847" s="3" t="s">
        <v>3550</v>
      </c>
      <c r="B5847" s="1" t="s">
        <v>2065</v>
      </c>
      <c r="C5847" s="1" t="s">
        <v>461</v>
      </c>
      <c r="D5847" s="1" t="s">
        <v>18</v>
      </c>
      <c r="E5847" s="1" t="s">
        <v>44</v>
      </c>
      <c r="F5847" s="2" t="s">
        <v>1658</v>
      </c>
      <c r="G5847" s="1">
        <v>32.4</v>
      </c>
      <c r="H5847" s="1">
        <v>5</v>
      </c>
      <c r="I5847" s="1">
        <v>15.552</v>
      </c>
    </row>
    <row r="5848" spans="1:9" x14ac:dyDescent="0.35">
      <c r="A5848" s="3" t="s">
        <v>3550</v>
      </c>
      <c r="B5848" s="1" t="s">
        <v>2065</v>
      </c>
      <c r="C5848" s="1" t="s">
        <v>461</v>
      </c>
      <c r="D5848" s="1" t="s">
        <v>18</v>
      </c>
      <c r="E5848" s="1" t="s">
        <v>14</v>
      </c>
      <c r="F5848" s="2" t="s">
        <v>1513</v>
      </c>
      <c r="G5848" s="1">
        <v>225.56800000000001</v>
      </c>
      <c r="H5848" s="1">
        <v>2</v>
      </c>
      <c r="I5848" s="1">
        <v>2.8195999999999999</v>
      </c>
    </row>
    <row r="5849" spans="1:9" x14ac:dyDescent="0.35">
      <c r="A5849" s="3" t="s">
        <v>3550</v>
      </c>
      <c r="B5849" s="1" t="s">
        <v>2065</v>
      </c>
      <c r="C5849" s="1" t="s">
        <v>461</v>
      </c>
      <c r="D5849" s="1" t="s">
        <v>18</v>
      </c>
      <c r="E5849" s="1" t="s">
        <v>29</v>
      </c>
      <c r="F5849" s="2" t="s">
        <v>1871</v>
      </c>
      <c r="G5849" s="1">
        <v>36.6</v>
      </c>
      <c r="H5849" s="1">
        <v>3</v>
      </c>
      <c r="I5849" s="1">
        <v>15.372</v>
      </c>
    </row>
    <row r="5850" spans="1:9" x14ac:dyDescent="0.35">
      <c r="A5850" s="3">
        <v>42288</v>
      </c>
      <c r="B5850" s="1" t="s">
        <v>721</v>
      </c>
      <c r="C5850" s="1" t="s">
        <v>283</v>
      </c>
      <c r="D5850" s="1" t="s">
        <v>115</v>
      </c>
      <c r="E5850" s="1" t="s">
        <v>37</v>
      </c>
      <c r="F5850" s="2" t="s">
        <v>1434</v>
      </c>
      <c r="G5850" s="1">
        <v>715.64</v>
      </c>
      <c r="H5850" s="1">
        <v>2</v>
      </c>
      <c r="I5850" s="1">
        <v>178.91</v>
      </c>
    </row>
    <row r="5851" spans="1:9" x14ac:dyDescent="0.35">
      <c r="A5851" s="3">
        <v>42288</v>
      </c>
      <c r="B5851" s="1" t="s">
        <v>721</v>
      </c>
      <c r="C5851" s="1" t="s">
        <v>283</v>
      </c>
      <c r="D5851" s="1" t="s">
        <v>115</v>
      </c>
      <c r="E5851" s="1" t="s">
        <v>26</v>
      </c>
      <c r="F5851" s="2" t="s">
        <v>2051</v>
      </c>
      <c r="G5851" s="1">
        <v>795.51</v>
      </c>
      <c r="H5851" s="1">
        <v>3</v>
      </c>
      <c r="I5851" s="1">
        <v>143.1918</v>
      </c>
    </row>
    <row r="5852" spans="1:9" x14ac:dyDescent="0.35">
      <c r="A5852" s="3">
        <v>42288</v>
      </c>
      <c r="B5852" s="1" t="s">
        <v>721</v>
      </c>
      <c r="C5852" s="1" t="s">
        <v>283</v>
      </c>
      <c r="D5852" s="1" t="s">
        <v>115</v>
      </c>
      <c r="E5852" s="1" t="s">
        <v>579</v>
      </c>
      <c r="F5852" s="2" t="s">
        <v>2617</v>
      </c>
      <c r="G5852" s="1">
        <v>549.99</v>
      </c>
      <c r="H5852" s="1">
        <v>1</v>
      </c>
      <c r="I5852" s="1">
        <v>274.995</v>
      </c>
    </row>
    <row r="5853" spans="1:9" x14ac:dyDescent="0.35">
      <c r="A5853" s="3">
        <v>42288</v>
      </c>
      <c r="B5853" s="1" t="s">
        <v>721</v>
      </c>
      <c r="C5853" s="1" t="s">
        <v>283</v>
      </c>
      <c r="D5853" s="1" t="s">
        <v>115</v>
      </c>
      <c r="E5853" s="1" t="s">
        <v>35</v>
      </c>
      <c r="F5853" s="2" t="s">
        <v>806</v>
      </c>
      <c r="G5853" s="1">
        <v>74.760000000000005</v>
      </c>
      <c r="H5853" s="1">
        <v>3</v>
      </c>
      <c r="I5853" s="1">
        <v>34.389600000000002</v>
      </c>
    </row>
    <row r="5854" spans="1:9" x14ac:dyDescent="0.35">
      <c r="A5854" s="3">
        <v>42288</v>
      </c>
      <c r="B5854" s="1" t="s">
        <v>721</v>
      </c>
      <c r="C5854" s="1" t="s">
        <v>283</v>
      </c>
      <c r="D5854" s="1" t="s">
        <v>115</v>
      </c>
      <c r="E5854" s="1" t="s">
        <v>29</v>
      </c>
      <c r="F5854" s="2" t="s">
        <v>449</v>
      </c>
      <c r="G5854" s="1">
        <v>29.22</v>
      </c>
      <c r="H5854" s="1">
        <v>3</v>
      </c>
      <c r="I5854" s="1">
        <v>12.8568</v>
      </c>
    </row>
    <row r="5855" spans="1:9" x14ac:dyDescent="0.35">
      <c r="A5855" s="3">
        <v>41921</v>
      </c>
      <c r="B5855" s="1" t="s">
        <v>1861</v>
      </c>
      <c r="C5855" s="1" t="s">
        <v>1306</v>
      </c>
      <c r="D5855" s="1" t="s">
        <v>163</v>
      </c>
      <c r="E5855" s="1" t="s">
        <v>35</v>
      </c>
      <c r="F5855" s="2" t="s">
        <v>583</v>
      </c>
      <c r="G5855" s="1">
        <v>9.64</v>
      </c>
      <c r="H5855" s="1">
        <v>2</v>
      </c>
      <c r="I5855" s="1">
        <v>4.7236000000000002</v>
      </c>
    </row>
    <row r="5856" spans="1:9" x14ac:dyDescent="0.35">
      <c r="A5856" s="3">
        <v>42132</v>
      </c>
      <c r="B5856" s="1" t="s">
        <v>2562</v>
      </c>
      <c r="C5856" s="1" t="s">
        <v>399</v>
      </c>
      <c r="D5856" s="1" t="s">
        <v>52</v>
      </c>
      <c r="E5856" s="1" t="s">
        <v>26</v>
      </c>
      <c r="F5856" s="2" t="s">
        <v>1984</v>
      </c>
      <c r="G5856" s="1">
        <v>33.488</v>
      </c>
      <c r="H5856" s="1">
        <v>7</v>
      </c>
      <c r="I5856" s="1">
        <v>-1.2558</v>
      </c>
    </row>
    <row r="5857" spans="1:9" x14ac:dyDescent="0.35">
      <c r="A5857" s="3">
        <v>42132</v>
      </c>
      <c r="B5857" s="1" t="s">
        <v>2562</v>
      </c>
      <c r="C5857" s="1" t="s">
        <v>399</v>
      </c>
      <c r="D5857" s="1" t="s">
        <v>52</v>
      </c>
      <c r="E5857" s="1" t="s">
        <v>289</v>
      </c>
      <c r="F5857" s="2" t="s">
        <v>2512</v>
      </c>
      <c r="G5857" s="1">
        <v>23.04</v>
      </c>
      <c r="H5857" s="1">
        <v>3</v>
      </c>
      <c r="I5857" s="1">
        <v>-4.8959999999999999</v>
      </c>
    </row>
    <row r="5858" spans="1:9" x14ac:dyDescent="0.35">
      <c r="A5858" s="3">
        <v>42132</v>
      </c>
      <c r="B5858" s="1" t="s">
        <v>2562</v>
      </c>
      <c r="C5858" s="1" t="s">
        <v>399</v>
      </c>
      <c r="D5858" s="1" t="s">
        <v>52</v>
      </c>
      <c r="E5858" s="1" t="s">
        <v>35</v>
      </c>
      <c r="F5858" s="2" t="s">
        <v>2127</v>
      </c>
      <c r="G5858" s="1">
        <v>1.3620000000000001</v>
      </c>
      <c r="H5858" s="1">
        <v>1</v>
      </c>
      <c r="I5858" s="1">
        <v>-2.1791999999999998</v>
      </c>
    </row>
    <row r="5859" spans="1:9" x14ac:dyDescent="0.35">
      <c r="A5859" s="3">
        <v>42132</v>
      </c>
      <c r="B5859" s="1" t="s">
        <v>2562</v>
      </c>
      <c r="C5859" s="1" t="s">
        <v>399</v>
      </c>
      <c r="D5859" s="1" t="s">
        <v>52</v>
      </c>
      <c r="E5859" s="1" t="s">
        <v>29</v>
      </c>
      <c r="F5859" s="2" t="s">
        <v>2074</v>
      </c>
      <c r="G5859" s="1">
        <v>14.76</v>
      </c>
      <c r="H5859" s="1">
        <v>5</v>
      </c>
      <c r="I5859" s="1">
        <v>-11.439</v>
      </c>
    </row>
    <row r="5860" spans="1:9" x14ac:dyDescent="0.35">
      <c r="A5860" s="3">
        <v>42803</v>
      </c>
      <c r="B5860" s="1" t="s">
        <v>1120</v>
      </c>
      <c r="C5860" s="1" t="s">
        <v>42</v>
      </c>
      <c r="D5860" s="1" t="s">
        <v>18</v>
      </c>
      <c r="E5860" s="1" t="s">
        <v>12</v>
      </c>
      <c r="F5860" s="2" t="s">
        <v>2668</v>
      </c>
      <c r="G5860" s="1">
        <v>239.666</v>
      </c>
      <c r="H5860" s="1">
        <v>2</v>
      </c>
      <c r="I5860" s="1">
        <v>14.098000000000001</v>
      </c>
    </row>
    <row r="5861" spans="1:9" x14ac:dyDescent="0.35">
      <c r="A5861" s="3">
        <v>42015</v>
      </c>
      <c r="B5861" s="1" t="s">
        <v>2354</v>
      </c>
      <c r="C5861" s="1" t="s">
        <v>2951</v>
      </c>
      <c r="D5861" s="1" t="s">
        <v>797</v>
      </c>
      <c r="E5861" s="1" t="s">
        <v>24</v>
      </c>
      <c r="F5861" s="2" t="s">
        <v>1673</v>
      </c>
      <c r="G5861" s="1">
        <v>301.95999999999998</v>
      </c>
      <c r="H5861" s="1">
        <v>2</v>
      </c>
      <c r="I5861" s="1">
        <v>45.293999999999997</v>
      </c>
    </row>
    <row r="5862" spans="1:9" x14ac:dyDescent="0.35">
      <c r="A5862" s="3" t="s">
        <v>3683</v>
      </c>
      <c r="B5862" s="1" t="s">
        <v>356</v>
      </c>
      <c r="C5862" s="1" t="s">
        <v>74</v>
      </c>
      <c r="D5862" s="1" t="s">
        <v>75</v>
      </c>
      <c r="E5862" s="1" t="s">
        <v>44</v>
      </c>
      <c r="F5862" s="2" t="s">
        <v>1769</v>
      </c>
      <c r="G5862" s="1">
        <v>7.968</v>
      </c>
      <c r="H5862" s="1">
        <v>2</v>
      </c>
      <c r="I5862" s="1">
        <v>2.8883999999999999</v>
      </c>
    </row>
    <row r="5863" spans="1:9" x14ac:dyDescent="0.35">
      <c r="A5863" s="3">
        <v>42374</v>
      </c>
      <c r="B5863" s="1" t="s">
        <v>2278</v>
      </c>
      <c r="C5863" s="1" t="s">
        <v>2100</v>
      </c>
      <c r="D5863" s="1" t="s">
        <v>797</v>
      </c>
      <c r="E5863" s="1" t="s">
        <v>44</v>
      </c>
      <c r="F5863" s="2" t="s">
        <v>2952</v>
      </c>
      <c r="G5863" s="1">
        <v>109.92</v>
      </c>
      <c r="H5863" s="1">
        <v>2</v>
      </c>
      <c r="I5863" s="1">
        <v>53.860799999999998</v>
      </c>
    </row>
    <row r="5864" spans="1:9" x14ac:dyDescent="0.35">
      <c r="A5864" s="3">
        <v>42374</v>
      </c>
      <c r="B5864" s="1" t="s">
        <v>2278</v>
      </c>
      <c r="C5864" s="1" t="s">
        <v>2100</v>
      </c>
      <c r="D5864" s="1" t="s">
        <v>797</v>
      </c>
      <c r="E5864" s="1" t="s">
        <v>44</v>
      </c>
      <c r="F5864" s="2" t="s">
        <v>2174</v>
      </c>
      <c r="G5864" s="1">
        <v>19.440000000000001</v>
      </c>
      <c r="H5864" s="1">
        <v>3</v>
      </c>
      <c r="I5864" s="1">
        <v>9.3312000000000008</v>
      </c>
    </row>
    <row r="5865" spans="1:9" x14ac:dyDescent="0.35">
      <c r="A5865" s="3">
        <v>42374</v>
      </c>
      <c r="B5865" s="1" t="s">
        <v>2278</v>
      </c>
      <c r="C5865" s="1" t="s">
        <v>2100</v>
      </c>
      <c r="D5865" s="1" t="s">
        <v>797</v>
      </c>
      <c r="E5865" s="1" t="s">
        <v>31</v>
      </c>
      <c r="F5865" s="2" t="s">
        <v>1360</v>
      </c>
      <c r="G5865" s="1">
        <v>11.16</v>
      </c>
      <c r="H5865" s="1">
        <v>2</v>
      </c>
      <c r="I5865" s="1">
        <v>4.3524000000000003</v>
      </c>
    </row>
    <row r="5866" spans="1:9" x14ac:dyDescent="0.35">
      <c r="A5866" s="3">
        <v>41767</v>
      </c>
      <c r="B5866" s="1" t="s">
        <v>2154</v>
      </c>
      <c r="C5866" s="1" t="s">
        <v>1920</v>
      </c>
      <c r="D5866" s="1" t="s">
        <v>368</v>
      </c>
      <c r="E5866" s="1" t="s">
        <v>37</v>
      </c>
      <c r="F5866" s="2" t="s">
        <v>2118</v>
      </c>
      <c r="G5866" s="1">
        <v>79.47</v>
      </c>
      <c r="H5866" s="1">
        <v>3</v>
      </c>
      <c r="I5866" s="1">
        <v>22.2516</v>
      </c>
    </row>
    <row r="5867" spans="1:9" x14ac:dyDescent="0.35">
      <c r="A5867" s="3">
        <v>41767</v>
      </c>
      <c r="B5867" s="1" t="s">
        <v>2154</v>
      </c>
      <c r="C5867" s="1" t="s">
        <v>1920</v>
      </c>
      <c r="D5867" s="1" t="s">
        <v>368</v>
      </c>
      <c r="E5867" s="1" t="s">
        <v>31</v>
      </c>
      <c r="F5867" s="2" t="s">
        <v>2672</v>
      </c>
      <c r="G5867" s="1">
        <v>4.5599999999999996</v>
      </c>
      <c r="H5867" s="1">
        <v>2</v>
      </c>
      <c r="I5867" s="1">
        <v>2.0064000000000002</v>
      </c>
    </row>
    <row r="5868" spans="1:9" x14ac:dyDescent="0.35">
      <c r="A5868" s="3">
        <v>41767</v>
      </c>
      <c r="B5868" s="1" t="s">
        <v>2154</v>
      </c>
      <c r="C5868" s="1" t="s">
        <v>1920</v>
      </c>
      <c r="D5868" s="1" t="s">
        <v>368</v>
      </c>
      <c r="E5868" s="1" t="s">
        <v>14</v>
      </c>
      <c r="F5868" s="2" t="s">
        <v>1108</v>
      </c>
      <c r="G5868" s="1">
        <v>1133.3499999999999</v>
      </c>
      <c r="H5868" s="1">
        <v>5</v>
      </c>
      <c r="I5868" s="1">
        <v>294.67099999999999</v>
      </c>
    </row>
    <row r="5869" spans="1:9" x14ac:dyDescent="0.35">
      <c r="A5869" s="3">
        <v>42461</v>
      </c>
      <c r="B5869" s="1" t="s">
        <v>542</v>
      </c>
      <c r="C5869" s="1" t="s">
        <v>74</v>
      </c>
      <c r="D5869" s="1" t="s">
        <v>75</v>
      </c>
      <c r="E5869" s="1" t="s">
        <v>31</v>
      </c>
      <c r="F5869" s="2" t="s">
        <v>915</v>
      </c>
      <c r="G5869" s="1">
        <v>4.6719999999999997</v>
      </c>
      <c r="H5869" s="1">
        <v>1</v>
      </c>
      <c r="I5869" s="1">
        <v>0.58399999999999996</v>
      </c>
    </row>
    <row r="5870" spans="1:9" x14ac:dyDescent="0.35">
      <c r="A5870" s="3">
        <v>42461</v>
      </c>
      <c r="B5870" s="1" t="s">
        <v>542</v>
      </c>
      <c r="C5870" s="1" t="s">
        <v>74</v>
      </c>
      <c r="D5870" s="1" t="s">
        <v>75</v>
      </c>
      <c r="E5870" s="1" t="s">
        <v>35</v>
      </c>
      <c r="F5870" s="2" t="s">
        <v>1540</v>
      </c>
      <c r="G5870" s="1">
        <v>104.58</v>
      </c>
      <c r="H5870" s="1">
        <v>6</v>
      </c>
      <c r="I5870" s="1">
        <v>-80.177999999999997</v>
      </c>
    </row>
    <row r="5871" spans="1:9" x14ac:dyDescent="0.35">
      <c r="A5871" s="3">
        <v>42562</v>
      </c>
      <c r="B5871" s="1" t="s">
        <v>2425</v>
      </c>
      <c r="C5871" s="1" t="s">
        <v>2953</v>
      </c>
      <c r="D5871" s="1" t="s">
        <v>2954</v>
      </c>
      <c r="E5871" s="1" t="s">
        <v>14</v>
      </c>
      <c r="F5871" s="2" t="s">
        <v>807</v>
      </c>
      <c r="G5871" s="1">
        <v>1603.136</v>
      </c>
      <c r="H5871" s="1">
        <v>4</v>
      </c>
      <c r="I5871" s="1">
        <v>100.196</v>
      </c>
    </row>
    <row r="5872" spans="1:9" x14ac:dyDescent="0.35">
      <c r="A5872" s="3" t="s">
        <v>3650</v>
      </c>
      <c r="B5872" s="1" t="s">
        <v>740</v>
      </c>
      <c r="C5872" s="1" t="s">
        <v>871</v>
      </c>
      <c r="D5872" s="1" t="s">
        <v>18</v>
      </c>
      <c r="E5872" s="1" t="s">
        <v>24</v>
      </c>
      <c r="F5872" s="2" t="s">
        <v>2908</v>
      </c>
      <c r="G5872" s="1">
        <v>1293.4880000000001</v>
      </c>
      <c r="H5872" s="1">
        <v>7</v>
      </c>
      <c r="I5872" s="1">
        <v>80.843000000000004</v>
      </c>
    </row>
    <row r="5873" spans="1:9" x14ac:dyDescent="0.35">
      <c r="A5873" s="3" t="s">
        <v>3644</v>
      </c>
      <c r="B5873" s="1" t="s">
        <v>329</v>
      </c>
      <c r="C5873" s="1" t="s">
        <v>269</v>
      </c>
      <c r="D5873" s="1" t="s">
        <v>129</v>
      </c>
      <c r="E5873" s="1" t="s">
        <v>29</v>
      </c>
      <c r="F5873" s="2" t="s">
        <v>231</v>
      </c>
      <c r="G5873" s="1">
        <v>127.95</v>
      </c>
      <c r="H5873" s="1">
        <v>3</v>
      </c>
      <c r="I5873" s="1">
        <v>21.7515</v>
      </c>
    </row>
    <row r="5874" spans="1:9" x14ac:dyDescent="0.35">
      <c r="A5874" s="3" t="s">
        <v>3565</v>
      </c>
      <c r="B5874" s="1" t="s">
        <v>1671</v>
      </c>
      <c r="C5874" s="1" t="s">
        <v>249</v>
      </c>
      <c r="D5874" s="1" t="s">
        <v>604</v>
      </c>
      <c r="E5874" s="1" t="s">
        <v>26</v>
      </c>
      <c r="F5874" s="2" t="s">
        <v>112</v>
      </c>
      <c r="G5874" s="1">
        <v>59.76</v>
      </c>
      <c r="H5874" s="1">
        <v>1</v>
      </c>
      <c r="I5874" s="1">
        <v>16.732800000000001</v>
      </c>
    </row>
    <row r="5875" spans="1:9" x14ac:dyDescent="0.35">
      <c r="A5875" s="3">
        <v>42831</v>
      </c>
      <c r="B5875" s="1" t="s">
        <v>1375</v>
      </c>
      <c r="C5875" s="1" t="s">
        <v>1418</v>
      </c>
      <c r="D5875" s="1" t="s">
        <v>797</v>
      </c>
      <c r="E5875" s="1" t="s">
        <v>35</v>
      </c>
      <c r="F5875" s="2" t="s">
        <v>1823</v>
      </c>
      <c r="G5875" s="1">
        <v>108.08</v>
      </c>
      <c r="H5875" s="1">
        <v>7</v>
      </c>
      <c r="I5875" s="1">
        <v>54.04</v>
      </c>
    </row>
    <row r="5876" spans="1:9" x14ac:dyDescent="0.35">
      <c r="A5876" s="3">
        <v>42831</v>
      </c>
      <c r="B5876" s="1" t="s">
        <v>1375</v>
      </c>
      <c r="C5876" s="1" t="s">
        <v>1418</v>
      </c>
      <c r="D5876" s="1" t="s">
        <v>797</v>
      </c>
      <c r="E5876" s="1" t="s">
        <v>35</v>
      </c>
      <c r="F5876" s="2" t="s">
        <v>2178</v>
      </c>
      <c r="G5876" s="1">
        <v>9.5399999999999991</v>
      </c>
      <c r="H5876" s="1">
        <v>3</v>
      </c>
      <c r="I5876" s="1">
        <v>4.3883999999999999</v>
      </c>
    </row>
    <row r="5877" spans="1:9" x14ac:dyDescent="0.35">
      <c r="A5877" s="3">
        <v>42189</v>
      </c>
      <c r="B5877" s="1" t="s">
        <v>370</v>
      </c>
      <c r="C5877" s="1" t="s">
        <v>74</v>
      </c>
      <c r="D5877" s="1" t="s">
        <v>75</v>
      </c>
      <c r="E5877" s="1" t="s">
        <v>31</v>
      </c>
      <c r="F5877" s="2" t="s">
        <v>999</v>
      </c>
      <c r="G5877" s="1">
        <v>11.736000000000001</v>
      </c>
      <c r="H5877" s="1">
        <v>3</v>
      </c>
      <c r="I5877" s="1">
        <v>1.0268999999999999</v>
      </c>
    </row>
    <row r="5878" spans="1:9" x14ac:dyDescent="0.35">
      <c r="A5878" s="3" t="s">
        <v>3332</v>
      </c>
      <c r="B5878" s="1" t="s">
        <v>1578</v>
      </c>
      <c r="C5878" s="1" t="s">
        <v>700</v>
      </c>
      <c r="D5878" s="1" t="s">
        <v>592</v>
      </c>
      <c r="E5878" s="1" t="s">
        <v>35</v>
      </c>
      <c r="F5878" s="2" t="s">
        <v>1167</v>
      </c>
      <c r="G5878" s="1">
        <v>447.86</v>
      </c>
      <c r="H5878" s="1">
        <v>7</v>
      </c>
      <c r="I5878" s="1">
        <v>219.45140000000001</v>
      </c>
    </row>
    <row r="5879" spans="1:9" x14ac:dyDescent="0.35">
      <c r="A5879" s="3" t="s">
        <v>3332</v>
      </c>
      <c r="B5879" s="1" t="s">
        <v>1578</v>
      </c>
      <c r="C5879" s="1" t="s">
        <v>700</v>
      </c>
      <c r="D5879" s="1" t="s">
        <v>592</v>
      </c>
      <c r="E5879" s="1" t="s">
        <v>44</v>
      </c>
      <c r="F5879" s="2" t="s">
        <v>2772</v>
      </c>
      <c r="G5879" s="1">
        <v>17.940000000000001</v>
      </c>
      <c r="H5879" s="1">
        <v>3</v>
      </c>
      <c r="I5879" s="1">
        <v>8.7905999999999995</v>
      </c>
    </row>
    <row r="5880" spans="1:9" x14ac:dyDescent="0.35">
      <c r="A5880" s="3" t="s">
        <v>3332</v>
      </c>
      <c r="B5880" s="1" t="s">
        <v>1578</v>
      </c>
      <c r="C5880" s="1" t="s">
        <v>700</v>
      </c>
      <c r="D5880" s="1" t="s">
        <v>592</v>
      </c>
      <c r="E5880" s="1" t="s">
        <v>37</v>
      </c>
      <c r="F5880" s="2" t="s">
        <v>2252</v>
      </c>
      <c r="G5880" s="1">
        <v>245.88</v>
      </c>
      <c r="H5880" s="1">
        <v>6</v>
      </c>
      <c r="I5880" s="1">
        <v>68.846400000000003</v>
      </c>
    </row>
    <row r="5881" spans="1:9" x14ac:dyDescent="0.35">
      <c r="A5881" s="3">
        <v>42499</v>
      </c>
      <c r="B5881" s="1" t="s">
        <v>2139</v>
      </c>
      <c r="C5881" s="1" t="s">
        <v>135</v>
      </c>
      <c r="D5881" s="1" t="s">
        <v>136</v>
      </c>
      <c r="E5881" s="1" t="s">
        <v>44</v>
      </c>
      <c r="F5881" s="2" t="s">
        <v>2341</v>
      </c>
      <c r="G5881" s="1">
        <v>192.16</v>
      </c>
      <c r="H5881" s="1">
        <v>4</v>
      </c>
      <c r="I5881" s="1">
        <v>92.236800000000002</v>
      </c>
    </row>
    <row r="5882" spans="1:9" x14ac:dyDescent="0.35">
      <c r="A5882" s="3" t="s">
        <v>3161</v>
      </c>
      <c r="B5882" s="1" t="s">
        <v>1707</v>
      </c>
      <c r="C5882" s="1" t="s">
        <v>461</v>
      </c>
      <c r="D5882" s="1" t="s">
        <v>18</v>
      </c>
      <c r="E5882" s="1" t="s">
        <v>14</v>
      </c>
      <c r="F5882" s="2" t="s">
        <v>807</v>
      </c>
      <c r="G5882" s="1">
        <v>801.56799999999998</v>
      </c>
      <c r="H5882" s="1">
        <v>2</v>
      </c>
      <c r="I5882" s="1">
        <v>50.097999999999999</v>
      </c>
    </row>
    <row r="5883" spans="1:9" x14ac:dyDescent="0.35">
      <c r="A5883" s="3" t="s">
        <v>3161</v>
      </c>
      <c r="B5883" s="1" t="s">
        <v>1707</v>
      </c>
      <c r="C5883" s="1" t="s">
        <v>461</v>
      </c>
      <c r="D5883" s="1" t="s">
        <v>18</v>
      </c>
      <c r="E5883" s="1" t="s">
        <v>44</v>
      </c>
      <c r="F5883" s="2" t="s">
        <v>1422</v>
      </c>
      <c r="G5883" s="1">
        <v>368.91</v>
      </c>
      <c r="H5883" s="1">
        <v>9</v>
      </c>
      <c r="I5883" s="1">
        <v>180.76589999999999</v>
      </c>
    </row>
    <row r="5884" spans="1:9" x14ac:dyDescent="0.35">
      <c r="A5884" s="3" t="s">
        <v>3161</v>
      </c>
      <c r="B5884" s="1" t="s">
        <v>1707</v>
      </c>
      <c r="C5884" s="1" t="s">
        <v>461</v>
      </c>
      <c r="D5884" s="1" t="s">
        <v>18</v>
      </c>
      <c r="E5884" s="1" t="s">
        <v>14</v>
      </c>
      <c r="F5884" s="2" t="s">
        <v>1386</v>
      </c>
      <c r="G5884" s="1">
        <v>885.52800000000002</v>
      </c>
      <c r="H5884" s="1">
        <v>9</v>
      </c>
      <c r="I5884" s="1">
        <v>-99.621899999999997</v>
      </c>
    </row>
    <row r="5885" spans="1:9" x14ac:dyDescent="0.35">
      <c r="A5885" s="3" t="s">
        <v>3684</v>
      </c>
      <c r="B5885" s="1" t="s">
        <v>1970</v>
      </c>
      <c r="C5885" s="1" t="s">
        <v>64</v>
      </c>
      <c r="D5885" s="1" t="s">
        <v>18</v>
      </c>
      <c r="E5885" s="1" t="s">
        <v>29</v>
      </c>
      <c r="F5885" s="2" t="s">
        <v>701</v>
      </c>
      <c r="G5885" s="1">
        <v>28.28</v>
      </c>
      <c r="H5885" s="1">
        <v>2</v>
      </c>
      <c r="I5885" s="1">
        <v>7.3528000000000002</v>
      </c>
    </row>
    <row r="5886" spans="1:9" x14ac:dyDescent="0.35">
      <c r="A5886" s="3" t="s">
        <v>3684</v>
      </c>
      <c r="B5886" s="1" t="s">
        <v>1970</v>
      </c>
      <c r="C5886" s="1" t="s">
        <v>64</v>
      </c>
      <c r="D5886" s="1" t="s">
        <v>18</v>
      </c>
      <c r="E5886" s="1" t="s">
        <v>289</v>
      </c>
      <c r="F5886" s="2" t="s">
        <v>2251</v>
      </c>
      <c r="G5886" s="1">
        <v>4912.59</v>
      </c>
      <c r="H5886" s="1">
        <v>3</v>
      </c>
      <c r="I5886" s="1">
        <v>196.50360000000001</v>
      </c>
    </row>
    <row r="5887" spans="1:9" x14ac:dyDescent="0.35">
      <c r="A5887" s="3" t="s">
        <v>3685</v>
      </c>
      <c r="B5887" s="1" t="s">
        <v>816</v>
      </c>
      <c r="C5887" s="1" t="s">
        <v>64</v>
      </c>
      <c r="D5887" s="1" t="s">
        <v>18</v>
      </c>
      <c r="E5887" s="1" t="s">
        <v>35</v>
      </c>
      <c r="F5887" s="2" t="s">
        <v>1599</v>
      </c>
      <c r="G5887" s="1">
        <v>14.352</v>
      </c>
      <c r="H5887" s="1">
        <v>3</v>
      </c>
      <c r="I5887" s="1">
        <v>5.0232000000000001</v>
      </c>
    </row>
    <row r="5888" spans="1:9" x14ac:dyDescent="0.35">
      <c r="A5888" s="3" t="s">
        <v>3685</v>
      </c>
      <c r="B5888" s="1" t="s">
        <v>816</v>
      </c>
      <c r="C5888" s="1" t="s">
        <v>64</v>
      </c>
      <c r="D5888" s="1" t="s">
        <v>18</v>
      </c>
      <c r="E5888" s="1" t="s">
        <v>81</v>
      </c>
      <c r="F5888" s="2" t="s">
        <v>1066</v>
      </c>
      <c r="G5888" s="1">
        <v>179.97</v>
      </c>
      <c r="H5888" s="1">
        <v>3</v>
      </c>
      <c r="I5888" s="1">
        <v>86.385599999999997</v>
      </c>
    </row>
    <row r="5889" spans="1:9" x14ac:dyDescent="0.35">
      <c r="A5889" s="3">
        <v>42957</v>
      </c>
      <c r="B5889" s="1" t="s">
        <v>2955</v>
      </c>
      <c r="C5889" s="1" t="s">
        <v>2725</v>
      </c>
      <c r="D5889" s="1" t="s">
        <v>663</v>
      </c>
      <c r="E5889" s="1" t="s">
        <v>26</v>
      </c>
      <c r="F5889" s="2" t="s">
        <v>2239</v>
      </c>
      <c r="G5889" s="1">
        <v>42.76</v>
      </c>
      <c r="H5889" s="1">
        <v>1</v>
      </c>
      <c r="I5889" s="1">
        <v>11.117599999999999</v>
      </c>
    </row>
    <row r="5890" spans="1:9" x14ac:dyDescent="0.35">
      <c r="A5890" s="3">
        <v>42190</v>
      </c>
      <c r="B5890" s="1" t="s">
        <v>1524</v>
      </c>
      <c r="C5890" s="1" t="s">
        <v>2956</v>
      </c>
      <c r="D5890" s="1" t="s">
        <v>11</v>
      </c>
      <c r="E5890" s="1" t="s">
        <v>44</v>
      </c>
      <c r="F5890" s="2" t="s">
        <v>2957</v>
      </c>
      <c r="G5890" s="1">
        <v>45.68</v>
      </c>
      <c r="H5890" s="1">
        <v>2</v>
      </c>
      <c r="I5890" s="1">
        <v>21.012799999999999</v>
      </c>
    </row>
    <row r="5891" spans="1:9" x14ac:dyDescent="0.35">
      <c r="A5891" s="3" t="s">
        <v>3242</v>
      </c>
      <c r="B5891" s="1" t="s">
        <v>2864</v>
      </c>
      <c r="C5891" s="1" t="s">
        <v>1875</v>
      </c>
      <c r="D5891" s="1" t="s">
        <v>1217</v>
      </c>
      <c r="E5891" s="1" t="s">
        <v>35</v>
      </c>
      <c r="F5891" s="2" t="s">
        <v>1838</v>
      </c>
      <c r="G5891" s="1">
        <v>25.06</v>
      </c>
      <c r="H5891" s="1">
        <v>2</v>
      </c>
      <c r="I5891" s="1">
        <v>11.7782</v>
      </c>
    </row>
    <row r="5892" spans="1:9" x14ac:dyDescent="0.35">
      <c r="A5892" s="3" t="s">
        <v>3323</v>
      </c>
      <c r="B5892" s="1" t="s">
        <v>2748</v>
      </c>
      <c r="C5892" s="1" t="s">
        <v>154</v>
      </c>
      <c r="D5892" s="1" t="s">
        <v>106</v>
      </c>
      <c r="E5892" s="1" t="s">
        <v>44</v>
      </c>
      <c r="F5892" s="2" t="s">
        <v>1206</v>
      </c>
      <c r="G5892" s="1">
        <v>38.432000000000002</v>
      </c>
      <c r="H5892" s="1">
        <v>1</v>
      </c>
      <c r="I5892" s="1">
        <v>13.4512</v>
      </c>
    </row>
    <row r="5893" spans="1:9" x14ac:dyDescent="0.35">
      <c r="A5893" s="3" t="s">
        <v>3323</v>
      </c>
      <c r="B5893" s="1" t="s">
        <v>2748</v>
      </c>
      <c r="C5893" s="1" t="s">
        <v>154</v>
      </c>
      <c r="D5893" s="1" t="s">
        <v>106</v>
      </c>
      <c r="E5893" s="1" t="s">
        <v>26</v>
      </c>
      <c r="F5893" s="2" t="s">
        <v>317</v>
      </c>
      <c r="G5893" s="1">
        <v>21.568000000000001</v>
      </c>
      <c r="H5893" s="1">
        <v>2</v>
      </c>
      <c r="I5893" s="1">
        <v>1.6175999999999999</v>
      </c>
    </row>
    <row r="5894" spans="1:9" x14ac:dyDescent="0.35">
      <c r="A5894" s="3" t="s">
        <v>3323</v>
      </c>
      <c r="B5894" s="1" t="s">
        <v>2748</v>
      </c>
      <c r="C5894" s="1" t="s">
        <v>154</v>
      </c>
      <c r="D5894" s="1" t="s">
        <v>106</v>
      </c>
      <c r="E5894" s="1" t="s">
        <v>81</v>
      </c>
      <c r="F5894" s="2" t="s">
        <v>328</v>
      </c>
      <c r="G5894" s="1">
        <v>81.575999999999993</v>
      </c>
      <c r="H5894" s="1">
        <v>3</v>
      </c>
      <c r="I5894" s="1">
        <v>2.0394000000000001</v>
      </c>
    </row>
    <row r="5895" spans="1:9" x14ac:dyDescent="0.35">
      <c r="A5895" s="3">
        <v>43017</v>
      </c>
      <c r="B5895" s="1" t="s">
        <v>2860</v>
      </c>
      <c r="C5895" s="1" t="s">
        <v>811</v>
      </c>
      <c r="D5895" s="1" t="s">
        <v>604</v>
      </c>
      <c r="E5895" s="1" t="s">
        <v>35</v>
      </c>
      <c r="F5895" s="2" t="s">
        <v>1666</v>
      </c>
      <c r="G5895" s="1">
        <v>2.78</v>
      </c>
      <c r="H5895" s="1">
        <v>1</v>
      </c>
      <c r="I5895" s="1">
        <v>1.3622000000000001</v>
      </c>
    </row>
    <row r="5896" spans="1:9" x14ac:dyDescent="0.35">
      <c r="A5896" s="3">
        <v>42987</v>
      </c>
      <c r="B5896" s="1" t="s">
        <v>1681</v>
      </c>
      <c r="C5896" s="1" t="s">
        <v>17</v>
      </c>
      <c r="D5896" s="1" t="s">
        <v>18</v>
      </c>
      <c r="E5896" s="1" t="s">
        <v>26</v>
      </c>
      <c r="F5896" s="2" t="s">
        <v>2144</v>
      </c>
      <c r="G5896" s="1">
        <v>99.87</v>
      </c>
      <c r="H5896" s="1">
        <v>3</v>
      </c>
      <c r="I5896" s="1">
        <v>23.968800000000002</v>
      </c>
    </row>
    <row r="5897" spans="1:9" x14ac:dyDescent="0.35">
      <c r="A5897" s="3">
        <v>41650</v>
      </c>
      <c r="B5897" s="1" t="s">
        <v>1721</v>
      </c>
      <c r="C5897" s="1" t="s">
        <v>17</v>
      </c>
      <c r="D5897" s="1" t="s">
        <v>18</v>
      </c>
      <c r="E5897" s="1" t="s">
        <v>19</v>
      </c>
      <c r="F5897" s="2" t="s">
        <v>2938</v>
      </c>
      <c r="G5897" s="1">
        <v>44.4</v>
      </c>
      <c r="H5897" s="1">
        <v>3</v>
      </c>
      <c r="I5897" s="1">
        <v>22.2</v>
      </c>
    </row>
    <row r="5898" spans="1:9" x14ac:dyDescent="0.35">
      <c r="A5898" s="3">
        <v>41650</v>
      </c>
      <c r="B5898" s="1" t="s">
        <v>1721</v>
      </c>
      <c r="C5898" s="1" t="s">
        <v>17</v>
      </c>
      <c r="D5898" s="1" t="s">
        <v>18</v>
      </c>
      <c r="E5898" s="1" t="s">
        <v>44</v>
      </c>
      <c r="F5898" s="2" t="s">
        <v>94</v>
      </c>
      <c r="G5898" s="1">
        <v>21.4</v>
      </c>
      <c r="H5898" s="1">
        <v>5</v>
      </c>
      <c r="I5898" s="1">
        <v>9.6300000000000008</v>
      </c>
    </row>
    <row r="5899" spans="1:9" x14ac:dyDescent="0.35">
      <c r="A5899" s="3">
        <v>42433</v>
      </c>
      <c r="B5899" s="1" t="s">
        <v>63</v>
      </c>
      <c r="C5899" s="1" t="s">
        <v>693</v>
      </c>
      <c r="D5899" s="1" t="s">
        <v>129</v>
      </c>
      <c r="E5899" s="1" t="s">
        <v>29</v>
      </c>
      <c r="F5899" s="2" t="s">
        <v>208</v>
      </c>
      <c r="G5899" s="1">
        <v>71.12</v>
      </c>
      <c r="H5899" s="1">
        <v>4</v>
      </c>
      <c r="I5899" s="1">
        <v>22.0472</v>
      </c>
    </row>
    <row r="5900" spans="1:9" x14ac:dyDescent="0.35">
      <c r="A5900" s="3">
        <v>42433</v>
      </c>
      <c r="B5900" s="1" t="s">
        <v>63</v>
      </c>
      <c r="C5900" s="1" t="s">
        <v>693</v>
      </c>
      <c r="D5900" s="1" t="s">
        <v>129</v>
      </c>
      <c r="E5900" s="1" t="s">
        <v>33</v>
      </c>
      <c r="F5900" s="2" t="s">
        <v>2344</v>
      </c>
      <c r="G5900" s="1">
        <v>259.95999999999998</v>
      </c>
      <c r="H5900" s="1">
        <v>4</v>
      </c>
      <c r="I5900" s="1">
        <v>124.7808</v>
      </c>
    </row>
    <row r="5901" spans="1:9" x14ac:dyDescent="0.35">
      <c r="A5901" s="3">
        <v>43070</v>
      </c>
      <c r="B5901" s="1" t="s">
        <v>1199</v>
      </c>
      <c r="C5901" s="1" t="s">
        <v>64</v>
      </c>
      <c r="D5901" s="1" t="s">
        <v>18</v>
      </c>
      <c r="E5901" s="1" t="s">
        <v>87</v>
      </c>
      <c r="F5901" s="2" t="s">
        <v>332</v>
      </c>
      <c r="G5901" s="1">
        <v>9.7799999999999994</v>
      </c>
      <c r="H5901" s="1">
        <v>1</v>
      </c>
      <c r="I5901" s="1">
        <v>4.8899999999999997</v>
      </c>
    </row>
    <row r="5902" spans="1:9" x14ac:dyDescent="0.35">
      <c r="A5902" s="3" t="s">
        <v>3495</v>
      </c>
      <c r="B5902" s="1" t="s">
        <v>2092</v>
      </c>
      <c r="C5902" s="1" t="s">
        <v>64</v>
      </c>
      <c r="D5902" s="1" t="s">
        <v>18</v>
      </c>
      <c r="E5902" s="1" t="s">
        <v>35</v>
      </c>
      <c r="F5902" s="2" t="s">
        <v>853</v>
      </c>
      <c r="G5902" s="1">
        <v>24.192</v>
      </c>
      <c r="H5902" s="1">
        <v>9</v>
      </c>
      <c r="I5902" s="1">
        <v>7.56</v>
      </c>
    </row>
    <row r="5903" spans="1:9" x14ac:dyDescent="0.35">
      <c r="A5903" s="3" t="s">
        <v>3401</v>
      </c>
      <c r="B5903" s="1" t="s">
        <v>1222</v>
      </c>
      <c r="C5903" s="1" t="s">
        <v>387</v>
      </c>
      <c r="D5903" s="1" t="s">
        <v>388</v>
      </c>
      <c r="E5903" s="1" t="s">
        <v>29</v>
      </c>
      <c r="F5903" s="2" t="s">
        <v>1948</v>
      </c>
      <c r="G5903" s="1">
        <v>31.56</v>
      </c>
      <c r="H5903" s="1">
        <v>3</v>
      </c>
      <c r="I5903" s="1">
        <v>10.4148</v>
      </c>
    </row>
    <row r="5904" spans="1:9" x14ac:dyDescent="0.35">
      <c r="A5904" s="3">
        <v>42897</v>
      </c>
      <c r="B5904" s="1" t="s">
        <v>370</v>
      </c>
      <c r="C5904" s="1" t="s">
        <v>64</v>
      </c>
      <c r="D5904" s="1" t="s">
        <v>18</v>
      </c>
      <c r="E5904" s="1" t="s">
        <v>44</v>
      </c>
      <c r="F5904" s="2" t="s">
        <v>687</v>
      </c>
      <c r="G5904" s="1">
        <v>59.94</v>
      </c>
      <c r="H5904" s="1">
        <v>3</v>
      </c>
      <c r="I5904" s="1">
        <v>28.171800000000001</v>
      </c>
    </row>
    <row r="5905" spans="1:9" x14ac:dyDescent="0.35">
      <c r="A5905" s="3">
        <v>42897</v>
      </c>
      <c r="B5905" s="1" t="s">
        <v>370</v>
      </c>
      <c r="C5905" s="1" t="s">
        <v>64</v>
      </c>
      <c r="D5905" s="1" t="s">
        <v>18</v>
      </c>
      <c r="E5905" s="1" t="s">
        <v>44</v>
      </c>
      <c r="F5905" s="2" t="s">
        <v>94</v>
      </c>
      <c r="G5905" s="1">
        <v>45.36</v>
      </c>
      <c r="H5905" s="1">
        <v>4</v>
      </c>
      <c r="I5905" s="1">
        <v>22.226400000000002</v>
      </c>
    </row>
    <row r="5906" spans="1:9" x14ac:dyDescent="0.35">
      <c r="A5906" s="3">
        <v>42897</v>
      </c>
      <c r="B5906" s="1" t="s">
        <v>370</v>
      </c>
      <c r="C5906" s="1" t="s">
        <v>64</v>
      </c>
      <c r="D5906" s="1" t="s">
        <v>18</v>
      </c>
      <c r="E5906" s="1" t="s">
        <v>44</v>
      </c>
      <c r="F5906" s="2" t="s">
        <v>2854</v>
      </c>
      <c r="G5906" s="1">
        <v>26.4</v>
      </c>
      <c r="H5906" s="1">
        <v>5</v>
      </c>
      <c r="I5906" s="1">
        <v>12.672000000000001</v>
      </c>
    </row>
    <row r="5907" spans="1:9" x14ac:dyDescent="0.35">
      <c r="A5907" s="3">
        <v>42897</v>
      </c>
      <c r="B5907" s="1" t="s">
        <v>370</v>
      </c>
      <c r="C5907" s="1" t="s">
        <v>64</v>
      </c>
      <c r="D5907" s="1" t="s">
        <v>18</v>
      </c>
      <c r="E5907" s="1" t="s">
        <v>19</v>
      </c>
      <c r="F5907" s="2" t="s">
        <v>2758</v>
      </c>
      <c r="G5907" s="1">
        <v>41.4</v>
      </c>
      <c r="H5907" s="1">
        <v>4</v>
      </c>
      <c r="I5907" s="1">
        <v>19.872</v>
      </c>
    </row>
    <row r="5908" spans="1:9" x14ac:dyDescent="0.35">
      <c r="A5908" s="3">
        <v>42897</v>
      </c>
      <c r="B5908" s="1" t="s">
        <v>370</v>
      </c>
      <c r="C5908" s="1" t="s">
        <v>64</v>
      </c>
      <c r="D5908" s="1" t="s">
        <v>18</v>
      </c>
      <c r="E5908" s="1" t="s">
        <v>81</v>
      </c>
      <c r="F5908" s="2" t="s">
        <v>1156</v>
      </c>
      <c r="G5908" s="1">
        <v>16.95</v>
      </c>
      <c r="H5908" s="1">
        <v>1</v>
      </c>
      <c r="I5908" s="1">
        <v>1.0169999999999999</v>
      </c>
    </row>
    <row r="5909" spans="1:9" x14ac:dyDescent="0.35">
      <c r="A5909" s="3">
        <v>42412</v>
      </c>
      <c r="B5909" s="1" t="s">
        <v>1681</v>
      </c>
      <c r="C5909" s="1" t="s">
        <v>314</v>
      </c>
      <c r="D5909" s="1" t="s">
        <v>18</v>
      </c>
      <c r="E5909" s="1" t="s">
        <v>35</v>
      </c>
      <c r="F5909" s="2" t="s">
        <v>1823</v>
      </c>
      <c r="G5909" s="1">
        <v>24.704000000000001</v>
      </c>
      <c r="H5909" s="1">
        <v>2</v>
      </c>
      <c r="I5909" s="1">
        <v>9.2639999999999993</v>
      </c>
    </row>
    <row r="5910" spans="1:9" x14ac:dyDescent="0.35">
      <c r="A5910" s="3">
        <v>42412</v>
      </c>
      <c r="B5910" s="1" t="s">
        <v>1681</v>
      </c>
      <c r="C5910" s="1" t="s">
        <v>314</v>
      </c>
      <c r="D5910" s="1" t="s">
        <v>18</v>
      </c>
      <c r="E5910" s="1" t="s">
        <v>37</v>
      </c>
      <c r="F5910" s="2" t="s">
        <v>1583</v>
      </c>
      <c r="G5910" s="1">
        <v>59.7</v>
      </c>
      <c r="H5910" s="1">
        <v>3</v>
      </c>
      <c r="I5910" s="1">
        <v>26.864999999999998</v>
      </c>
    </row>
    <row r="5911" spans="1:9" x14ac:dyDescent="0.35">
      <c r="A5911" s="3">
        <v>42412</v>
      </c>
      <c r="B5911" s="1" t="s">
        <v>1681</v>
      </c>
      <c r="C5911" s="1" t="s">
        <v>314</v>
      </c>
      <c r="D5911" s="1" t="s">
        <v>18</v>
      </c>
      <c r="E5911" s="1" t="s">
        <v>29</v>
      </c>
      <c r="F5911" s="2" t="s">
        <v>2618</v>
      </c>
      <c r="G5911" s="1">
        <v>14.52</v>
      </c>
      <c r="H5911" s="1">
        <v>3</v>
      </c>
      <c r="I5911" s="1">
        <v>5.6627999999999998</v>
      </c>
    </row>
    <row r="5912" spans="1:9" x14ac:dyDescent="0.35">
      <c r="A5912" s="3">
        <v>42412</v>
      </c>
      <c r="B5912" s="1" t="s">
        <v>1681</v>
      </c>
      <c r="C5912" s="1" t="s">
        <v>314</v>
      </c>
      <c r="D5912" s="1" t="s">
        <v>18</v>
      </c>
      <c r="E5912" s="1" t="s">
        <v>35</v>
      </c>
      <c r="F5912" s="2" t="s">
        <v>2179</v>
      </c>
      <c r="G5912" s="1">
        <v>104.184</v>
      </c>
      <c r="H5912" s="1">
        <v>3</v>
      </c>
      <c r="I5912" s="1">
        <v>33.8598</v>
      </c>
    </row>
    <row r="5913" spans="1:9" x14ac:dyDescent="0.35">
      <c r="A5913" s="3" t="s">
        <v>3447</v>
      </c>
      <c r="B5913" s="1" t="s">
        <v>2345</v>
      </c>
      <c r="C5913" s="1" t="s">
        <v>47</v>
      </c>
      <c r="D5913" s="1" t="s">
        <v>48</v>
      </c>
      <c r="E5913" s="1" t="s">
        <v>26</v>
      </c>
      <c r="F5913" s="2" t="s">
        <v>374</v>
      </c>
      <c r="G5913" s="1">
        <v>46.53</v>
      </c>
      <c r="H5913" s="1">
        <v>3</v>
      </c>
      <c r="I5913" s="1">
        <v>13.0284</v>
      </c>
    </row>
    <row r="5914" spans="1:9" x14ac:dyDescent="0.35">
      <c r="A5914" s="3" t="s">
        <v>3321</v>
      </c>
      <c r="B5914" s="1" t="s">
        <v>278</v>
      </c>
      <c r="C5914" s="1" t="s">
        <v>2956</v>
      </c>
      <c r="D5914" s="1" t="s">
        <v>11</v>
      </c>
      <c r="E5914" s="1" t="s">
        <v>289</v>
      </c>
      <c r="F5914" s="2" t="s">
        <v>2958</v>
      </c>
      <c r="G5914" s="1">
        <v>25.5</v>
      </c>
      <c r="H5914" s="1">
        <v>3</v>
      </c>
      <c r="I5914" s="1">
        <v>6.63</v>
      </c>
    </row>
    <row r="5915" spans="1:9" x14ac:dyDescent="0.35">
      <c r="A5915" s="3" t="s">
        <v>3150</v>
      </c>
      <c r="B5915" s="1" t="s">
        <v>2660</v>
      </c>
      <c r="C5915" s="1" t="s">
        <v>135</v>
      </c>
      <c r="D5915" s="1" t="s">
        <v>136</v>
      </c>
      <c r="E5915" s="1" t="s">
        <v>26</v>
      </c>
      <c r="F5915" s="2" t="s">
        <v>716</v>
      </c>
      <c r="G5915" s="1">
        <v>14.9</v>
      </c>
      <c r="H5915" s="1">
        <v>5</v>
      </c>
      <c r="I5915" s="1">
        <v>1.0429999999999999</v>
      </c>
    </row>
    <row r="5916" spans="1:9" x14ac:dyDescent="0.35">
      <c r="A5916" s="3" t="s">
        <v>3150</v>
      </c>
      <c r="B5916" s="1" t="s">
        <v>2660</v>
      </c>
      <c r="C5916" s="1" t="s">
        <v>135</v>
      </c>
      <c r="D5916" s="1" t="s">
        <v>136</v>
      </c>
      <c r="E5916" s="1" t="s">
        <v>19</v>
      </c>
      <c r="F5916" s="2" t="s">
        <v>131</v>
      </c>
      <c r="G5916" s="1">
        <v>87.71</v>
      </c>
      <c r="H5916" s="1">
        <v>7</v>
      </c>
      <c r="I5916" s="1">
        <v>41.223700000000001</v>
      </c>
    </row>
    <row r="5917" spans="1:9" x14ac:dyDescent="0.35">
      <c r="A5917" s="3" t="s">
        <v>3150</v>
      </c>
      <c r="B5917" s="1" t="s">
        <v>2660</v>
      </c>
      <c r="C5917" s="1" t="s">
        <v>135</v>
      </c>
      <c r="D5917" s="1" t="s">
        <v>136</v>
      </c>
      <c r="E5917" s="1" t="s">
        <v>14</v>
      </c>
      <c r="F5917" s="2" t="s">
        <v>1531</v>
      </c>
      <c r="G5917" s="1">
        <v>199.76400000000001</v>
      </c>
      <c r="H5917" s="1">
        <v>2</v>
      </c>
      <c r="I5917" s="1">
        <v>8.8783999999999992</v>
      </c>
    </row>
    <row r="5918" spans="1:9" x14ac:dyDescent="0.35">
      <c r="A5918" s="3" t="s">
        <v>3150</v>
      </c>
      <c r="B5918" s="1" t="s">
        <v>2660</v>
      </c>
      <c r="C5918" s="1" t="s">
        <v>135</v>
      </c>
      <c r="D5918" s="1" t="s">
        <v>136</v>
      </c>
      <c r="E5918" s="1" t="s">
        <v>26</v>
      </c>
      <c r="F5918" s="2" t="s">
        <v>727</v>
      </c>
      <c r="G5918" s="1">
        <v>94.6</v>
      </c>
      <c r="H5918" s="1">
        <v>4</v>
      </c>
      <c r="I5918" s="1">
        <v>27.434000000000001</v>
      </c>
    </row>
    <row r="5919" spans="1:9" x14ac:dyDescent="0.35">
      <c r="A5919" s="3" t="s">
        <v>3150</v>
      </c>
      <c r="B5919" s="1" t="s">
        <v>2660</v>
      </c>
      <c r="C5919" s="1" t="s">
        <v>135</v>
      </c>
      <c r="D5919" s="1" t="s">
        <v>136</v>
      </c>
      <c r="E5919" s="1" t="s">
        <v>12</v>
      </c>
      <c r="F5919" s="2" t="s">
        <v>84</v>
      </c>
      <c r="G5919" s="1">
        <v>4228.7039999999997</v>
      </c>
      <c r="H5919" s="1">
        <v>6</v>
      </c>
      <c r="I5919" s="1">
        <v>158.57640000000001</v>
      </c>
    </row>
    <row r="5920" spans="1:9" x14ac:dyDescent="0.35">
      <c r="A5920" s="3" t="s">
        <v>3150</v>
      </c>
      <c r="B5920" s="1" t="s">
        <v>2660</v>
      </c>
      <c r="C5920" s="1" t="s">
        <v>135</v>
      </c>
      <c r="D5920" s="1" t="s">
        <v>136</v>
      </c>
      <c r="E5920" s="1" t="s">
        <v>12</v>
      </c>
      <c r="F5920" s="2" t="s">
        <v>2059</v>
      </c>
      <c r="G5920" s="1">
        <v>2003.92</v>
      </c>
      <c r="H5920" s="1">
        <v>5</v>
      </c>
      <c r="I5920" s="1">
        <v>-25.048999999999999</v>
      </c>
    </row>
    <row r="5921" spans="1:9" x14ac:dyDescent="0.35">
      <c r="A5921" s="3" t="s">
        <v>3150</v>
      </c>
      <c r="B5921" s="1" t="s">
        <v>2660</v>
      </c>
      <c r="C5921" s="1" t="s">
        <v>135</v>
      </c>
      <c r="D5921" s="1" t="s">
        <v>136</v>
      </c>
      <c r="E5921" s="1" t="s">
        <v>33</v>
      </c>
      <c r="F5921" s="2" t="s">
        <v>1059</v>
      </c>
      <c r="G5921" s="1">
        <v>209.97</v>
      </c>
      <c r="H5921" s="1">
        <v>3</v>
      </c>
      <c r="I5921" s="1">
        <v>58.791600000000003</v>
      </c>
    </row>
    <row r="5922" spans="1:9" x14ac:dyDescent="0.35">
      <c r="A5922" s="3" t="s">
        <v>3150</v>
      </c>
      <c r="B5922" s="1" t="s">
        <v>2660</v>
      </c>
      <c r="C5922" s="1" t="s">
        <v>135</v>
      </c>
      <c r="D5922" s="1" t="s">
        <v>136</v>
      </c>
      <c r="E5922" s="1" t="s">
        <v>81</v>
      </c>
      <c r="F5922" s="2" t="s">
        <v>1313</v>
      </c>
      <c r="G5922" s="1">
        <v>659.9</v>
      </c>
      <c r="H5922" s="1">
        <v>2</v>
      </c>
      <c r="I5922" s="1">
        <v>217.767</v>
      </c>
    </row>
    <row r="5923" spans="1:9" x14ac:dyDescent="0.35">
      <c r="A5923" s="3" t="s">
        <v>3150</v>
      </c>
      <c r="B5923" s="1" t="s">
        <v>2660</v>
      </c>
      <c r="C5923" s="1" t="s">
        <v>135</v>
      </c>
      <c r="D5923" s="1" t="s">
        <v>136</v>
      </c>
      <c r="E5923" s="1" t="s">
        <v>44</v>
      </c>
      <c r="F5923" s="2" t="s">
        <v>761</v>
      </c>
      <c r="G5923" s="1">
        <v>110.96</v>
      </c>
      <c r="H5923" s="1">
        <v>2</v>
      </c>
      <c r="I5923" s="1">
        <v>53.260800000000003</v>
      </c>
    </row>
    <row r="5924" spans="1:9" x14ac:dyDescent="0.35">
      <c r="A5924" s="3" t="s">
        <v>3150</v>
      </c>
      <c r="B5924" s="1" t="s">
        <v>2660</v>
      </c>
      <c r="C5924" s="1" t="s">
        <v>135</v>
      </c>
      <c r="D5924" s="1" t="s">
        <v>136</v>
      </c>
      <c r="E5924" s="1" t="s">
        <v>33</v>
      </c>
      <c r="F5924" s="2" t="s">
        <v>1767</v>
      </c>
      <c r="G5924" s="1">
        <v>67.8</v>
      </c>
      <c r="H5924" s="1">
        <v>4</v>
      </c>
      <c r="I5924" s="1">
        <v>1.3560000000000001</v>
      </c>
    </row>
    <row r="5925" spans="1:9" x14ac:dyDescent="0.35">
      <c r="A5925" s="3" t="s">
        <v>3630</v>
      </c>
      <c r="B5925" s="1" t="s">
        <v>643</v>
      </c>
      <c r="C5925" s="1" t="s">
        <v>135</v>
      </c>
      <c r="D5925" s="1" t="s">
        <v>136</v>
      </c>
      <c r="E5925" s="1" t="s">
        <v>24</v>
      </c>
      <c r="F5925" s="2" t="s">
        <v>1633</v>
      </c>
      <c r="G5925" s="1">
        <v>313.17599999999999</v>
      </c>
      <c r="H5925" s="1">
        <v>2</v>
      </c>
      <c r="I5925" s="1">
        <v>-120.0508</v>
      </c>
    </row>
    <row r="5926" spans="1:9" x14ac:dyDescent="0.35">
      <c r="A5926" s="3" t="s">
        <v>3194</v>
      </c>
      <c r="B5926" s="1" t="s">
        <v>2081</v>
      </c>
      <c r="C5926" s="1" t="s">
        <v>162</v>
      </c>
      <c r="D5926" s="1" t="s">
        <v>163</v>
      </c>
      <c r="E5926" s="1" t="s">
        <v>31</v>
      </c>
      <c r="F5926" s="2" t="s">
        <v>2048</v>
      </c>
      <c r="G5926" s="1">
        <v>22.96</v>
      </c>
      <c r="H5926" s="1">
        <v>7</v>
      </c>
      <c r="I5926" s="1">
        <v>6.6584000000000003</v>
      </c>
    </row>
    <row r="5927" spans="1:9" x14ac:dyDescent="0.35">
      <c r="A5927" s="3">
        <v>42800</v>
      </c>
      <c r="B5927" s="1" t="s">
        <v>932</v>
      </c>
      <c r="C5927" s="1" t="s">
        <v>2275</v>
      </c>
      <c r="D5927" s="1" t="s">
        <v>48</v>
      </c>
      <c r="E5927" s="1" t="s">
        <v>81</v>
      </c>
      <c r="F5927" s="2" t="s">
        <v>1659</v>
      </c>
      <c r="G5927" s="1">
        <v>1099.5</v>
      </c>
      <c r="H5927" s="1">
        <v>10</v>
      </c>
      <c r="I5927" s="1">
        <v>362.83499999999998</v>
      </c>
    </row>
    <row r="5928" spans="1:9" x14ac:dyDescent="0.35">
      <c r="A5928" s="3">
        <v>41855</v>
      </c>
      <c r="B5928" s="1" t="s">
        <v>108</v>
      </c>
      <c r="C5928" s="1" t="s">
        <v>181</v>
      </c>
      <c r="D5928" s="1" t="s">
        <v>182</v>
      </c>
      <c r="E5928" s="1" t="s">
        <v>24</v>
      </c>
      <c r="F5928" s="2" t="s">
        <v>2916</v>
      </c>
      <c r="G5928" s="1">
        <v>1215.92</v>
      </c>
      <c r="H5928" s="1">
        <v>8</v>
      </c>
      <c r="I5928" s="1">
        <v>316.13920000000002</v>
      </c>
    </row>
    <row r="5929" spans="1:9" x14ac:dyDescent="0.35">
      <c r="A5929" s="3">
        <v>41953</v>
      </c>
      <c r="B5929" s="1" t="s">
        <v>2110</v>
      </c>
      <c r="C5929" s="1" t="s">
        <v>796</v>
      </c>
      <c r="D5929" s="1" t="s">
        <v>797</v>
      </c>
      <c r="E5929" s="1" t="s">
        <v>19</v>
      </c>
      <c r="F5929" s="2" t="s">
        <v>20</v>
      </c>
      <c r="G5929" s="1">
        <v>7.31</v>
      </c>
      <c r="H5929" s="1">
        <v>1</v>
      </c>
      <c r="I5929" s="1">
        <v>3.4357000000000002</v>
      </c>
    </row>
    <row r="5930" spans="1:9" x14ac:dyDescent="0.35">
      <c r="A5930" s="3">
        <v>41953</v>
      </c>
      <c r="B5930" s="1" t="s">
        <v>2110</v>
      </c>
      <c r="C5930" s="1" t="s">
        <v>796</v>
      </c>
      <c r="D5930" s="1" t="s">
        <v>797</v>
      </c>
      <c r="E5930" s="1" t="s">
        <v>29</v>
      </c>
      <c r="F5930" s="2" t="s">
        <v>2231</v>
      </c>
      <c r="G5930" s="1">
        <v>8.92</v>
      </c>
      <c r="H5930" s="1">
        <v>4</v>
      </c>
      <c r="I5930" s="1">
        <v>3.9247999999999998</v>
      </c>
    </row>
    <row r="5931" spans="1:9" x14ac:dyDescent="0.35">
      <c r="A5931" s="3">
        <v>42923</v>
      </c>
      <c r="B5931" s="1" t="s">
        <v>845</v>
      </c>
      <c r="C5931" s="1" t="s">
        <v>74</v>
      </c>
      <c r="D5931" s="1" t="s">
        <v>75</v>
      </c>
      <c r="E5931" s="1" t="s">
        <v>12</v>
      </c>
      <c r="F5931" s="2" t="s">
        <v>1172</v>
      </c>
      <c r="G5931" s="1">
        <v>87.21</v>
      </c>
      <c r="H5931" s="1">
        <v>3</v>
      </c>
      <c r="I5931" s="1">
        <v>-45.349200000000003</v>
      </c>
    </row>
    <row r="5932" spans="1:9" x14ac:dyDescent="0.35">
      <c r="A5932" s="3">
        <v>42923</v>
      </c>
      <c r="B5932" s="1" t="s">
        <v>845</v>
      </c>
      <c r="C5932" s="1" t="s">
        <v>74</v>
      </c>
      <c r="D5932" s="1" t="s">
        <v>75</v>
      </c>
      <c r="E5932" s="1" t="s">
        <v>44</v>
      </c>
      <c r="F5932" s="2" t="s">
        <v>507</v>
      </c>
      <c r="G5932" s="1">
        <v>15.552</v>
      </c>
      <c r="H5932" s="1">
        <v>3</v>
      </c>
      <c r="I5932" s="1">
        <v>5.4432</v>
      </c>
    </row>
    <row r="5933" spans="1:9" x14ac:dyDescent="0.35">
      <c r="A5933" s="3">
        <v>42923</v>
      </c>
      <c r="B5933" s="1" t="s">
        <v>845</v>
      </c>
      <c r="C5933" s="1" t="s">
        <v>74</v>
      </c>
      <c r="D5933" s="1" t="s">
        <v>75</v>
      </c>
      <c r="E5933" s="1" t="s">
        <v>33</v>
      </c>
      <c r="F5933" s="2" t="s">
        <v>783</v>
      </c>
      <c r="G5933" s="1">
        <v>683.98800000000006</v>
      </c>
      <c r="H5933" s="1">
        <v>2</v>
      </c>
      <c r="I5933" s="1">
        <v>-113.998</v>
      </c>
    </row>
    <row r="5934" spans="1:9" x14ac:dyDescent="0.35">
      <c r="A5934" s="3">
        <v>42923</v>
      </c>
      <c r="B5934" s="1" t="s">
        <v>845</v>
      </c>
      <c r="C5934" s="1" t="s">
        <v>74</v>
      </c>
      <c r="D5934" s="1" t="s">
        <v>75</v>
      </c>
      <c r="E5934" s="1" t="s">
        <v>26</v>
      </c>
      <c r="F5934" s="2" t="s">
        <v>2366</v>
      </c>
      <c r="G5934" s="1">
        <v>13.391999999999999</v>
      </c>
      <c r="H5934" s="1">
        <v>3</v>
      </c>
      <c r="I5934" s="1">
        <v>1.0044</v>
      </c>
    </row>
    <row r="5935" spans="1:9" x14ac:dyDescent="0.35">
      <c r="A5935" s="3">
        <v>42923</v>
      </c>
      <c r="B5935" s="1" t="s">
        <v>845</v>
      </c>
      <c r="C5935" s="1" t="s">
        <v>74</v>
      </c>
      <c r="D5935" s="1" t="s">
        <v>75</v>
      </c>
      <c r="E5935" s="1" t="s">
        <v>81</v>
      </c>
      <c r="F5935" s="2" t="s">
        <v>2819</v>
      </c>
      <c r="G5935" s="1">
        <v>16.776</v>
      </c>
      <c r="H5935" s="1">
        <v>3</v>
      </c>
      <c r="I5935" s="1">
        <v>4.8231000000000002</v>
      </c>
    </row>
    <row r="5936" spans="1:9" x14ac:dyDescent="0.35">
      <c r="A5936" s="3">
        <v>42923</v>
      </c>
      <c r="B5936" s="1" t="s">
        <v>845</v>
      </c>
      <c r="C5936" s="1" t="s">
        <v>74</v>
      </c>
      <c r="D5936" s="1" t="s">
        <v>75</v>
      </c>
      <c r="E5936" s="1" t="s">
        <v>81</v>
      </c>
      <c r="F5936" s="2" t="s">
        <v>1313</v>
      </c>
      <c r="G5936" s="1">
        <v>527.91999999999996</v>
      </c>
      <c r="H5936" s="1">
        <v>2</v>
      </c>
      <c r="I5936" s="1">
        <v>85.787000000000006</v>
      </c>
    </row>
    <row r="5937" spans="1:9" x14ac:dyDescent="0.35">
      <c r="A5937" s="3">
        <v>42467</v>
      </c>
      <c r="B5937" s="1" t="s">
        <v>221</v>
      </c>
      <c r="C5937" s="1" t="s">
        <v>47</v>
      </c>
      <c r="D5937" s="1" t="s">
        <v>48</v>
      </c>
      <c r="E5937" s="1" t="s">
        <v>29</v>
      </c>
      <c r="F5937" s="2" t="s">
        <v>950</v>
      </c>
      <c r="G5937" s="1">
        <v>25.4</v>
      </c>
      <c r="H5937" s="1">
        <v>5</v>
      </c>
      <c r="I5937" s="1">
        <v>8.6359999999999992</v>
      </c>
    </row>
    <row r="5938" spans="1:9" x14ac:dyDescent="0.35">
      <c r="A5938" s="3">
        <v>42467</v>
      </c>
      <c r="B5938" s="1" t="s">
        <v>221</v>
      </c>
      <c r="C5938" s="1" t="s">
        <v>47</v>
      </c>
      <c r="D5938" s="1" t="s">
        <v>48</v>
      </c>
      <c r="E5938" s="1" t="s">
        <v>33</v>
      </c>
      <c r="F5938" s="2" t="s">
        <v>1976</v>
      </c>
      <c r="G5938" s="1">
        <v>177.48</v>
      </c>
      <c r="H5938" s="1">
        <v>3</v>
      </c>
      <c r="I5938" s="1">
        <v>19.9665</v>
      </c>
    </row>
    <row r="5939" spans="1:9" x14ac:dyDescent="0.35">
      <c r="A5939" s="3">
        <v>42467</v>
      </c>
      <c r="B5939" s="1" t="s">
        <v>221</v>
      </c>
      <c r="C5939" s="1" t="s">
        <v>47</v>
      </c>
      <c r="D5939" s="1" t="s">
        <v>48</v>
      </c>
      <c r="E5939" s="1" t="s">
        <v>33</v>
      </c>
      <c r="F5939" s="2" t="s">
        <v>1665</v>
      </c>
      <c r="G5939" s="1">
        <v>71.975999999999999</v>
      </c>
      <c r="H5939" s="1">
        <v>3</v>
      </c>
      <c r="I5939" s="1">
        <v>8.9969999999999999</v>
      </c>
    </row>
    <row r="5940" spans="1:9" x14ac:dyDescent="0.35">
      <c r="A5940" s="3" t="s">
        <v>3279</v>
      </c>
      <c r="B5940" s="1" t="s">
        <v>2304</v>
      </c>
      <c r="C5940" s="1" t="s">
        <v>1830</v>
      </c>
      <c r="D5940" s="1" t="s">
        <v>52</v>
      </c>
      <c r="E5940" s="1" t="s">
        <v>33</v>
      </c>
      <c r="F5940" s="2" t="s">
        <v>2000</v>
      </c>
      <c r="G5940" s="1">
        <v>95.992000000000004</v>
      </c>
      <c r="H5940" s="1">
        <v>1</v>
      </c>
      <c r="I5940" s="1">
        <v>9.5991999999999997</v>
      </c>
    </row>
    <row r="5941" spans="1:9" x14ac:dyDescent="0.35">
      <c r="A5941" s="3" t="s">
        <v>3279</v>
      </c>
      <c r="B5941" s="1" t="s">
        <v>2304</v>
      </c>
      <c r="C5941" s="1" t="s">
        <v>1830</v>
      </c>
      <c r="D5941" s="1" t="s">
        <v>52</v>
      </c>
      <c r="E5941" s="1" t="s">
        <v>19</v>
      </c>
      <c r="F5941" s="2" t="s">
        <v>2868</v>
      </c>
      <c r="G5941" s="1">
        <v>13.215999999999999</v>
      </c>
      <c r="H5941" s="1">
        <v>4</v>
      </c>
      <c r="I5941" s="1">
        <v>4.2952000000000004</v>
      </c>
    </row>
    <row r="5942" spans="1:9" x14ac:dyDescent="0.35">
      <c r="A5942" s="3">
        <v>43079</v>
      </c>
      <c r="B5942" s="1" t="s">
        <v>1293</v>
      </c>
      <c r="C5942" s="1" t="s">
        <v>17</v>
      </c>
      <c r="D5942" s="1" t="s">
        <v>18</v>
      </c>
      <c r="E5942" s="1" t="s">
        <v>81</v>
      </c>
      <c r="F5942" s="2" t="s">
        <v>862</v>
      </c>
      <c r="G5942" s="1">
        <v>435.84</v>
      </c>
      <c r="H5942" s="1">
        <v>12</v>
      </c>
      <c r="I5942" s="1">
        <v>130.75200000000001</v>
      </c>
    </row>
    <row r="5943" spans="1:9" x14ac:dyDescent="0.35">
      <c r="A5943" s="3">
        <v>43079</v>
      </c>
      <c r="B5943" s="1" t="s">
        <v>1293</v>
      </c>
      <c r="C5943" s="1" t="s">
        <v>17</v>
      </c>
      <c r="D5943" s="1" t="s">
        <v>18</v>
      </c>
      <c r="E5943" s="1" t="s">
        <v>31</v>
      </c>
      <c r="F5943" s="2" t="s">
        <v>293</v>
      </c>
      <c r="G5943" s="1">
        <v>5.88</v>
      </c>
      <c r="H5943" s="1">
        <v>2</v>
      </c>
      <c r="I5943" s="1">
        <v>1.5875999999999999</v>
      </c>
    </row>
    <row r="5944" spans="1:9" x14ac:dyDescent="0.35">
      <c r="A5944" s="3">
        <v>42529</v>
      </c>
      <c r="B5944" s="1" t="s">
        <v>1318</v>
      </c>
      <c r="C5944" s="1" t="s">
        <v>17</v>
      </c>
      <c r="D5944" s="1" t="s">
        <v>18</v>
      </c>
      <c r="E5944" s="1" t="s">
        <v>33</v>
      </c>
      <c r="F5944" s="2" t="s">
        <v>408</v>
      </c>
      <c r="G5944" s="1">
        <v>211.16800000000001</v>
      </c>
      <c r="H5944" s="1">
        <v>4</v>
      </c>
      <c r="I5944" s="1">
        <v>18.4772</v>
      </c>
    </row>
    <row r="5945" spans="1:9" x14ac:dyDescent="0.35">
      <c r="A5945" s="3" t="s">
        <v>3175</v>
      </c>
      <c r="B5945" s="1" t="s">
        <v>134</v>
      </c>
      <c r="C5945" s="1" t="s">
        <v>17</v>
      </c>
      <c r="D5945" s="1" t="s">
        <v>18</v>
      </c>
      <c r="E5945" s="1" t="s">
        <v>29</v>
      </c>
      <c r="F5945" s="2" t="s">
        <v>2406</v>
      </c>
      <c r="G5945" s="1">
        <v>6.28</v>
      </c>
      <c r="H5945" s="1">
        <v>1</v>
      </c>
      <c r="I5945" s="1">
        <v>2.6375999999999999</v>
      </c>
    </row>
    <row r="5946" spans="1:9" x14ac:dyDescent="0.35">
      <c r="A5946" s="3" t="s">
        <v>3175</v>
      </c>
      <c r="B5946" s="1" t="s">
        <v>134</v>
      </c>
      <c r="C5946" s="1" t="s">
        <v>17</v>
      </c>
      <c r="D5946" s="1" t="s">
        <v>18</v>
      </c>
      <c r="E5946" s="1" t="s">
        <v>81</v>
      </c>
      <c r="F5946" s="2" t="s">
        <v>818</v>
      </c>
      <c r="G5946" s="1">
        <v>95.1</v>
      </c>
      <c r="H5946" s="1">
        <v>5</v>
      </c>
      <c r="I5946" s="1">
        <v>30.431999999999999</v>
      </c>
    </row>
    <row r="5947" spans="1:9" x14ac:dyDescent="0.35">
      <c r="A5947" s="3" t="s">
        <v>3175</v>
      </c>
      <c r="B5947" s="1" t="s">
        <v>134</v>
      </c>
      <c r="C5947" s="1" t="s">
        <v>17</v>
      </c>
      <c r="D5947" s="1" t="s">
        <v>18</v>
      </c>
      <c r="E5947" s="1" t="s">
        <v>44</v>
      </c>
      <c r="F5947" s="2" t="s">
        <v>2229</v>
      </c>
      <c r="G5947" s="1">
        <v>25.92</v>
      </c>
      <c r="H5947" s="1">
        <v>4</v>
      </c>
      <c r="I5947" s="1">
        <v>12.441599999999999</v>
      </c>
    </row>
    <row r="5948" spans="1:9" x14ac:dyDescent="0.35">
      <c r="A5948" s="3" t="s">
        <v>3175</v>
      </c>
      <c r="B5948" s="1" t="s">
        <v>134</v>
      </c>
      <c r="C5948" s="1" t="s">
        <v>17</v>
      </c>
      <c r="D5948" s="1" t="s">
        <v>18</v>
      </c>
      <c r="E5948" s="1" t="s">
        <v>26</v>
      </c>
      <c r="F5948" s="2" t="s">
        <v>1311</v>
      </c>
      <c r="G5948" s="1">
        <v>48.84</v>
      </c>
      <c r="H5948" s="1">
        <v>4</v>
      </c>
      <c r="I5948" s="1">
        <v>13.1868</v>
      </c>
    </row>
    <row r="5949" spans="1:9" x14ac:dyDescent="0.35">
      <c r="A5949" s="3" t="s">
        <v>3457</v>
      </c>
      <c r="B5949" s="1" t="s">
        <v>1889</v>
      </c>
      <c r="C5949" s="1" t="s">
        <v>651</v>
      </c>
      <c r="D5949" s="1" t="s">
        <v>245</v>
      </c>
      <c r="E5949" s="1" t="s">
        <v>35</v>
      </c>
      <c r="F5949" s="2" t="s">
        <v>2495</v>
      </c>
      <c r="G5949" s="1">
        <v>25.9</v>
      </c>
      <c r="H5949" s="1">
        <v>5</v>
      </c>
      <c r="I5949" s="1">
        <v>12.691000000000001</v>
      </c>
    </row>
    <row r="5950" spans="1:9" x14ac:dyDescent="0.35">
      <c r="A5950" s="3">
        <v>42858</v>
      </c>
      <c r="B5950" s="1" t="s">
        <v>480</v>
      </c>
      <c r="C5950" s="1" t="s">
        <v>2148</v>
      </c>
      <c r="D5950" s="1" t="s">
        <v>704</v>
      </c>
      <c r="E5950" s="1" t="s">
        <v>87</v>
      </c>
      <c r="F5950" s="2" t="s">
        <v>1310</v>
      </c>
      <c r="G5950" s="1">
        <v>42.68</v>
      </c>
      <c r="H5950" s="1">
        <v>4</v>
      </c>
      <c r="I5950" s="1">
        <v>19.6328</v>
      </c>
    </row>
    <row r="5951" spans="1:9" x14ac:dyDescent="0.35">
      <c r="A5951" s="3">
        <v>42858</v>
      </c>
      <c r="B5951" s="1" t="s">
        <v>480</v>
      </c>
      <c r="C5951" s="1" t="s">
        <v>2148</v>
      </c>
      <c r="D5951" s="1" t="s">
        <v>704</v>
      </c>
      <c r="E5951" s="1" t="s">
        <v>81</v>
      </c>
      <c r="F5951" s="2" t="s">
        <v>748</v>
      </c>
      <c r="G5951" s="1">
        <v>299.97000000000003</v>
      </c>
      <c r="H5951" s="1">
        <v>3</v>
      </c>
      <c r="I5951" s="1">
        <v>125.98739999999999</v>
      </c>
    </row>
    <row r="5952" spans="1:9" x14ac:dyDescent="0.35">
      <c r="A5952" s="3">
        <v>42858</v>
      </c>
      <c r="B5952" s="1" t="s">
        <v>480</v>
      </c>
      <c r="C5952" s="1" t="s">
        <v>2148</v>
      </c>
      <c r="D5952" s="1" t="s">
        <v>704</v>
      </c>
      <c r="E5952" s="1" t="s">
        <v>37</v>
      </c>
      <c r="F5952" s="2" t="s">
        <v>350</v>
      </c>
      <c r="G5952" s="1">
        <v>262.24</v>
      </c>
      <c r="H5952" s="1">
        <v>2</v>
      </c>
      <c r="I5952" s="1">
        <v>78.671999999999997</v>
      </c>
    </row>
    <row r="5953" spans="1:9" x14ac:dyDescent="0.35">
      <c r="A5953" s="3">
        <v>42858</v>
      </c>
      <c r="B5953" s="1" t="s">
        <v>480</v>
      </c>
      <c r="C5953" s="1" t="s">
        <v>2148</v>
      </c>
      <c r="D5953" s="1" t="s">
        <v>704</v>
      </c>
      <c r="E5953" s="1" t="s">
        <v>35</v>
      </c>
      <c r="F5953" s="2" t="s">
        <v>2959</v>
      </c>
      <c r="G5953" s="1">
        <v>234.36</v>
      </c>
      <c r="H5953" s="1">
        <v>6</v>
      </c>
      <c r="I5953" s="1">
        <v>112.4928</v>
      </c>
    </row>
    <row r="5954" spans="1:9" x14ac:dyDescent="0.35">
      <c r="A5954" s="3" t="s">
        <v>3144</v>
      </c>
      <c r="B5954" s="1" t="s">
        <v>709</v>
      </c>
      <c r="C5954" s="1" t="s">
        <v>93</v>
      </c>
      <c r="D5954" s="1" t="s">
        <v>52</v>
      </c>
      <c r="E5954" s="1" t="s">
        <v>44</v>
      </c>
      <c r="F5954" s="2" t="s">
        <v>2960</v>
      </c>
      <c r="G5954" s="1">
        <v>20.736000000000001</v>
      </c>
      <c r="H5954" s="1">
        <v>4</v>
      </c>
      <c r="I5954" s="1">
        <v>7.2576000000000001</v>
      </c>
    </row>
    <row r="5955" spans="1:9" x14ac:dyDescent="0.35">
      <c r="A5955" s="3" t="s">
        <v>3294</v>
      </c>
      <c r="B5955" s="1" t="s">
        <v>2719</v>
      </c>
      <c r="C5955" s="1" t="s">
        <v>135</v>
      </c>
      <c r="D5955" s="1" t="s">
        <v>136</v>
      </c>
      <c r="E5955" s="1" t="s">
        <v>31</v>
      </c>
      <c r="F5955" s="2" t="s">
        <v>2841</v>
      </c>
      <c r="G5955" s="1">
        <v>10.5</v>
      </c>
      <c r="H5955" s="1">
        <v>5</v>
      </c>
      <c r="I5955" s="1">
        <v>2.94</v>
      </c>
    </row>
    <row r="5956" spans="1:9" x14ac:dyDescent="0.35">
      <c r="A5956" s="3">
        <v>41954</v>
      </c>
      <c r="B5956" s="1" t="s">
        <v>2798</v>
      </c>
      <c r="C5956" s="1" t="s">
        <v>1973</v>
      </c>
      <c r="D5956" s="1" t="s">
        <v>75</v>
      </c>
      <c r="E5956" s="1" t="s">
        <v>29</v>
      </c>
      <c r="F5956" s="2" t="s">
        <v>2395</v>
      </c>
      <c r="G5956" s="1">
        <v>23.968</v>
      </c>
      <c r="H5956" s="1">
        <v>2</v>
      </c>
      <c r="I5956" s="1">
        <v>7.7896000000000001</v>
      </c>
    </row>
    <row r="5957" spans="1:9" x14ac:dyDescent="0.35">
      <c r="A5957" s="3">
        <v>41954</v>
      </c>
      <c r="B5957" s="1" t="s">
        <v>2798</v>
      </c>
      <c r="C5957" s="1" t="s">
        <v>1973</v>
      </c>
      <c r="D5957" s="1" t="s">
        <v>75</v>
      </c>
      <c r="E5957" s="1" t="s">
        <v>12</v>
      </c>
      <c r="F5957" s="2" t="s">
        <v>101</v>
      </c>
      <c r="G5957" s="1">
        <v>521.96</v>
      </c>
      <c r="H5957" s="1">
        <v>4</v>
      </c>
      <c r="I5957" s="1">
        <v>-250.54079999999999</v>
      </c>
    </row>
    <row r="5958" spans="1:9" x14ac:dyDescent="0.35">
      <c r="A5958" s="3">
        <v>42707</v>
      </c>
      <c r="B5958" s="1" t="s">
        <v>643</v>
      </c>
      <c r="C5958" s="1" t="s">
        <v>64</v>
      </c>
      <c r="D5958" s="1" t="s">
        <v>18</v>
      </c>
      <c r="E5958" s="1" t="s">
        <v>26</v>
      </c>
      <c r="F5958" s="2" t="s">
        <v>526</v>
      </c>
      <c r="G5958" s="1">
        <v>676.55</v>
      </c>
      <c r="H5958" s="1">
        <v>5</v>
      </c>
      <c r="I5958" s="1">
        <v>6.7655000000000003</v>
      </c>
    </row>
    <row r="5959" spans="1:9" x14ac:dyDescent="0.35">
      <c r="A5959" s="3">
        <v>42707</v>
      </c>
      <c r="B5959" s="1" t="s">
        <v>643</v>
      </c>
      <c r="C5959" s="1" t="s">
        <v>64</v>
      </c>
      <c r="D5959" s="1" t="s">
        <v>18</v>
      </c>
      <c r="E5959" s="1" t="s">
        <v>37</v>
      </c>
      <c r="F5959" s="2" t="s">
        <v>2108</v>
      </c>
      <c r="G5959" s="1">
        <v>154.9</v>
      </c>
      <c r="H5959" s="1">
        <v>5</v>
      </c>
      <c r="I5959" s="1">
        <v>40.274000000000001</v>
      </c>
    </row>
    <row r="5960" spans="1:9" x14ac:dyDescent="0.35">
      <c r="A5960" s="3">
        <v>42707</v>
      </c>
      <c r="B5960" s="1" t="s">
        <v>643</v>
      </c>
      <c r="C5960" s="1" t="s">
        <v>64</v>
      </c>
      <c r="D5960" s="1" t="s">
        <v>18</v>
      </c>
      <c r="E5960" s="1" t="s">
        <v>87</v>
      </c>
      <c r="F5960" s="2" t="s">
        <v>1159</v>
      </c>
      <c r="G5960" s="1">
        <v>30.56</v>
      </c>
      <c r="H5960" s="1">
        <v>4</v>
      </c>
      <c r="I5960" s="1">
        <v>14.974399999999999</v>
      </c>
    </row>
    <row r="5961" spans="1:9" x14ac:dyDescent="0.35">
      <c r="A5961" s="3">
        <v>42707</v>
      </c>
      <c r="B5961" s="1" t="s">
        <v>643</v>
      </c>
      <c r="C5961" s="1" t="s">
        <v>64</v>
      </c>
      <c r="D5961" s="1" t="s">
        <v>18</v>
      </c>
      <c r="E5961" s="1" t="s">
        <v>14</v>
      </c>
      <c r="F5961" s="2" t="s">
        <v>1100</v>
      </c>
      <c r="G5961" s="1">
        <v>770.35199999999998</v>
      </c>
      <c r="H5961" s="1">
        <v>3</v>
      </c>
      <c r="I5961" s="1">
        <v>77.035200000000003</v>
      </c>
    </row>
    <row r="5962" spans="1:9" x14ac:dyDescent="0.35">
      <c r="A5962" s="3">
        <v>42980</v>
      </c>
      <c r="B5962" s="1" t="s">
        <v>1787</v>
      </c>
      <c r="C5962" s="1" t="s">
        <v>17</v>
      </c>
      <c r="D5962" s="1" t="s">
        <v>18</v>
      </c>
      <c r="E5962" s="1" t="s">
        <v>29</v>
      </c>
      <c r="F5962" s="2" t="s">
        <v>2027</v>
      </c>
      <c r="G5962" s="1">
        <v>21.12</v>
      </c>
      <c r="H5962" s="1">
        <v>4</v>
      </c>
      <c r="I5962" s="1">
        <v>6.5472000000000001</v>
      </c>
    </row>
    <row r="5963" spans="1:9" x14ac:dyDescent="0.35">
      <c r="A5963" s="3">
        <v>41954</v>
      </c>
      <c r="B5963" s="1" t="s">
        <v>92</v>
      </c>
      <c r="C5963" s="1" t="s">
        <v>17</v>
      </c>
      <c r="D5963" s="1" t="s">
        <v>18</v>
      </c>
      <c r="E5963" s="1" t="s">
        <v>33</v>
      </c>
      <c r="F5963" s="2" t="s">
        <v>922</v>
      </c>
      <c r="G5963" s="1">
        <v>575.928</v>
      </c>
      <c r="H5963" s="1">
        <v>9</v>
      </c>
      <c r="I5963" s="1">
        <v>57.592799999999997</v>
      </c>
    </row>
    <row r="5964" spans="1:9" x14ac:dyDescent="0.35">
      <c r="A5964" s="3">
        <v>41954</v>
      </c>
      <c r="B5964" s="1" t="s">
        <v>92</v>
      </c>
      <c r="C5964" s="1" t="s">
        <v>17</v>
      </c>
      <c r="D5964" s="1" t="s">
        <v>18</v>
      </c>
      <c r="E5964" s="1" t="s">
        <v>37</v>
      </c>
      <c r="F5964" s="2" t="s">
        <v>1737</v>
      </c>
      <c r="G5964" s="1">
        <v>7.78</v>
      </c>
      <c r="H5964" s="1">
        <v>2</v>
      </c>
      <c r="I5964" s="1">
        <v>2.0228000000000002</v>
      </c>
    </row>
    <row r="5965" spans="1:9" x14ac:dyDescent="0.35">
      <c r="A5965" s="3">
        <v>41954</v>
      </c>
      <c r="B5965" s="1" t="s">
        <v>92</v>
      </c>
      <c r="C5965" s="1" t="s">
        <v>17</v>
      </c>
      <c r="D5965" s="1" t="s">
        <v>18</v>
      </c>
      <c r="E5965" s="1" t="s">
        <v>44</v>
      </c>
      <c r="F5965" s="2" t="s">
        <v>1304</v>
      </c>
      <c r="G5965" s="1">
        <v>123.92</v>
      </c>
      <c r="H5965" s="1">
        <v>4</v>
      </c>
      <c r="I5965" s="1">
        <v>55.764000000000003</v>
      </c>
    </row>
    <row r="5966" spans="1:9" x14ac:dyDescent="0.35">
      <c r="A5966" s="3" t="s">
        <v>3276</v>
      </c>
      <c r="B5966" s="1" t="s">
        <v>2856</v>
      </c>
      <c r="C5966" s="1" t="s">
        <v>64</v>
      </c>
      <c r="D5966" s="1" t="s">
        <v>18</v>
      </c>
      <c r="E5966" s="1" t="s">
        <v>289</v>
      </c>
      <c r="F5966" s="2" t="s">
        <v>2190</v>
      </c>
      <c r="G5966" s="1">
        <v>17.22</v>
      </c>
      <c r="H5966" s="1">
        <v>3</v>
      </c>
      <c r="I5966" s="1">
        <v>5.1660000000000004</v>
      </c>
    </row>
    <row r="5967" spans="1:9" x14ac:dyDescent="0.35">
      <c r="A5967" s="3" t="s">
        <v>3276</v>
      </c>
      <c r="B5967" s="1" t="s">
        <v>2856</v>
      </c>
      <c r="C5967" s="1" t="s">
        <v>64</v>
      </c>
      <c r="D5967" s="1" t="s">
        <v>18</v>
      </c>
      <c r="E5967" s="1" t="s">
        <v>26</v>
      </c>
      <c r="F5967" s="2" t="s">
        <v>263</v>
      </c>
      <c r="G5967" s="1">
        <v>226.56</v>
      </c>
      <c r="H5967" s="1">
        <v>6</v>
      </c>
      <c r="I5967" s="1">
        <v>63.436799999999998</v>
      </c>
    </row>
    <row r="5968" spans="1:9" x14ac:dyDescent="0.35">
      <c r="A5968" s="3" t="s">
        <v>3276</v>
      </c>
      <c r="B5968" s="1" t="s">
        <v>2856</v>
      </c>
      <c r="C5968" s="1" t="s">
        <v>64</v>
      </c>
      <c r="D5968" s="1" t="s">
        <v>18</v>
      </c>
      <c r="E5968" s="1" t="s">
        <v>33</v>
      </c>
      <c r="F5968" s="2" t="s">
        <v>2526</v>
      </c>
      <c r="G5968" s="1">
        <v>107.88</v>
      </c>
      <c r="H5968" s="1">
        <v>3</v>
      </c>
      <c r="I5968" s="1">
        <v>10.788</v>
      </c>
    </row>
    <row r="5969" spans="1:9" x14ac:dyDescent="0.35">
      <c r="A5969" s="3" t="s">
        <v>3286</v>
      </c>
      <c r="B5969" s="1" t="s">
        <v>1238</v>
      </c>
      <c r="C5969" s="1" t="s">
        <v>135</v>
      </c>
      <c r="D5969" s="1" t="s">
        <v>136</v>
      </c>
      <c r="E5969" s="1" t="s">
        <v>44</v>
      </c>
      <c r="F5969" s="2" t="s">
        <v>2535</v>
      </c>
      <c r="G5969" s="1">
        <v>81.98</v>
      </c>
      <c r="H5969" s="1">
        <v>2</v>
      </c>
      <c r="I5969" s="1">
        <v>40.170200000000001</v>
      </c>
    </row>
    <row r="5970" spans="1:9" x14ac:dyDescent="0.35">
      <c r="A5970" s="3" t="s">
        <v>3331</v>
      </c>
      <c r="B5970" s="1" t="s">
        <v>901</v>
      </c>
      <c r="C5970" s="1" t="s">
        <v>461</v>
      </c>
      <c r="D5970" s="1" t="s">
        <v>18</v>
      </c>
      <c r="E5970" s="1" t="s">
        <v>44</v>
      </c>
      <c r="F5970" s="2" t="s">
        <v>1639</v>
      </c>
      <c r="G5970" s="1">
        <v>104.85</v>
      </c>
      <c r="H5970" s="1">
        <v>1</v>
      </c>
      <c r="I5970" s="1">
        <v>50.328000000000003</v>
      </c>
    </row>
    <row r="5971" spans="1:9" x14ac:dyDescent="0.35">
      <c r="A5971" s="3" t="s">
        <v>3331</v>
      </c>
      <c r="B5971" s="1" t="s">
        <v>901</v>
      </c>
      <c r="C5971" s="1" t="s">
        <v>461</v>
      </c>
      <c r="D5971" s="1" t="s">
        <v>18</v>
      </c>
      <c r="E5971" s="1" t="s">
        <v>35</v>
      </c>
      <c r="F5971" s="2" t="s">
        <v>576</v>
      </c>
      <c r="G5971" s="1">
        <v>8.7040000000000006</v>
      </c>
      <c r="H5971" s="1">
        <v>2</v>
      </c>
      <c r="I5971" s="1">
        <v>3.1551999999999998</v>
      </c>
    </row>
    <row r="5972" spans="1:9" x14ac:dyDescent="0.35">
      <c r="A5972" s="3" t="s">
        <v>3331</v>
      </c>
      <c r="B5972" s="1" t="s">
        <v>901</v>
      </c>
      <c r="C5972" s="1" t="s">
        <v>461</v>
      </c>
      <c r="D5972" s="1" t="s">
        <v>18</v>
      </c>
      <c r="E5972" s="1" t="s">
        <v>44</v>
      </c>
      <c r="F5972" s="2" t="s">
        <v>723</v>
      </c>
      <c r="G5972" s="1">
        <v>19.920000000000002</v>
      </c>
      <c r="H5972" s="1">
        <v>4</v>
      </c>
      <c r="I5972" s="1">
        <v>9.7607999999999997</v>
      </c>
    </row>
    <row r="5973" spans="1:9" x14ac:dyDescent="0.35">
      <c r="A5973" s="3" t="s">
        <v>3331</v>
      </c>
      <c r="B5973" s="1" t="s">
        <v>901</v>
      </c>
      <c r="C5973" s="1" t="s">
        <v>461</v>
      </c>
      <c r="D5973" s="1" t="s">
        <v>18</v>
      </c>
      <c r="E5973" s="1" t="s">
        <v>29</v>
      </c>
      <c r="F5973" s="2" t="s">
        <v>1082</v>
      </c>
      <c r="G5973" s="1">
        <v>43.02</v>
      </c>
      <c r="H5973" s="1">
        <v>3</v>
      </c>
      <c r="I5973" s="1">
        <v>15.4872</v>
      </c>
    </row>
    <row r="5974" spans="1:9" x14ac:dyDescent="0.35">
      <c r="A5974" s="3">
        <v>42888</v>
      </c>
      <c r="B5974" s="1" t="s">
        <v>1533</v>
      </c>
      <c r="C5974" s="1" t="s">
        <v>135</v>
      </c>
      <c r="D5974" s="1" t="s">
        <v>136</v>
      </c>
      <c r="E5974" s="1" t="s">
        <v>12</v>
      </c>
      <c r="F5974" s="2" t="s">
        <v>1350</v>
      </c>
      <c r="G5974" s="1">
        <v>240.78399999999999</v>
      </c>
      <c r="H5974" s="1">
        <v>1</v>
      </c>
      <c r="I5974" s="1">
        <v>30.097999999999999</v>
      </c>
    </row>
    <row r="5975" spans="1:9" x14ac:dyDescent="0.35">
      <c r="A5975" s="3" t="s">
        <v>3200</v>
      </c>
      <c r="B5975" s="1" t="s">
        <v>356</v>
      </c>
      <c r="C5975" s="1" t="s">
        <v>135</v>
      </c>
      <c r="D5975" s="1" t="s">
        <v>136</v>
      </c>
      <c r="E5975" s="1" t="s">
        <v>37</v>
      </c>
      <c r="F5975" s="2" t="s">
        <v>2441</v>
      </c>
      <c r="G5975" s="1">
        <v>414.96</v>
      </c>
      <c r="H5975" s="1">
        <v>2</v>
      </c>
      <c r="I5975" s="1">
        <v>124.488</v>
      </c>
    </row>
    <row r="5976" spans="1:9" x14ac:dyDescent="0.35">
      <c r="A5976" s="3">
        <v>42592</v>
      </c>
      <c r="B5976" s="1" t="s">
        <v>577</v>
      </c>
      <c r="C5976" s="1" t="s">
        <v>234</v>
      </c>
      <c r="D5976" s="1" t="s">
        <v>43</v>
      </c>
      <c r="E5976" s="1" t="s">
        <v>26</v>
      </c>
      <c r="F5976" s="2" t="s">
        <v>1491</v>
      </c>
      <c r="G5976" s="1">
        <v>387.72</v>
      </c>
      <c r="H5976" s="1">
        <v>5</v>
      </c>
      <c r="I5976" s="1">
        <v>-67.850999999999999</v>
      </c>
    </row>
    <row r="5977" spans="1:9" x14ac:dyDescent="0.35">
      <c r="A5977" s="3" t="s">
        <v>3594</v>
      </c>
      <c r="B5977" s="1" t="s">
        <v>2322</v>
      </c>
      <c r="C5977" s="1" t="s">
        <v>2528</v>
      </c>
      <c r="D5977" s="1" t="s">
        <v>1891</v>
      </c>
      <c r="E5977" s="1" t="s">
        <v>26</v>
      </c>
      <c r="F5977" s="2" t="s">
        <v>1269</v>
      </c>
      <c r="G5977" s="1">
        <v>360.38</v>
      </c>
      <c r="H5977" s="1">
        <v>2</v>
      </c>
      <c r="I5977" s="1">
        <v>93.698800000000006</v>
      </c>
    </row>
    <row r="5978" spans="1:9" x14ac:dyDescent="0.35">
      <c r="A5978" s="3" t="s">
        <v>3594</v>
      </c>
      <c r="B5978" s="1" t="s">
        <v>2322</v>
      </c>
      <c r="C5978" s="1" t="s">
        <v>2528</v>
      </c>
      <c r="D5978" s="1" t="s">
        <v>1891</v>
      </c>
      <c r="E5978" s="1" t="s">
        <v>44</v>
      </c>
      <c r="F5978" s="2" t="s">
        <v>1655</v>
      </c>
      <c r="G5978" s="1">
        <v>13.56</v>
      </c>
      <c r="H5978" s="1">
        <v>2</v>
      </c>
      <c r="I5978" s="1">
        <v>6.2375999999999996</v>
      </c>
    </row>
    <row r="5979" spans="1:9" x14ac:dyDescent="0.35">
      <c r="A5979" s="3" t="s">
        <v>3427</v>
      </c>
      <c r="B5979" s="1" t="s">
        <v>2158</v>
      </c>
      <c r="C5979" s="1" t="s">
        <v>849</v>
      </c>
      <c r="D5979" s="1" t="s">
        <v>158</v>
      </c>
      <c r="E5979" s="1" t="s">
        <v>33</v>
      </c>
      <c r="F5979" s="2" t="s">
        <v>574</v>
      </c>
      <c r="G5979" s="1">
        <v>552</v>
      </c>
      <c r="H5979" s="1">
        <v>10</v>
      </c>
      <c r="I5979" s="1">
        <v>34.5</v>
      </c>
    </row>
    <row r="5980" spans="1:9" x14ac:dyDescent="0.35">
      <c r="A5980" s="3">
        <v>41829</v>
      </c>
      <c r="B5980" s="1" t="s">
        <v>221</v>
      </c>
      <c r="C5980" s="1" t="s">
        <v>1897</v>
      </c>
      <c r="D5980" s="1" t="s">
        <v>322</v>
      </c>
      <c r="E5980" s="1" t="s">
        <v>24</v>
      </c>
      <c r="F5980" s="2" t="s">
        <v>1421</v>
      </c>
      <c r="G5980" s="1">
        <v>429.9</v>
      </c>
      <c r="H5980" s="1">
        <v>5</v>
      </c>
      <c r="I5980" s="1">
        <v>111.774</v>
      </c>
    </row>
    <row r="5981" spans="1:9" x14ac:dyDescent="0.35">
      <c r="A5981" s="3">
        <v>41829</v>
      </c>
      <c r="B5981" s="1" t="s">
        <v>221</v>
      </c>
      <c r="C5981" s="1" t="s">
        <v>1897</v>
      </c>
      <c r="D5981" s="1" t="s">
        <v>322</v>
      </c>
      <c r="E5981" s="1" t="s">
        <v>35</v>
      </c>
      <c r="F5981" s="2" t="s">
        <v>85</v>
      </c>
      <c r="G5981" s="1">
        <v>32.06</v>
      </c>
      <c r="H5981" s="1">
        <v>2</v>
      </c>
      <c r="I5981" s="1">
        <v>15.3888</v>
      </c>
    </row>
    <row r="5982" spans="1:9" x14ac:dyDescent="0.35">
      <c r="A5982" s="3">
        <v>41829</v>
      </c>
      <c r="B5982" s="1" t="s">
        <v>221</v>
      </c>
      <c r="C5982" s="1" t="s">
        <v>1897</v>
      </c>
      <c r="D5982" s="1" t="s">
        <v>322</v>
      </c>
      <c r="E5982" s="1" t="s">
        <v>14</v>
      </c>
      <c r="F5982" s="2" t="s">
        <v>354</v>
      </c>
      <c r="G5982" s="1">
        <v>161.96</v>
      </c>
      <c r="H5982" s="1">
        <v>2</v>
      </c>
      <c r="I5982" s="1">
        <v>45.348799999999997</v>
      </c>
    </row>
    <row r="5983" spans="1:9" x14ac:dyDescent="0.35">
      <c r="A5983" s="3">
        <v>41829</v>
      </c>
      <c r="B5983" s="1" t="s">
        <v>221</v>
      </c>
      <c r="C5983" s="1" t="s">
        <v>1897</v>
      </c>
      <c r="D5983" s="1" t="s">
        <v>322</v>
      </c>
      <c r="E5983" s="1" t="s">
        <v>26</v>
      </c>
      <c r="F5983" s="2" t="s">
        <v>632</v>
      </c>
      <c r="G5983" s="1">
        <v>19.86</v>
      </c>
      <c r="H5983" s="1">
        <v>2</v>
      </c>
      <c r="I5983" s="1">
        <v>5.7594000000000003</v>
      </c>
    </row>
    <row r="5984" spans="1:9" x14ac:dyDescent="0.35">
      <c r="A5984" s="3" t="s">
        <v>3323</v>
      </c>
      <c r="B5984" s="1" t="s">
        <v>648</v>
      </c>
      <c r="C5984" s="1" t="s">
        <v>135</v>
      </c>
      <c r="D5984" s="1" t="s">
        <v>136</v>
      </c>
      <c r="E5984" s="1" t="s">
        <v>44</v>
      </c>
      <c r="F5984" s="2" t="s">
        <v>2733</v>
      </c>
      <c r="G5984" s="1">
        <v>12.96</v>
      </c>
      <c r="H5984" s="1">
        <v>2</v>
      </c>
      <c r="I5984" s="1">
        <v>6.3503999999999996</v>
      </c>
    </row>
    <row r="5985" spans="1:9" x14ac:dyDescent="0.35">
      <c r="A5985" s="3" t="s">
        <v>3324</v>
      </c>
      <c r="B5985" s="1" t="s">
        <v>2525</v>
      </c>
      <c r="C5985" s="1" t="s">
        <v>74</v>
      </c>
      <c r="D5985" s="1" t="s">
        <v>75</v>
      </c>
      <c r="E5985" s="1" t="s">
        <v>44</v>
      </c>
      <c r="F5985" s="2" t="s">
        <v>1109</v>
      </c>
      <c r="G5985" s="1">
        <v>20.544</v>
      </c>
      <c r="H5985" s="1">
        <v>6</v>
      </c>
      <c r="I5985" s="1">
        <v>6.42</v>
      </c>
    </row>
    <row r="5986" spans="1:9" x14ac:dyDescent="0.35">
      <c r="A5986" s="3" t="s">
        <v>3686</v>
      </c>
      <c r="B5986" s="1" t="s">
        <v>2007</v>
      </c>
      <c r="C5986" s="1" t="s">
        <v>2796</v>
      </c>
      <c r="D5986" s="1" t="s">
        <v>704</v>
      </c>
      <c r="E5986" s="1" t="s">
        <v>29</v>
      </c>
      <c r="F5986" s="2" t="s">
        <v>2382</v>
      </c>
      <c r="G5986" s="1">
        <v>185.58</v>
      </c>
      <c r="H5986" s="1">
        <v>6</v>
      </c>
      <c r="I5986" s="1">
        <v>76.087800000000001</v>
      </c>
    </row>
    <row r="5987" spans="1:9" x14ac:dyDescent="0.35">
      <c r="A5987" s="3" t="s">
        <v>3686</v>
      </c>
      <c r="B5987" s="1" t="s">
        <v>2007</v>
      </c>
      <c r="C5987" s="1" t="s">
        <v>2796</v>
      </c>
      <c r="D5987" s="1" t="s">
        <v>704</v>
      </c>
      <c r="E5987" s="1" t="s">
        <v>35</v>
      </c>
      <c r="F5987" s="2" t="s">
        <v>2603</v>
      </c>
      <c r="G5987" s="1">
        <v>77.56</v>
      </c>
      <c r="H5987" s="1">
        <v>2</v>
      </c>
      <c r="I5987" s="1">
        <v>35.677599999999998</v>
      </c>
    </row>
    <row r="5988" spans="1:9" x14ac:dyDescent="0.35">
      <c r="A5988" s="3" t="s">
        <v>3686</v>
      </c>
      <c r="B5988" s="1" t="s">
        <v>2007</v>
      </c>
      <c r="C5988" s="1" t="s">
        <v>2796</v>
      </c>
      <c r="D5988" s="1" t="s">
        <v>704</v>
      </c>
      <c r="E5988" s="1" t="s">
        <v>26</v>
      </c>
      <c r="F5988" s="2" t="s">
        <v>432</v>
      </c>
      <c r="G5988" s="1">
        <v>87.92</v>
      </c>
      <c r="H5988" s="1">
        <v>4</v>
      </c>
      <c r="I5988" s="1">
        <v>0.87919999999999998</v>
      </c>
    </row>
    <row r="5989" spans="1:9" x14ac:dyDescent="0.35">
      <c r="A5989" s="3" t="s">
        <v>3686</v>
      </c>
      <c r="B5989" s="1" t="s">
        <v>2007</v>
      </c>
      <c r="C5989" s="1" t="s">
        <v>2796</v>
      </c>
      <c r="D5989" s="1" t="s">
        <v>704</v>
      </c>
      <c r="E5989" s="1" t="s">
        <v>44</v>
      </c>
      <c r="F5989" s="2" t="s">
        <v>2535</v>
      </c>
      <c r="G5989" s="1">
        <v>245.94</v>
      </c>
      <c r="H5989" s="1">
        <v>6</v>
      </c>
      <c r="I5989" s="1">
        <v>120.5106</v>
      </c>
    </row>
    <row r="5990" spans="1:9" x14ac:dyDescent="0.35">
      <c r="A5990" s="3" t="s">
        <v>3686</v>
      </c>
      <c r="B5990" s="1" t="s">
        <v>2007</v>
      </c>
      <c r="C5990" s="1" t="s">
        <v>2796</v>
      </c>
      <c r="D5990" s="1" t="s">
        <v>704</v>
      </c>
      <c r="E5990" s="1" t="s">
        <v>35</v>
      </c>
      <c r="F5990" s="2" t="s">
        <v>864</v>
      </c>
      <c r="G5990" s="1">
        <v>8.6</v>
      </c>
      <c r="H5990" s="1">
        <v>1</v>
      </c>
      <c r="I5990" s="1">
        <v>4.0419999999999998</v>
      </c>
    </row>
    <row r="5991" spans="1:9" x14ac:dyDescent="0.35">
      <c r="A5991" s="3" t="s">
        <v>3686</v>
      </c>
      <c r="B5991" s="1" t="s">
        <v>2007</v>
      </c>
      <c r="C5991" s="1" t="s">
        <v>2796</v>
      </c>
      <c r="D5991" s="1" t="s">
        <v>704</v>
      </c>
      <c r="E5991" s="1" t="s">
        <v>12</v>
      </c>
      <c r="F5991" s="2" t="s">
        <v>2766</v>
      </c>
      <c r="G5991" s="1">
        <v>504.9</v>
      </c>
      <c r="H5991" s="1">
        <v>5</v>
      </c>
      <c r="I5991" s="1">
        <v>126.22499999999999</v>
      </c>
    </row>
    <row r="5992" spans="1:9" x14ac:dyDescent="0.35">
      <c r="A5992" s="3" t="s">
        <v>3687</v>
      </c>
      <c r="B5992" s="1" t="s">
        <v>1123</v>
      </c>
      <c r="C5992" s="1" t="s">
        <v>17</v>
      </c>
      <c r="D5992" s="1" t="s">
        <v>18</v>
      </c>
      <c r="E5992" s="1" t="s">
        <v>35</v>
      </c>
      <c r="F5992" s="2" t="s">
        <v>1957</v>
      </c>
      <c r="G5992" s="1">
        <v>2357.4879999999998</v>
      </c>
      <c r="H5992" s="1">
        <v>7</v>
      </c>
      <c r="I5992" s="1">
        <v>884.05799999999999</v>
      </c>
    </row>
    <row r="5993" spans="1:9" x14ac:dyDescent="0.35">
      <c r="A5993" s="3" t="s">
        <v>3687</v>
      </c>
      <c r="B5993" s="1" t="s">
        <v>1123</v>
      </c>
      <c r="C5993" s="1" t="s">
        <v>17</v>
      </c>
      <c r="D5993" s="1" t="s">
        <v>18</v>
      </c>
      <c r="E5993" s="1" t="s">
        <v>33</v>
      </c>
      <c r="F5993" s="2" t="s">
        <v>408</v>
      </c>
      <c r="G5993" s="1">
        <v>369.54399999999998</v>
      </c>
      <c r="H5993" s="1">
        <v>7</v>
      </c>
      <c r="I5993" s="1">
        <v>32.335099999999997</v>
      </c>
    </row>
    <row r="5994" spans="1:9" x14ac:dyDescent="0.35">
      <c r="A5994" s="3" t="s">
        <v>3687</v>
      </c>
      <c r="B5994" s="1" t="s">
        <v>1123</v>
      </c>
      <c r="C5994" s="1" t="s">
        <v>17</v>
      </c>
      <c r="D5994" s="1" t="s">
        <v>18</v>
      </c>
      <c r="E5994" s="1" t="s">
        <v>14</v>
      </c>
      <c r="F5994" s="2" t="s">
        <v>724</v>
      </c>
      <c r="G5994" s="1">
        <v>184.75200000000001</v>
      </c>
      <c r="H5994" s="1">
        <v>3</v>
      </c>
      <c r="I5994" s="1">
        <v>-20.784600000000001</v>
      </c>
    </row>
    <row r="5995" spans="1:9" x14ac:dyDescent="0.35">
      <c r="A5995" s="3">
        <v>42686</v>
      </c>
      <c r="B5995" s="1" t="s">
        <v>1351</v>
      </c>
      <c r="C5995" s="1" t="s">
        <v>249</v>
      </c>
      <c r="D5995" s="1" t="s">
        <v>250</v>
      </c>
      <c r="E5995" s="1" t="s">
        <v>26</v>
      </c>
      <c r="F5995" s="2" t="s">
        <v>1246</v>
      </c>
      <c r="G5995" s="1">
        <v>64.959999999999994</v>
      </c>
      <c r="H5995" s="1">
        <v>5</v>
      </c>
      <c r="I5995" s="1">
        <v>-4.0599999999999996</v>
      </c>
    </row>
    <row r="5996" spans="1:9" x14ac:dyDescent="0.35">
      <c r="A5996" s="3">
        <v>42686</v>
      </c>
      <c r="B5996" s="1" t="s">
        <v>1351</v>
      </c>
      <c r="C5996" s="1" t="s">
        <v>249</v>
      </c>
      <c r="D5996" s="1" t="s">
        <v>250</v>
      </c>
      <c r="E5996" s="1" t="s">
        <v>289</v>
      </c>
      <c r="F5996" s="2" t="s">
        <v>2610</v>
      </c>
      <c r="G5996" s="1">
        <v>13.52</v>
      </c>
      <c r="H5996" s="1">
        <v>2</v>
      </c>
      <c r="I5996" s="1">
        <v>1.69</v>
      </c>
    </row>
    <row r="5997" spans="1:9" x14ac:dyDescent="0.35">
      <c r="A5997" s="3">
        <v>42686</v>
      </c>
      <c r="B5997" s="1" t="s">
        <v>1351</v>
      </c>
      <c r="C5997" s="1" t="s">
        <v>249</v>
      </c>
      <c r="D5997" s="1" t="s">
        <v>250</v>
      </c>
      <c r="E5997" s="1" t="s">
        <v>14</v>
      </c>
      <c r="F5997" s="2" t="s">
        <v>2641</v>
      </c>
      <c r="G5997" s="1">
        <v>458.43</v>
      </c>
      <c r="H5997" s="1">
        <v>5</v>
      </c>
      <c r="I5997" s="1">
        <v>-137.529</v>
      </c>
    </row>
    <row r="5998" spans="1:9" x14ac:dyDescent="0.35">
      <c r="A5998" s="3">
        <v>42686</v>
      </c>
      <c r="B5998" s="1" t="s">
        <v>1351</v>
      </c>
      <c r="C5998" s="1" t="s">
        <v>249</v>
      </c>
      <c r="D5998" s="1" t="s">
        <v>250</v>
      </c>
      <c r="E5998" s="1" t="s">
        <v>37</v>
      </c>
      <c r="F5998" s="2" t="s">
        <v>1447</v>
      </c>
      <c r="G5998" s="1">
        <v>387.13600000000002</v>
      </c>
      <c r="H5998" s="1">
        <v>4</v>
      </c>
      <c r="I5998" s="1">
        <v>24.196000000000002</v>
      </c>
    </row>
    <row r="5999" spans="1:9" x14ac:dyDescent="0.35">
      <c r="A5999" s="3">
        <v>42686</v>
      </c>
      <c r="B5999" s="1" t="s">
        <v>1351</v>
      </c>
      <c r="C5999" s="1" t="s">
        <v>249</v>
      </c>
      <c r="D5999" s="1" t="s">
        <v>250</v>
      </c>
      <c r="E5999" s="1" t="s">
        <v>24</v>
      </c>
      <c r="F5999" s="2" t="s">
        <v>1618</v>
      </c>
      <c r="G5999" s="1">
        <v>328.59</v>
      </c>
      <c r="H5999" s="1">
        <v>3</v>
      </c>
      <c r="I5999" s="1">
        <v>-147.8655</v>
      </c>
    </row>
    <row r="6000" spans="1:9" x14ac:dyDescent="0.35">
      <c r="A6000" s="3">
        <v>41924</v>
      </c>
      <c r="B6000" s="1" t="s">
        <v>292</v>
      </c>
      <c r="C6000" s="1" t="s">
        <v>2961</v>
      </c>
      <c r="D6000" s="1" t="s">
        <v>2459</v>
      </c>
      <c r="E6000" s="1" t="s">
        <v>14</v>
      </c>
      <c r="F6000" s="2" t="s">
        <v>1513</v>
      </c>
      <c r="G6000" s="1">
        <v>338.35199999999998</v>
      </c>
      <c r="H6000" s="1">
        <v>3</v>
      </c>
      <c r="I6000" s="1">
        <v>4.2294</v>
      </c>
    </row>
    <row r="6001" spans="1:9" x14ac:dyDescent="0.35">
      <c r="A6001" s="3">
        <v>41924</v>
      </c>
      <c r="B6001" s="1" t="s">
        <v>292</v>
      </c>
      <c r="C6001" s="1" t="s">
        <v>2961</v>
      </c>
      <c r="D6001" s="1" t="s">
        <v>2459</v>
      </c>
      <c r="E6001" s="1" t="s">
        <v>44</v>
      </c>
      <c r="F6001" s="2" t="s">
        <v>1234</v>
      </c>
      <c r="G6001" s="1">
        <v>25.92</v>
      </c>
      <c r="H6001" s="1">
        <v>4</v>
      </c>
      <c r="I6001" s="1">
        <v>12.441599999999999</v>
      </c>
    </row>
    <row r="6002" spans="1:9" x14ac:dyDescent="0.35">
      <c r="A6002" s="3">
        <v>41924</v>
      </c>
      <c r="B6002" s="1" t="s">
        <v>292</v>
      </c>
      <c r="C6002" s="1" t="s">
        <v>2961</v>
      </c>
      <c r="D6002" s="1" t="s">
        <v>2459</v>
      </c>
      <c r="E6002" s="1" t="s">
        <v>44</v>
      </c>
      <c r="F6002" s="2" t="s">
        <v>728</v>
      </c>
      <c r="G6002" s="1">
        <v>91.36</v>
      </c>
      <c r="H6002" s="1">
        <v>4</v>
      </c>
      <c r="I6002" s="1">
        <v>42.025599999999997</v>
      </c>
    </row>
    <row r="6003" spans="1:9" x14ac:dyDescent="0.35">
      <c r="A6003" s="3" t="s">
        <v>3419</v>
      </c>
      <c r="B6003" s="1" t="s">
        <v>2067</v>
      </c>
      <c r="C6003" s="1" t="s">
        <v>272</v>
      </c>
      <c r="D6003" s="1" t="s">
        <v>158</v>
      </c>
      <c r="E6003" s="1" t="s">
        <v>29</v>
      </c>
      <c r="F6003" s="2" t="s">
        <v>1906</v>
      </c>
      <c r="G6003" s="1">
        <v>87.96</v>
      </c>
      <c r="H6003" s="1">
        <v>3</v>
      </c>
      <c r="I6003" s="1">
        <v>7.6965000000000003</v>
      </c>
    </row>
    <row r="6004" spans="1:9" x14ac:dyDescent="0.35">
      <c r="A6004" s="3" t="s">
        <v>3419</v>
      </c>
      <c r="B6004" s="1" t="s">
        <v>2067</v>
      </c>
      <c r="C6004" s="1" t="s">
        <v>272</v>
      </c>
      <c r="D6004" s="1" t="s">
        <v>158</v>
      </c>
      <c r="E6004" s="1" t="s">
        <v>35</v>
      </c>
      <c r="F6004" s="2" t="s">
        <v>943</v>
      </c>
      <c r="G6004" s="1">
        <v>5.2140000000000004</v>
      </c>
      <c r="H6004" s="1">
        <v>2</v>
      </c>
      <c r="I6004" s="1">
        <v>-4.1711999999999998</v>
      </c>
    </row>
    <row r="6005" spans="1:9" x14ac:dyDescent="0.35">
      <c r="A6005" s="3" t="s">
        <v>3525</v>
      </c>
      <c r="B6005" s="1" t="s">
        <v>1106</v>
      </c>
      <c r="C6005" s="1" t="s">
        <v>672</v>
      </c>
      <c r="D6005" s="1" t="s">
        <v>23</v>
      </c>
      <c r="E6005" s="1" t="s">
        <v>35</v>
      </c>
      <c r="F6005" s="2" t="s">
        <v>232</v>
      </c>
      <c r="G6005" s="1">
        <v>12.294</v>
      </c>
      <c r="H6005" s="1">
        <v>1</v>
      </c>
      <c r="I6005" s="1">
        <v>-8.6058000000000003</v>
      </c>
    </row>
    <row r="6006" spans="1:9" x14ac:dyDescent="0.35">
      <c r="A6006" s="3">
        <v>42925</v>
      </c>
      <c r="B6006" s="1" t="s">
        <v>1340</v>
      </c>
      <c r="C6006" s="1" t="s">
        <v>17</v>
      </c>
      <c r="D6006" s="1" t="s">
        <v>18</v>
      </c>
      <c r="E6006" s="1" t="s">
        <v>29</v>
      </c>
      <c r="F6006" s="2" t="s">
        <v>1105</v>
      </c>
      <c r="G6006" s="1">
        <v>19.760000000000002</v>
      </c>
      <c r="H6006" s="1">
        <v>4</v>
      </c>
      <c r="I6006" s="1">
        <v>8.2992000000000008</v>
      </c>
    </row>
    <row r="6007" spans="1:9" x14ac:dyDescent="0.35">
      <c r="A6007" s="3">
        <v>42046</v>
      </c>
      <c r="B6007" s="1" t="s">
        <v>2060</v>
      </c>
      <c r="C6007" s="1" t="s">
        <v>141</v>
      </c>
      <c r="D6007" s="1" t="s">
        <v>136</v>
      </c>
      <c r="E6007" s="1" t="s">
        <v>14</v>
      </c>
      <c r="F6007" s="2" t="s">
        <v>2554</v>
      </c>
      <c r="G6007" s="1">
        <v>109.764</v>
      </c>
      <c r="H6007" s="1">
        <v>2</v>
      </c>
      <c r="I6007" s="1">
        <v>8.5372000000000003</v>
      </c>
    </row>
    <row r="6008" spans="1:9" x14ac:dyDescent="0.35">
      <c r="A6008" s="3">
        <v>43051</v>
      </c>
      <c r="B6008" s="1" t="s">
        <v>1686</v>
      </c>
      <c r="C6008" s="1" t="s">
        <v>1674</v>
      </c>
      <c r="D6008" s="1" t="s">
        <v>592</v>
      </c>
      <c r="E6008" s="1" t="s">
        <v>33</v>
      </c>
      <c r="F6008" s="2" t="s">
        <v>2156</v>
      </c>
      <c r="G6008" s="1">
        <v>128.85</v>
      </c>
      <c r="H6008" s="1">
        <v>3</v>
      </c>
      <c r="I6008" s="1">
        <v>3.8654999999999999</v>
      </c>
    </row>
    <row r="6009" spans="1:9" x14ac:dyDescent="0.35">
      <c r="A6009" s="3">
        <v>42739</v>
      </c>
      <c r="B6009" s="1" t="s">
        <v>1226</v>
      </c>
      <c r="C6009" s="1" t="s">
        <v>1160</v>
      </c>
      <c r="D6009" s="1" t="s">
        <v>194</v>
      </c>
      <c r="E6009" s="1" t="s">
        <v>29</v>
      </c>
      <c r="F6009" s="2" t="s">
        <v>231</v>
      </c>
      <c r="G6009" s="1">
        <v>127.95</v>
      </c>
      <c r="H6009" s="1">
        <v>3</v>
      </c>
      <c r="I6009" s="1">
        <v>21.7515</v>
      </c>
    </row>
    <row r="6010" spans="1:9" x14ac:dyDescent="0.35">
      <c r="A6010" s="3" t="s">
        <v>3688</v>
      </c>
      <c r="B6010" s="1" t="s">
        <v>243</v>
      </c>
      <c r="C6010" s="1" t="s">
        <v>17</v>
      </c>
      <c r="D6010" s="1" t="s">
        <v>18</v>
      </c>
      <c r="E6010" s="1" t="s">
        <v>44</v>
      </c>
      <c r="F6010" s="2" t="s">
        <v>1900</v>
      </c>
      <c r="G6010" s="1">
        <v>68.52</v>
      </c>
      <c r="H6010" s="1">
        <v>3</v>
      </c>
      <c r="I6010" s="1">
        <v>31.519200000000001</v>
      </c>
    </row>
    <row r="6011" spans="1:9" x14ac:dyDescent="0.35">
      <c r="A6011" s="3" t="s">
        <v>3688</v>
      </c>
      <c r="B6011" s="1" t="s">
        <v>243</v>
      </c>
      <c r="C6011" s="1" t="s">
        <v>17</v>
      </c>
      <c r="D6011" s="1" t="s">
        <v>18</v>
      </c>
      <c r="E6011" s="1" t="s">
        <v>26</v>
      </c>
      <c r="F6011" s="2" t="s">
        <v>664</v>
      </c>
      <c r="G6011" s="1">
        <v>74.94</v>
      </c>
      <c r="H6011" s="1">
        <v>3</v>
      </c>
      <c r="I6011" s="1">
        <v>14.2386</v>
      </c>
    </row>
    <row r="6012" spans="1:9" x14ac:dyDescent="0.35">
      <c r="A6012" s="3" t="s">
        <v>3688</v>
      </c>
      <c r="B6012" s="1" t="s">
        <v>243</v>
      </c>
      <c r="C6012" s="1" t="s">
        <v>17</v>
      </c>
      <c r="D6012" s="1" t="s">
        <v>18</v>
      </c>
      <c r="E6012" s="1" t="s">
        <v>338</v>
      </c>
      <c r="F6012" s="2" t="s">
        <v>1166</v>
      </c>
      <c r="G6012" s="1">
        <v>2548.56</v>
      </c>
      <c r="H6012" s="1">
        <v>6</v>
      </c>
      <c r="I6012" s="1">
        <v>286.71300000000002</v>
      </c>
    </row>
    <row r="6013" spans="1:9" x14ac:dyDescent="0.35">
      <c r="A6013" s="3" t="s">
        <v>3688</v>
      </c>
      <c r="B6013" s="1" t="s">
        <v>243</v>
      </c>
      <c r="C6013" s="1" t="s">
        <v>17</v>
      </c>
      <c r="D6013" s="1" t="s">
        <v>18</v>
      </c>
      <c r="E6013" s="1" t="s">
        <v>87</v>
      </c>
      <c r="F6013" s="2" t="s">
        <v>465</v>
      </c>
      <c r="G6013" s="1">
        <v>271.44</v>
      </c>
      <c r="H6013" s="1">
        <v>3</v>
      </c>
      <c r="I6013" s="1">
        <v>122.148</v>
      </c>
    </row>
    <row r="6014" spans="1:9" x14ac:dyDescent="0.35">
      <c r="A6014" s="3" t="s">
        <v>3688</v>
      </c>
      <c r="B6014" s="1" t="s">
        <v>243</v>
      </c>
      <c r="C6014" s="1" t="s">
        <v>17</v>
      </c>
      <c r="D6014" s="1" t="s">
        <v>18</v>
      </c>
      <c r="E6014" s="1" t="s">
        <v>33</v>
      </c>
      <c r="F6014" s="2" t="s">
        <v>1975</v>
      </c>
      <c r="G6014" s="1">
        <v>287.88</v>
      </c>
      <c r="H6014" s="1">
        <v>3</v>
      </c>
      <c r="I6014" s="1">
        <v>35.984999999999999</v>
      </c>
    </row>
    <row r="6015" spans="1:9" x14ac:dyDescent="0.35">
      <c r="A6015" s="3">
        <v>42646</v>
      </c>
      <c r="B6015" s="1" t="s">
        <v>2085</v>
      </c>
      <c r="C6015" s="1" t="s">
        <v>17</v>
      </c>
      <c r="D6015" s="1" t="s">
        <v>18</v>
      </c>
      <c r="E6015" s="1" t="s">
        <v>44</v>
      </c>
      <c r="F6015" s="2" t="s">
        <v>1847</v>
      </c>
      <c r="G6015" s="1">
        <v>14.9</v>
      </c>
      <c r="H6015" s="1">
        <v>5</v>
      </c>
      <c r="I6015" s="1">
        <v>7.1520000000000001</v>
      </c>
    </row>
    <row r="6016" spans="1:9" x14ac:dyDescent="0.35">
      <c r="A6016" s="3">
        <v>42646</v>
      </c>
      <c r="B6016" s="1" t="s">
        <v>2085</v>
      </c>
      <c r="C6016" s="1" t="s">
        <v>17</v>
      </c>
      <c r="D6016" s="1" t="s">
        <v>18</v>
      </c>
      <c r="E6016" s="1" t="s">
        <v>33</v>
      </c>
      <c r="F6016" s="2" t="s">
        <v>1915</v>
      </c>
      <c r="G6016" s="1">
        <v>4158.9120000000003</v>
      </c>
      <c r="H6016" s="1">
        <v>8</v>
      </c>
      <c r="I6016" s="1">
        <v>363.90480000000002</v>
      </c>
    </row>
    <row r="6017" spans="1:9" x14ac:dyDescent="0.35">
      <c r="A6017" s="3">
        <v>41794</v>
      </c>
      <c r="B6017" s="1" t="s">
        <v>2426</v>
      </c>
      <c r="C6017" s="1" t="s">
        <v>17</v>
      </c>
      <c r="D6017" s="1" t="s">
        <v>18</v>
      </c>
      <c r="E6017" s="1" t="s">
        <v>29</v>
      </c>
      <c r="F6017" s="2" t="s">
        <v>2945</v>
      </c>
      <c r="G6017" s="1">
        <v>91.96</v>
      </c>
      <c r="H6017" s="1">
        <v>2</v>
      </c>
      <c r="I6017" s="1">
        <v>15.6332</v>
      </c>
    </row>
    <row r="6018" spans="1:9" x14ac:dyDescent="0.35">
      <c r="A6018" s="3">
        <v>41794</v>
      </c>
      <c r="B6018" s="1" t="s">
        <v>2426</v>
      </c>
      <c r="C6018" s="1" t="s">
        <v>17</v>
      </c>
      <c r="D6018" s="1" t="s">
        <v>18</v>
      </c>
      <c r="E6018" s="1" t="s">
        <v>29</v>
      </c>
      <c r="F6018" s="2" t="s">
        <v>543</v>
      </c>
      <c r="G6018" s="1">
        <v>33.11</v>
      </c>
      <c r="H6018" s="1">
        <v>7</v>
      </c>
      <c r="I6018" s="1">
        <v>12.9129</v>
      </c>
    </row>
    <row r="6019" spans="1:9" x14ac:dyDescent="0.35">
      <c r="A6019" s="3">
        <v>41794</v>
      </c>
      <c r="B6019" s="1" t="s">
        <v>2426</v>
      </c>
      <c r="C6019" s="1" t="s">
        <v>17</v>
      </c>
      <c r="D6019" s="1" t="s">
        <v>18</v>
      </c>
      <c r="E6019" s="1" t="s">
        <v>44</v>
      </c>
      <c r="F6019" s="2" t="s">
        <v>1938</v>
      </c>
      <c r="G6019" s="1">
        <v>19.440000000000001</v>
      </c>
      <c r="H6019" s="1">
        <v>3</v>
      </c>
      <c r="I6019" s="1">
        <v>9.3312000000000008</v>
      </c>
    </row>
    <row r="6020" spans="1:9" x14ac:dyDescent="0.35">
      <c r="A6020" s="3">
        <v>41794</v>
      </c>
      <c r="B6020" s="1" t="s">
        <v>2426</v>
      </c>
      <c r="C6020" s="1" t="s">
        <v>17</v>
      </c>
      <c r="D6020" s="1" t="s">
        <v>18</v>
      </c>
      <c r="E6020" s="1" t="s">
        <v>44</v>
      </c>
      <c r="F6020" s="2" t="s">
        <v>2472</v>
      </c>
      <c r="G6020" s="1">
        <v>55.48</v>
      </c>
      <c r="H6020" s="1">
        <v>1</v>
      </c>
      <c r="I6020" s="1">
        <v>26.630400000000002</v>
      </c>
    </row>
    <row r="6021" spans="1:9" x14ac:dyDescent="0.35">
      <c r="A6021" s="3">
        <v>41769</v>
      </c>
      <c r="B6021" s="1" t="s">
        <v>2274</v>
      </c>
      <c r="C6021" s="1" t="s">
        <v>249</v>
      </c>
      <c r="D6021" s="1" t="s">
        <v>250</v>
      </c>
      <c r="E6021" s="1" t="s">
        <v>37</v>
      </c>
      <c r="F6021" s="2" t="s">
        <v>38</v>
      </c>
      <c r="G6021" s="1">
        <v>91.92</v>
      </c>
      <c r="H6021" s="1">
        <v>5</v>
      </c>
      <c r="I6021" s="1">
        <v>11.49</v>
      </c>
    </row>
    <row r="6022" spans="1:9" x14ac:dyDescent="0.35">
      <c r="A6022" s="3" t="s">
        <v>3445</v>
      </c>
      <c r="B6022" s="1" t="s">
        <v>2320</v>
      </c>
      <c r="C6022" s="1" t="s">
        <v>2962</v>
      </c>
      <c r="D6022" s="1" t="s">
        <v>362</v>
      </c>
      <c r="E6022" s="1" t="s">
        <v>37</v>
      </c>
      <c r="F6022" s="2" t="s">
        <v>676</v>
      </c>
      <c r="G6022" s="1">
        <v>17.34</v>
      </c>
      <c r="H6022" s="1">
        <v>2</v>
      </c>
      <c r="I6022" s="1">
        <v>4.6818</v>
      </c>
    </row>
    <row r="6023" spans="1:9" x14ac:dyDescent="0.35">
      <c r="A6023" s="3" t="s">
        <v>3445</v>
      </c>
      <c r="B6023" s="1" t="s">
        <v>2320</v>
      </c>
      <c r="C6023" s="1" t="s">
        <v>2962</v>
      </c>
      <c r="D6023" s="1" t="s">
        <v>362</v>
      </c>
      <c r="E6023" s="1" t="s">
        <v>81</v>
      </c>
      <c r="F6023" s="2" t="s">
        <v>670</v>
      </c>
      <c r="G6023" s="1">
        <v>71.98</v>
      </c>
      <c r="H6023" s="1">
        <v>2</v>
      </c>
      <c r="I6023" s="1">
        <v>15.1158</v>
      </c>
    </row>
    <row r="6024" spans="1:9" x14ac:dyDescent="0.35">
      <c r="A6024" s="3" t="s">
        <v>3330</v>
      </c>
      <c r="B6024" s="1" t="s">
        <v>382</v>
      </c>
      <c r="C6024" s="1" t="s">
        <v>2913</v>
      </c>
      <c r="D6024" s="1" t="s">
        <v>52</v>
      </c>
      <c r="E6024" s="1" t="s">
        <v>87</v>
      </c>
      <c r="F6024" s="2" t="s">
        <v>252</v>
      </c>
      <c r="G6024" s="1">
        <v>7.08</v>
      </c>
      <c r="H6024" s="1">
        <v>3</v>
      </c>
      <c r="I6024" s="1">
        <v>2.4780000000000002</v>
      </c>
    </row>
    <row r="6025" spans="1:9" x14ac:dyDescent="0.35">
      <c r="A6025" s="3" t="s">
        <v>3427</v>
      </c>
      <c r="B6025" s="1" t="s">
        <v>1199</v>
      </c>
      <c r="C6025" s="1" t="s">
        <v>1544</v>
      </c>
      <c r="D6025" s="1" t="s">
        <v>663</v>
      </c>
      <c r="E6025" s="1" t="s">
        <v>81</v>
      </c>
      <c r="F6025" s="2" t="s">
        <v>1789</v>
      </c>
      <c r="G6025" s="1">
        <v>69.98</v>
      </c>
      <c r="H6025" s="1">
        <v>2</v>
      </c>
      <c r="I6025" s="1">
        <v>4.8986000000000001</v>
      </c>
    </row>
    <row r="6026" spans="1:9" x14ac:dyDescent="0.35">
      <c r="A6026" s="3" t="s">
        <v>3646</v>
      </c>
      <c r="B6026" s="1" t="s">
        <v>2384</v>
      </c>
      <c r="C6026" s="1" t="s">
        <v>1114</v>
      </c>
      <c r="D6026" s="1" t="s">
        <v>250</v>
      </c>
      <c r="E6026" s="1" t="s">
        <v>37</v>
      </c>
      <c r="F6026" s="2" t="s">
        <v>2875</v>
      </c>
      <c r="G6026" s="1">
        <v>646.27200000000005</v>
      </c>
      <c r="H6026" s="1">
        <v>8</v>
      </c>
      <c r="I6026" s="1">
        <v>64.627200000000002</v>
      </c>
    </row>
    <row r="6027" spans="1:9" x14ac:dyDescent="0.35">
      <c r="A6027" s="3" t="s">
        <v>3646</v>
      </c>
      <c r="B6027" s="1" t="s">
        <v>2384</v>
      </c>
      <c r="C6027" s="1" t="s">
        <v>1114</v>
      </c>
      <c r="D6027" s="1" t="s">
        <v>250</v>
      </c>
      <c r="E6027" s="1" t="s">
        <v>44</v>
      </c>
      <c r="F6027" s="2" t="s">
        <v>2604</v>
      </c>
      <c r="G6027" s="1">
        <v>10.368</v>
      </c>
      <c r="H6027" s="1">
        <v>2</v>
      </c>
      <c r="I6027" s="1">
        <v>3.7584</v>
      </c>
    </row>
    <row r="6028" spans="1:9" x14ac:dyDescent="0.35">
      <c r="A6028" s="3" t="s">
        <v>3689</v>
      </c>
      <c r="B6028" s="1" t="s">
        <v>1985</v>
      </c>
      <c r="C6028" s="1" t="s">
        <v>47</v>
      </c>
      <c r="D6028" s="1" t="s">
        <v>48</v>
      </c>
      <c r="E6028" s="1" t="s">
        <v>137</v>
      </c>
      <c r="F6028" s="2" t="s">
        <v>2445</v>
      </c>
      <c r="G6028" s="1">
        <v>8.4</v>
      </c>
      <c r="H6028" s="1">
        <v>5</v>
      </c>
      <c r="I6028" s="1">
        <v>0.33600000000000002</v>
      </c>
    </row>
    <row r="6029" spans="1:9" x14ac:dyDescent="0.35">
      <c r="A6029" s="3" t="s">
        <v>3689</v>
      </c>
      <c r="B6029" s="1" t="s">
        <v>1985</v>
      </c>
      <c r="C6029" s="1" t="s">
        <v>47</v>
      </c>
      <c r="D6029" s="1" t="s">
        <v>48</v>
      </c>
      <c r="E6029" s="1" t="s">
        <v>33</v>
      </c>
      <c r="F6029" s="2" t="s">
        <v>1411</v>
      </c>
      <c r="G6029" s="1">
        <v>71.959999999999994</v>
      </c>
      <c r="H6029" s="1">
        <v>5</v>
      </c>
      <c r="I6029" s="1">
        <v>25.186</v>
      </c>
    </row>
    <row r="6030" spans="1:9" x14ac:dyDescent="0.35">
      <c r="A6030" s="3" t="s">
        <v>3625</v>
      </c>
      <c r="B6030" s="1" t="s">
        <v>1116</v>
      </c>
      <c r="C6030" s="1" t="s">
        <v>719</v>
      </c>
      <c r="D6030" s="1" t="s">
        <v>43</v>
      </c>
      <c r="E6030" s="1" t="s">
        <v>31</v>
      </c>
      <c r="F6030" s="2" t="s">
        <v>1194</v>
      </c>
      <c r="G6030" s="1">
        <v>18.48</v>
      </c>
      <c r="H6030" s="1">
        <v>2</v>
      </c>
      <c r="I6030" s="1">
        <v>6.0060000000000002</v>
      </c>
    </row>
    <row r="6031" spans="1:9" x14ac:dyDescent="0.35">
      <c r="A6031" s="3" t="s">
        <v>3564</v>
      </c>
      <c r="B6031" s="1" t="s">
        <v>2241</v>
      </c>
      <c r="C6031" s="1" t="s">
        <v>17</v>
      </c>
      <c r="D6031" s="1" t="s">
        <v>18</v>
      </c>
      <c r="E6031" s="1" t="s">
        <v>31</v>
      </c>
      <c r="F6031" s="2" t="s">
        <v>1597</v>
      </c>
      <c r="G6031" s="1">
        <v>9.84</v>
      </c>
      <c r="H6031" s="1">
        <v>3</v>
      </c>
      <c r="I6031" s="1">
        <v>2.8536000000000001</v>
      </c>
    </row>
    <row r="6032" spans="1:9" x14ac:dyDescent="0.35">
      <c r="A6032" s="3">
        <v>42893</v>
      </c>
      <c r="B6032" s="1" t="s">
        <v>2726</v>
      </c>
      <c r="C6032" s="1" t="s">
        <v>672</v>
      </c>
      <c r="D6032" s="1" t="s">
        <v>23</v>
      </c>
      <c r="E6032" s="1" t="s">
        <v>14</v>
      </c>
      <c r="F6032" s="2" t="s">
        <v>1959</v>
      </c>
      <c r="G6032" s="1">
        <v>239.24</v>
      </c>
      <c r="H6032" s="1">
        <v>1</v>
      </c>
      <c r="I6032" s="1">
        <v>23.923999999999999</v>
      </c>
    </row>
    <row r="6033" spans="1:9" x14ac:dyDescent="0.35">
      <c r="A6033" s="3" t="s">
        <v>3636</v>
      </c>
      <c r="B6033" s="1" t="s">
        <v>661</v>
      </c>
      <c r="C6033" s="1" t="s">
        <v>2963</v>
      </c>
      <c r="D6033" s="1" t="s">
        <v>1203</v>
      </c>
      <c r="E6033" s="1" t="s">
        <v>29</v>
      </c>
      <c r="F6033" s="2" t="s">
        <v>2027</v>
      </c>
      <c r="G6033" s="1">
        <v>21.12</v>
      </c>
      <c r="H6033" s="1">
        <v>4</v>
      </c>
      <c r="I6033" s="1">
        <v>6.5472000000000001</v>
      </c>
    </row>
    <row r="6034" spans="1:9" x14ac:dyDescent="0.35">
      <c r="A6034" s="3" t="s">
        <v>3209</v>
      </c>
      <c r="B6034" s="1" t="s">
        <v>590</v>
      </c>
      <c r="C6034" s="1" t="s">
        <v>135</v>
      </c>
      <c r="D6034" s="1" t="s">
        <v>136</v>
      </c>
      <c r="E6034" s="1" t="s">
        <v>289</v>
      </c>
      <c r="F6034" s="2" t="s">
        <v>290</v>
      </c>
      <c r="G6034" s="1">
        <v>54.9</v>
      </c>
      <c r="H6034" s="1">
        <v>5</v>
      </c>
      <c r="I6034" s="1">
        <v>15.372</v>
      </c>
    </row>
    <row r="6035" spans="1:9" x14ac:dyDescent="0.35">
      <c r="A6035" s="3" t="s">
        <v>3616</v>
      </c>
      <c r="B6035" s="1" t="s">
        <v>1626</v>
      </c>
      <c r="C6035" s="1" t="s">
        <v>17</v>
      </c>
      <c r="D6035" s="1" t="s">
        <v>18</v>
      </c>
      <c r="E6035" s="1" t="s">
        <v>29</v>
      </c>
      <c r="F6035" s="2" t="s">
        <v>2537</v>
      </c>
      <c r="G6035" s="1">
        <v>15.24</v>
      </c>
      <c r="H6035" s="1">
        <v>3</v>
      </c>
      <c r="I6035" s="1">
        <v>5.1816000000000004</v>
      </c>
    </row>
    <row r="6036" spans="1:9" x14ac:dyDescent="0.35">
      <c r="A6036" s="3" t="s">
        <v>3690</v>
      </c>
      <c r="B6036" s="1" t="s">
        <v>1155</v>
      </c>
      <c r="C6036" s="1" t="s">
        <v>1779</v>
      </c>
      <c r="D6036" s="1" t="s">
        <v>52</v>
      </c>
      <c r="E6036" s="1" t="s">
        <v>37</v>
      </c>
      <c r="F6036" s="2" t="s">
        <v>754</v>
      </c>
      <c r="G6036" s="1">
        <v>19.568000000000001</v>
      </c>
      <c r="H6036" s="1">
        <v>2</v>
      </c>
      <c r="I6036" s="1">
        <v>-52.833599999999997</v>
      </c>
    </row>
    <row r="6037" spans="1:9" x14ac:dyDescent="0.35">
      <c r="A6037" s="3" t="s">
        <v>3690</v>
      </c>
      <c r="B6037" s="1" t="s">
        <v>1155</v>
      </c>
      <c r="C6037" s="1" t="s">
        <v>1779</v>
      </c>
      <c r="D6037" s="1" t="s">
        <v>52</v>
      </c>
      <c r="E6037" s="1" t="s">
        <v>35</v>
      </c>
      <c r="F6037" s="2" t="s">
        <v>1307</v>
      </c>
      <c r="G6037" s="1">
        <v>310.392</v>
      </c>
      <c r="H6037" s="1">
        <v>4</v>
      </c>
      <c r="I6037" s="1">
        <v>-512.14679999999998</v>
      </c>
    </row>
    <row r="6038" spans="1:9" x14ac:dyDescent="0.35">
      <c r="A6038" s="3">
        <v>42469</v>
      </c>
      <c r="B6038" s="1" t="s">
        <v>2694</v>
      </c>
      <c r="C6038" s="1" t="s">
        <v>2863</v>
      </c>
      <c r="D6038" s="1" t="s">
        <v>11</v>
      </c>
      <c r="E6038" s="1" t="s">
        <v>29</v>
      </c>
      <c r="F6038" s="2" t="s">
        <v>707</v>
      </c>
      <c r="G6038" s="1">
        <v>42.6</v>
      </c>
      <c r="H6038" s="1">
        <v>3</v>
      </c>
      <c r="I6038" s="1">
        <v>16.614000000000001</v>
      </c>
    </row>
    <row r="6039" spans="1:9" x14ac:dyDescent="0.35">
      <c r="A6039" s="3">
        <v>42469</v>
      </c>
      <c r="B6039" s="1" t="s">
        <v>2694</v>
      </c>
      <c r="C6039" s="1" t="s">
        <v>2863</v>
      </c>
      <c r="D6039" s="1" t="s">
        <v>11</v>
      </c>
      <c r="E6039" s="1" t="s">
        <v>35</v>
      </c>
      <c r="F6039" s="2" t="s">
        <v>752</v>
      </c>
      <c r="G6039" s="1">
        <v>113.94</v>
      </c>
      <c r="H6039" s="1">
        <v>6</v>
      </c>
      <c r="I6039" s="1">
        <v>54.691200000000002</v>
      </c>
    </row>
    <row r="6040" spans="1:9" x14ac:dyDescent="0.35">
      <c r="A6040" s="3">
        <v>42469</v>
      </c>
      <c r="B6040" s="1" t="s">
        <v>2694</v>
      </c>
      <c r="C6040" s="1" t="s">
        <v>2863</v>
      </c>
      <c r="D6040" s="1" t="s">
        <v>11</v>
      </c>
      <c r="E6040" s="1" t="s">
        <v>26</v>
      </c>
      <c r="F6040" s="2" t="s">
        <v>1009</v>
      </c>
      <c r="G6040" s="1">
        <v>129.91999999999999</v>
      </c>
      <c r="H6040" s="1">
        <v>4</v>
      </c>
      <c r="I6040" s="1">
        <v>5.1967999999999996</v>
      </c>
    </row>
    <row r="6041" spans="1:9" x14ac:dyDescent="0.35">
      <c r="A6041" s="3">
        <v>42469</v>
      </c>
      <c r="B6041" s="1" t="s">
        <v>2694</v>
      </c>
      <c r="C6041" s="1" t="s">
        <v>2863</v>
      </c>
      <c r="D6041" s="1" t="s">
        <v>11</v>
      </c>
      <c r="E6041" s="1" t="s">
        <v>31</v>
      </c>
      <c r="F6041" s="2" t="s">
        <v>2111</v>
      </c>
      <c r="G6041" s="1">
        <v>5.28</v>
      </c>
      <c r="H6041" s="1">
        <v>3</v>
      </c>
      <c r="I6041" s="1">
        <v>2.5344000000000002</v>
      </c>
    </row>
    <row r="6042" spans="1:9" x14ac:dyDescent="0.35">
      <c r="A6042" s="3" t="s">
        <v>3404</v>
      </c>
      <c r="B6042" s="1" t="s">
        <v>558</v>
      </c>
      <c r="C6042" s="1" t="s">
        <v>17</v>
      </c>
      <c r="D6042" s="1" t="s">
        <v>18</v>
      </c>
      <c r="E6042" s="1" t="s">
        <v>33</v>
      </c>
      <c r="F6042" s="2" t="s">
        <v>1865</v>
      </c>
      <c r="G6042" s="1">
        <v>859.2</v>
      </c>
      <c r="H6042" s="1">
        <v>3</v>
      </c>
      <c r="I6042" s="1">
        <v>75.180000000000007</v>
      </c>
    </row>
    <row r="6043" spans="1:9" x14ac:dyDescent="0.35">
      <c r="A6043" s="3" t="s">
        <v>3404</v>
      </c>
      <c r="B6043" s="1" t="s">
        <v>558</v>
      </c>
      <c r="C6043" s="1" t="s">
        <v>17</v>
      </c>
      <c r="D6043" s="1" t="s">
        <v>18</v>
      </c>
      <c r="E6043" s="1" t="s">
        <v>338</v>
      </c>
      <c r="F6043" s="2" t="s">
        <v>2964</v>
      </c>
      <c r="G6043" s="1">
        <v>506.28</v>
      </c>
      <c r="H6043" s="1">
        <v>3</v>
      </c>
      <c r="I6043" s="1">
        <v>177.19800000000001</v>
      </c>
    </row>
    <row r="6044" spans="1:9" x14ac:dyDescent="0.35">
      <c r="A6044" s="3">
        <v>42462</v>
      </c>
      <c r="B6044" s="1" t="s">
        <v>83</v>
      </c>
      <c r="C6044" s="1" t="s">
        <v>977</v>
      </c>
      <c r="D6044" s="1" t="s">
        <v>158</v>
      </c>
      <c r="E6044" s="1" t="s">
        <v>29</v>
      </c>
      <c r="F6044" s="2" t="s">
        <v>1849</v>
      </c>
      <c r="G6044" s="1">
        <v>14.368</v>
      </c>
      <c r="H6044" s="1">
        <v>2</v>
      </c>
      <c r="I6044" s="1">
        <v>3.9512</v>
      </c>
    </row>
    <row r="6045" spans="1:9" x14ac:dyDescent="0.35">
      <c r="A6045" s="3" t="s">
        <v>3279</v>
      </c>
      <c r="B6045" s="1" t="s">
        <v>1252</v>
      </c>
      <c r="C6045" s="1" t="s">
        <v>2099</v>
      </c>
      <c r="D6045" s="1" t="s">
        <v>171</v>
      </c>
      <c r="E6045" s="1" t="s">
        <v>14</v>
      </c>
      <c r="F6045" s="2" t="s">
        <v>960</v>
      </c>
      <c r="G6045" s="1">
        <v>314.35199999999998</v>
      </c>
      <c r="H6045" s="1">
        <v>3</v>
      </c>
      <c r="I6045" s="1">
        <v>-35.364600000000003</v>
      </c>
    </row>
    <row r="6046" spans="1:9" x14ac:dyDescent="0.35">
      <c r="A6046" s="3" t="s">
        <v>3279</v>
      </c>
      <c r="B6046" s="1" t="s">
        <v>1252</v>
      </c>
      <c r="C6046" s="1" t="s">
        <v>2099</v>
      </c>
      <c r="D6046" s="1" t="s">
        <v>171</v>
      </c>
      <c r="E6046" s="1" t="s">
        <v>44</v>
      </c>
      <c r="F6046" s="2" t="s">
        <v>1769</v>
      </c>
      <c r="G6046" s="1">
        <v>27.888000000000002</v>
      </c>
      <c r="H6046" s="1">
        <v>7</v>
      </c>
      <c r="I6046" s="1">
        <v>10.109400000000001</v>
      </c>
    </row>
    <row r="6047" spans="1:9" x14ac:dyDescent="0.35">
      <c r="A6047" s="3">
        <v>42072</v>
      </c>
      <c r="B6047" s="1" t="s">
        <v>1577</v>
      </c>
      <c r="C6047" s="1" t="s">
        <v>621</v>
      </c>
      <c r="D6047" s="1" t="s">
        <v>158</v>
      </c>
      <c r="E6047" s="1" t="s">
        <v>29</v>
      </c>
      <c r="F6047" s="2" t="s">
        <v>1794</v>
      </c>
      <c r="G6047" s="1">
        <v>238.15199999999999</v>
      </c>
      <c r="H6047" s="1">
        <v>3</v>
      </c>
      <c r="I6047" s="1">
        <v>89.307000000000002</v>
      </c>
    </row>
    <row r="6048" spans="1:9" x14ac:dyDescent="0.35">
      <c r="A6048" s="3">
        <v>42619</v>
      </c>
      <c r="B6048" s="1" t="s">
        <v>2466</v>
      </c>
      <c r="C6048" s="1" t="s">
        <v>206</v>
      </c>
      <c r="D6048" s="1" t="s">
        <v>115</v>
      </c>
      <c r="E6048" s="1" t="s">
        <v>24</v>
      </c>
      <c r="F6048" s="2" t="s">
        <v>2908</v>
      </c>
      <c r="G6048" s="1">
        <v>692.94</v>
      </c>
      <c r="H6048" s="1">
        <v>3</v>
      </c>
      <c r="I6048" s="1">
        <v>173.23500000000001</v>
      </c>
    </row>
    <row r="6049" spans="1:9" x14ac:dyDescent="0.35">
      <c r="A6049" s="3">
        <v>42196</v>
      </c>
      <c r="B6049" s="1" t="s">
        <v>1088</v>
      </c>
      <c r="C6049" s="1" t="s">
        <v>672</v>
      </c>
      <c r="D6049" s="1" t="s">
        <v>23</v>
      </c>
      <c r="E6049" s="1" t="s">
        <v>35</v>
      </c>
      <c r="F6049" s="2" t="s">
        <v>1008</v>
      </c>
      <c r="G6049" s="1">
        <v>16.146000000000001</v>
      </c>
      <c r="H6049" s="1">
        <v>9</v>
      </c>
      <c r="I6049" s="1">
        <v>-12.9168</v>
      </c>
    </row>
    <row r="6050" spans="1:9" x14ac:dyDescent="0.35">
      <c r="A6050" s="3">
        <v>42196</v>
      </c>
      <c r="B6050" s="1" t="s">
        <v>1088</v>
      </c>
      <c r="C6050" s="1" t="s">
        <v>672</v>
      </c>
      <c r="D6050" s="1" t="s">
        <v>23</v>
      </c>
      <c r="E6050" s="1" t="s">
        <v>35</v>
      </c>
      <c r="F6050" s="2" t="s">
        <v>1956</v>
      </c>
      <c r="G6050" s="1">
        <v>1345.4849999999999</v>
      </c>
      <c r="H6050" s="1">
        <v>5</v>
      </c>
      <c r="I6050" s="1">
        <v>-1031.5385000000001</v>
      </c>
    </row>
    <row r="6051" spans="1:9" x14ac:dyDescent="0.35">
      <c r="A6051" s="3" t="s">
        <v>3691</v>
      </c>
      <c r="B6051" s="1" t="s">
        <v>816</v>
      </c>
      <c r="C6051" s="1" t="s">
        <v>93</v>
      </c>
      <c r="D6051" s="1" t="s">
        <v>52</v>
      </c>
      <c r="E6051" s="1" t="s">
        <v>44</v>
      </c>
      <c r="F6051" s="2" t="s">
        <v>2815</v>
      </c>
      <c r="G6051" s="1">
        <v>173.488</v>
      </c>
      <c r="H6051" s="1">
        <v>7</v>
      </c>
      <c r="I6051" s="1">
        <v>54.215000000000003</v>
      </c>
    </row>
    <row r="6052" spans="1:9" x14ac:dyDescent="0.35">
      <c r="A6052" s="3" t="s">
        <v>3338</v>
      </c>
      <c r="B6052" s="1" t="s">
        <v>2965</v>
      </c>
      <c r="C6052" s="1" t="s">
        <v>1147</v>
      </c>
      <c r="D6052" s="1" t="s">
        <v>57</v>
      </c>
      <c r="E6052" s="1" t="s">
        <v>31</v>
      </c>
      <c r="F6052" s="2" t="s">
        <v>623</v>
      </c>
      <c r="G6052" s="1">
        <v>57.75</v>
      </c>
      <c r="H6052" s="1">
        <v>5</v>
      </c>
      <c r="I6052" s="1">
        <v>16.170000000000002</v>
      </c>
    </row>
    <row r="6053" spans="1:9" x14ac:dyDescent="0.35">
      <c r="A6053" s="3" t="s">
        <v>3338</v>
      </c>
      <c r="B6053" s="1" t="s">
        <v>2965</v>
      </c>
      <c r="C6053" s="1" t="s">
        <v>1147</v>
      </c>
      <c r="D6053" s="1" t="s">
        <v>57</v>
      </c>
      <c r="E6053" s="1" t="s">
        <v>37</v>
      </c>
      <c r="F6053" s="2" t="s">
        <v>2176</v>
      </c>
      <c r="G6053" s="1">
        <v>272.39999999999998</v>
      </c>
      <c r="H6053" s="1">
        <v>5</v>
      </c>
      <c r="I6053" s="1">
        <v>76.272000000000006</v>
      </c>
    </row>
    <row r="6054" spans="1:9" x14ac:dyDescent="0.35">
      <c r="A6054" s="3" t="s">
        <v>3443</v>
      </c>
      <c r="B6054" s="1" t="s">
        <v>755</v>
      </c>
      <c r="C6054" s="1" t="s">
        <v>1114</v>
      </c>
      <c r="D6054" s="1" t="s">
        <v>250</v>
      </c>
      <c r="E6054" s="1" t="s">
        <v>44</v>
      </c>
      <c r="F6054" s="2" t="s">
        <v>1724</v>
      </c>
      <c r="G6054" s="1">
        <v>11.952</v>
      </c>
      <c r="H6054" s="1">
        <v>3</v>
      </c>
      <c r="I6054" s="1">
        <v>4.0338000000000003</v>
      </c>
    </row>
    <row r="6055" spans="1:9" x14ac:dyDescent="0.35">
      <c r="A6055" s="3" t="s">
        <v>3443</v>
      </c>
      <c r="B6055" s="1" t="s">
        <v>755</v>
      </c>
      <c r="C6055" s="1" t="s">
        <v>1114</v>
      </c>
      <c r="D6055" s="1" t="s">
        <v>250</v>
      </c>
      <c r="E6055" s="1" t="s">
        <v>29</v>
      </c>
      <c r="F6055" s="2" t="s">
        <v>2419</v>
      </c>
      <c r="G6055" s="1">
        <v>28</v>
      </c>
      <c r="H6055" s="1">
        <v>4</v>
      </c>
      <c r="I6055" s="1">
        <v>7.7</v>
      </c>
    </row>
    <row r="6056" spans="1:9" x14ac:dyDescent="0.35">
      <c r="A6056" s="3" t="s">
        <v>3443</v>
      </c>
      <c r="B6056" s="1" t="s">
        <v>755</v>
      </c>
      <c r="C6056" s="1" t="s">
        <v>1114</v>
      </c>
      <c r="D6056" s="1" t="s">
        <v>250</v>
      </c>
      <c r="E6056" s="1" t="s">
        <v>35</v>
      </c>
      <c r="F6056" s="2" t="s">
        <v>1215</v>
      </c>
      <c r="G6056" s="1">
        <v>12.201000000000001</v>
      </c>
      <c r="H6056" s="1">
        <v>7</v>
      </c>
      <c r="I6056" s="1">
        <v>-9.7607999999999997</v>
      </c>
    </row>
    <row r="6057" spans="1:9" x14ac:dyDescent="0.35">
      <c r="A6057" s="3" t="s">
        <v>3306</v>
      </c>
      <c r="B6057" s="1" t="s">
        <v>703</v>
      </c>
      <c r="C6057" s="1" t="s">
        <v>2664</v>
      </c>
      <c r="D6057" s="1" t="s">
        <v>52</v>
      </c>
      <c r="E6057" s="1" t="s">
        <v>35</v>
      </c>
      <c r="F6057" s="2" t="s">
        <v>2216</v>
      </c>
      <c r="G6057" s="1">
        <v>2.0680000000000001</v>
      </c>
      <c r="H6057" s="1">
        <v>1</v>
      </c>
      <c r="I6057" s="1">
        <v>-3.4121999999999999</v>
      </c>
    </row>
    <row r="6058" spans="1:9" x14ac:dyDescent="0.35">
      <c r="A6058" s="3" t="s">
        <v>3306</v>
      </c>
      <c r="B6058" s="1" t="s">
        <v>703</v>
      </c>
      <c r="C6058" s="1" t="s">
        <v>2664</v>
      </c>
      <c r="D6058" s="1" t="s">
        <v>52</v>
      </c>
      <c r="E6058" s="1" t="s">
        <v>44</v>
      </c>
      <c r="F6058" s="2" t="s">
        <v>2324</v>
      </c>
      <c r="G6058" s="1">
        <v>83.84</v>
      </c>
      <c r="H6058" s="1">
        <v>8</v>
      </c>
      <c r="I6058" s="1">
        <v>30.391999999999999</v>
      </c>
    </row>
    <row r="6059" spans="1:9" x14ac:dyDescent="0.35">
      <c r="A6059" s="3">
        <v>41673</v>
      </c>
      <c r="B6059" s="1" t="s">
        <v>2166</v>
      </c>
      <c r="C6059" s="1" t="s">
        <v>135</v>
      </c>
      <c r="D6059" s="1" t="s">
        <v>136</v>
      </c>
      <c r="E6059" s="1" t="s">
        <v>87</v>
      </c>
      <c r="F6059" s="2" t="s">
        <v>332</v>
      </c>
      <c r="G6059" s="1">
        <v>11.36</v>
      </c>
      <c r="H6059" s="1">
        <v>2</v>
      </c>
      <c r="I6059" s="1">
        <v>5.3391999999999999</v>
      </c>
    </row>
    <row r="6060" spans="1:9" x14ac:dyDescent="0.35">
      <c r="A6060" s="3">
        <v>41673</v>
      </c>
      <c r="B6060" s="1" t="s">
        <v>2166</v>
      </c>
      <c r="C6060" s="1" t="s">
        <v>135</v>
      </c>
      <c r="D6060" s="1" t="s">
        <v>136</v>
      </c>
      <c r="E6060" s="1" t="s">
        <v>44</v>
      </c>
      <c r="F6060" s="2" t="s">
        <v>145</v>
      </c>
      <c r="G6060" s="1">
        <v>36.4</v>
      </c>
      <c r="H6060" s="1">
        <v>5</v>
      </c>
      <c r="I6060" s="1">
        <v>17.472000000000001</v>
      </c>
    </row>
    <row r="6061" spans="1:9" x14ac:dyDescent="0.35">
      <c r="A6061" s="3" t="s">
        <v>3369</v>
      </c>
      <c r="B6061" s="1" t="s">
        <v>1179</v>
      </c>
      <c r="C6061" s="1" t="s">
        <v>74</v>
      </c>
      <c r="D6061" s="1" t="s">
        <v>75</v>
      </c>
      <c r="E6061" s="1" t="s">
        <v>81</v>
      </c>
      <c r="F6061" s="2" t="s">
        <v>2606</v>
      </c>
      <c r="G6061" s="1">
        <v>27.968</v>
      </c>
      <c r="H6061" s="1">
        <v>2</v>
      </c>
      <c r="I6061" s="1">
        <v>6.992</v>
      </c>
    </row>
    <row r="6062" spans="1:9" x14ac:dyDescent="0.35">
      <c r="A6062" s="3">
        <v>42281</v>
      </c>
      <c r="B6062" s="1" t="s">
        <v>987</v>
      </c>
      <c r="C6062" s="1" t="s">
        <v>197</v>
      </c>
      <c r="D6062" s="1" t="s">
        <v>136</v>
      </c>
      <c r="E6062" s="1" t="s">
        <v>26</v>
      </c>
      <c r="F6062" s="2" t="s">
        <v>1425</v>
      </c>
      <c r="G6062" s="1">
        <v>142.04</v>
      </c>
      <c r="H6062" s="1">
        <v>4</v>
      </c>
      <c r="I6062" s="1">
        <v>38.3508</v>
      </c>
    </row>
    <row r="6063" spans="1:9" x14ac:dyDescent="0.35">
      <c r="A6063" s="3">
        <v>42281</v>
      </c>
      <c r="B6063" s="1" t="s">
        <v>987</v>
      </c>
      <c r="C6063" s="1" t="s">
        <v>197</v>
      </c>
      <c r="D6063" s="1" t="s">
        <v>136</v>
      </c>
      <c r="E6063" s="1" t="s">
        <v>31</v>
      </c>
      <c r="F6063" s="2" t="s">
        <v>541</v>
      </c>
      <c r="G6063" s="1">
        <v>14.67</v>
      </c>
      <c r="H6063" s="1">
        <v>3</v>
      </c>
      <c r="I6063" s="1">
        <v>6.0147000000000004</v>
      </c>
    </row>
    <row r="6064" spans="1:9" x14ac:dyDescent="0.35">
      <c r="A6064" s="3" t="s">
        <v>3200</v>
      </c>
      <c r="B6064" s="1" t="s">
        <v>1014</v>
      </c>
      <c r="C6064" s="1" t="s">
        <v>461</v>
      </c>
      <c r="D6064" s="1" t="s">
        <v>18</v>
      </c>
      <c r="E6064" s="1" t="s">
        <v>579</v>
      </c>
      <c r="F6064" s="2" t="s">
        <v>1437</v>
      </c>
      <c r="G6064" s="1">
        <v>1199.96</v>
      </c>
      <c r="H6064" s="1">
        <v>5</v>
      </c>
      <c r="I6064" s="1">
        <v>224.99250000000001</v>
      </c>
    </row>
    <row r="6065" spans="1:9" x14ac:dyDescent="0.35">
      <c r="A6065" s="3" t="s">
        <v>3200</v>
      </c>
      <c r="B6065" s="1" t="s">
        <v>1014</v>
      </c>
      <c r="C6065" s="1" t="s">
        <v>461</v>
      </c>
      <c r="D6065" s="1" t="s">
        <v>18</v>
      </c>
      <c r="E6065" s="1" t="s">
        <v>44</v>
      </c>
      <c r="F6065" s="2" t="s">
        <v>1358</v>
      </c>
      <c r="G6065" s="1">
        <v>12.6</v>
      </c>
      <c r="H6065" s="1">
        <v>3</v>
      </c>
      <c r="I6065" s="1">
        <v>6.1740000000000004</v>
      </c>
    </row>
    <row r="6066" spans="1:9" x14ac:dyDescent="0.35">
      <c r="A6066" s="3" t="s">
        <v>3200</v>
      </c>
      <c r="B6066" s="1" t="s">
        <v>1014</v>
      </c>
      <c r="C6066" s="1" t="s">
        <v>461</v>
      </c>
      <c r="D6066" s="1" t="s">
        <v>18</v>
      </c>
      <c r="E6066" s="1" t="s">
        <v>44</v>
      </c>
      <c r="F6066" s="2" t="s">
        <v>826</v>
      </c>
      <c r="G6066" s="1">
        <v>17.940000000000001</v>
      </c>
      <c r="H6066" s="1">
        <v>3</v>
      </c>
      <c r="I6066" s="1">
        <v>8.0730000000000004</v>
      </c>
    </row>
    <row r="6067" spans="1:9" x14ac:dyDescent="0.35">
      <c r="A6067" s="3">
        <v>42128</v>
      </c>
      <c r="B6067" s="1" t="s">
        <v>325</v>
      </c>
      <c r="C6067" s="1" t="s">
        <v>74</v>
      </c>
      <c r="D6067" s="1" t="s">
        <v>75</v>
      </c>
      <c r="E6067" s="1" t="s">
        <v>19</v>
      </c>
      <c r="F6067" s="2" t="s">
        <v>1124</v>
      </c>
      <c r="G6067" s="1">
        <v>23.904</v>
      </c>
      <c r="H6067" s="1">
        <v>6</v>
      </c>
      <c r="I6067" s="1">
        <v>7.7687999999999997</v>
      </c>
    </row>
    <row r="6068" spans="1:9" x14ac:dyDescent="0.35">
      <c r="A6068" s="3" t="s">
        <v>3635</v>
      </c>
      <c r="B6068" s="1" t="s">
        <v>2713</v>
      </c>
      <c r="C6068" s="1" t="s">
        <v>2966</v>
      </c>
      <c r="D6068" s="1" t="s">
        <v>171</v>
      </c>
      <c r="E6068" s="1" t="s">
        <v>289</v>
      </c>
      <c r="F6068" s="2" t="s">
        <v>1993</v>
      </c>
      <c r="G6068" s="1">
        <v>88.96</v>
      </c>
      <c r="H6068" s="1">
        <v>8</v>
      </c>
      <c r="I6068" s="1">
        <v>10.007999999999999</v>
      </c>
    </row>
    <row r="6069" spans="1:9" x14ac:dyDescent="0.35">
      <c r="A6069" s="3" t="s">
        <v>3541</v>
      </c>
      <c r="B6069" s="1" t="s">
        <v>975</v>
      </c>
      <c r="C6069" s="1" t="s">
        <v>536</v>
      </c>
      <c r="D6069" s="1" t="s">
        <v>18</v>
      </c>
      <c r="E6069" s="1" t="s">
        <v>14</v>
      </c>
      <c r="F6069" s="2" t="s">
        <v>745</v>
      </c>
      <c r="G6069" s="1">
        <v>518.27200000000005</v>
      </c>
      <c r="H6069" s="1">
        <v>8</v>
      </c>
      <c r="I6069" s="1">
        <v>-97.176000000000002</v>
      </c>
    </row>
    <row r="6070" spans="1:9" x14ac:dyDescent="0.35">
      <c r="A6070" s="3" t="s">
        <v>3541</v>
      </c>
      <c r="B6070" s="1" t="s">
        <v>975</v>
      </c>
      <c r="C6070" s="1" t="s">
        <v>536</v>
      </c>
      <c r="D6070" s="1" t="s">
        <v>18</v>
      </c>
      <c r="E6070" s="1" t="s">
        <v>29</v>
      </c>
      <c r="F6070" s="2" t="s">
        <v>1325</v>
      </c>
      <c r="G6070" s="1">
        <v>6.98</v>
      </c>
      <c r="H6070" s="1">
        <v>1</v>
      </c>
      <c r="I6070" s="1">
        <v>3.3504</v>
      </c>
    </row>
    <row r="6071" spans="1:9" x14ac:dyDescent="0.35">
      <c r="A6071" s="3" t="s">
        <v>3541</v>
      </c>
      <c r="B6071" s="1" t="s">
        <v>975</v>
      </c>
      <c r="C6071" s="1" t="s">
        <v>536</v>
      </c>
      <c r="D6071" s="1" t="s">
        <v>18</v>
      </c>
      <c r="E6071" s="1" t="s">
        <v>338</v>
      </c>
      <c r="F6071" s="2" t="s">
        <v>2967</v>
      </c>
      <c r="G6071" s="1">
        <v>343.2</v>
      </c>
      <c r="H6071" s="1">
        <v>1</v>
      </c>
      <c r="I6071" s="1">
        <v>38.61</v>
      </c>
    </row>
    <row r="6072" spans="1:9" x14ac:dyDescent="0.35">
      <c r="A6072" s="3" t="s">
        <v>3280</v>
      </c>
      <c r="B6072" s="1" t="s">
        <v>1681</v>
      </c>
      <c r="C6072" s="1" t="s">
        <v>74</v>
      </c>
      <c r="D6072" s="1" t="s">
        <v>75</v>
      </c>
      <c r="E6072" s="1" t="s">
        <v>19</v>
      </c>
      <c r="F6072" s="2" t="s">
        <v>1177</v>
      </c>
      <c r="G6072" s="1">
        <v>17.544</v>
      </c>
      <c r="H6072" s="1">
        <v>3</v>
      </c>
      <c r="I6072" s="1">
        <v>5.9211</v>
      </c>
    </row>
    <row r="6073" spans="1:9" x14ac:dyDescent="0.35">
      <c r="A6073" s="3" t="s">
        <v>3692</v>
      </c>
      <c r="B6073" s="1" t="s">
        <v>2927</v>
      </c>
      <c r="C6073" s="1" t="s">
        <v>588</v>
      </c>
      <c r="D6073" s="1" t="s">
        <v>52</v>
      </c>
      <c r="E6073" s="1" t="s">
        <v>26</v>
      </c>
      <c r="F6073" s="2" t="s">
        <v>1097</v>
      </c>
      <c r="G6073" s="1">
        <v>152.68799999999999</v>
      </c>
      <c r="H6073" s="1">
        <v>2</v>
      </c>
      <c r="I6073" s="1">
        <v>-26.720400000000001</v>
      </c>
    </row>
    <row r="6074" spans="1:9" x14ac:dyDescent="0.35">
      <c r="A6074" s="3" t="s">
        <v>3692</v>
      </c>
      <c r="B6074" s="1" t="s">
        <v>2927</v>
      </c>
      <c r="C6074" s="1" t="s">
        <v>588</v>
      </c>
      <c r="D6074" s="1" t="s">
        <v>52</v>
      </c>
      <c r="E6074" s="1" t="s">
        <v>137</v>
      </c>
      <c r="F6074" s="2" t="s">
        <v>1430</v>
      </c>
      <c r="G6074" s="1">
        <v>3.488</v>
      </c>
      <c r="H6074" s="1">
        <v>2</v>
      </c>
      <c r="I6074" s="1">
        <v>0.56679999999999997</v>
      </c>
    </row>
    <row r="6075" spans="1:9" x14ac:dyDescent="0.35">
      <c r="A6075" s="3" t="s">
        <v>3692</v>
      </c>
      <c r="B6075" s="1" t="s">
        <v>2927</v>
      </c>
      <c r="C6075" s="1" t="s">
        <v>588</v>
      </c>
      <c r="D6075" s="1" t="s">
        <v>52</v>
      </c>
      <c r="E6075" s="1" t="s">
        <v>289</v>
      </c>
      <c r="F6075" s="2" t="s">
        <v>614</v>
      </c>
      <c r="G6075" s="1">
        <v>5.8879999999999999</v>
      </c>
      <c r="H6075" s="1">
        <v>2</v>
      </c>
      <c r="I6075" s="1">
        <v>-1.3248</v>
      </c>
    </row>
    <row r="6076" spans="1:9" x14ac:dyDescent="0.35">
      <c r="A6076" s="3" t="s">
        <v>3174</v>
      </c>
      <c r="B6076" s="1" t="s">
        <v>389</v>
      </c>
      <c r="C6076" s="1" t="s">
        <v>17</v>
      </c>
      <c r="D6076" s="1" t="s">
        <v>18</v>
      </c>
      <c r="E6076" s="1" t="s">
        <v>35</v>
      </c>
      <c r="F6076" s="2" t="s">
        <v>2049</v>
      </c>
      <c r="G6076" s="1">
        <v>153.55199999999999</v>
      </c>
      <c r="H6076" s="1">
        <v>3</v>
      </c>
      <c r="I6076" s="1">
        <v>51.823799999999999</v>
      </c>
    </row>
    <row r="6077" spans="1:9" x14ac:dyDescent="0.35">
      <c r="A6077" s="3" t="s">
        <v>3174</v>
      </c>
      <c r="B6077" s="1" t="s">
        <v>389</v>
      </c>
      <c r="C6077" s="1" t="s">
        <v>17</v>
      </c>
      <c r="D6077" s="1" t="s">
        <v>18</v>
      </c>
      <c r="E6077" s="1" t="s">
        <v>26</v>
      </c>
      <c r="F6077" s="2" t="s">
        <v>526</v>
      </c>
      <c r="G6077" s="1">
        <v>270.62</v>
      </c>
      <c r="H6077" s="1">
        <v>2</v>
      </c>
      <c r="I6077" s="1">
        <v>2.7061999999999999</v>
      </c>
    </row>
    <row r="6078" spans="1:9" x14ac:dyDescent="0.35">
      <c r="A6078" s="3">
        <v>42378</v>
      </c>
      <c r="B6078" s="1" t="s">
        <v>1155</v>
      </c>
      <c r="C6078" s="1" t="s">
        <v>135</v>
      </c>
      <c r="D6078" s="1" t="s">
        <v>136</v>
      </c>
      <c r="E6078" s="1" t="s">
        <v>81</v>
      </c>
      <c r="F6078" s="2" t="s">
        <v>859</v>
      </c>
      <c r="G6078" s="1">
        <v>468.9</v>
      </c>
      <c r="H6078" s="1">
        <v>6</v>
      </c>
      <c r="I6078" s="1">
        <v>206.316</v>
      </c>
    </row>
    <row r="6079" spans="1:9" x14ac:dyDescent="0.35">
      <c r="A6079" s="3">
        <v>42378</v>
      </c>
      <c r="B6079" s="1" t="s">
        <v>1155</v>
      </c>
      <c r="C6079" s="1" t="s">
        <v>135</v>
      </c>
      <c r="D6079" s="1" t="s">
        <v>136</v>
      </c>
      <c r="E6079" s="1" t="s">
        <v>81</v>
      </c>
      <c r="F6079" s="2" t="s">
        <v>2531</v>
      </c>
      <c r="G6079" s="1">
        <v>72.48</v>
      </c>
      <c r="H6079" s="1">
        <v>2</v>
      </c>
      <c r="I6079" s="1">
        <v>30.441600000000001</v>
      </c>
    </row>
    <row r="6080" spans="1:9" x14ac:dyDescent="0.35">
      <c r="A6080" s="3">
        <v>42378</v>
      </c>
      <c r="B6080" s="1" t="s">
        <v>1155</v>
      </c>
      <c r="C6080" s="1" t="s">
        <v>135</v>
      </c>
      <c r="D6080" s="1" t="s">
        <v>136</v>
      </c>
      <c r="E6080" s="1" t="s">
        <v>289</v>
      </c>
      <c r="F6080" s="2" t="s">
        <v>898</v>
      </c>
      <c r="G6080" s="1">
        <v>10.95</v>
      </c>
      <c r="H6080" s="1">
        <v>3</v>
      </c>
      <c r="I6080" s="1">
        <v>3.2850000000000001</v>
      </c>
    </row>
    <row r="6081" spans="1:9" x14ac:dyDescent="0.35">
      <c r="A6081" s="3">
        <v>42378</v>
      </c>
      <c r="B6081" s="1" t="s">
        <v>1155</v>
      </c>
      <c r="C6081" s="1" t="s">
        <v>135</v>
      </c>
      <c r="D6081" s="1" t="s">
        <v>136</v>
      </c>
      <c r="E6081" s="1" t="s">
        <v>29</v>
      </c>
      <c r="F6081" s="2" t="s">
        <v>801</v>
      </c>
      <c r="G6081" s="1">
        <v>191.82</v>
      </c>
      <c r="H6081" s="1">
        <v>3</v>
      </c>
      <c r="I6081" s="1">
        <v>61.382399999999997</v>
      </c>
    </row>
    <row r="6082" spans="1:9" x14ac:dyDescent="0.35">
      <c r="A6082" s="3">
        <v>42863</v>
      </c>
      <c r="B6082" s="1" t="s">
        <v>512</v>
      </c>
      <c r="C6082" s="1" t="s">
        <v>93</v>
      </c>
      <c r="D6082" s="1" t="s">
        <v>52</v>
      </c>
      <c r="E6082" s="1" t="s">
        <v>26</v>
      </c>
      <c r="F6082" s="2" t="s">
        <v>2021</v>
      </c>
      <c r="G6082" s="1">
        <v>151.05600000000001</v>
      </c>
      <c r="H6082" s="1">
        <v>9</v>
      </c>
      <c r="I6082" s="1">
        <v>7.5528000000000004</v>
      </c>
    </row>
    <row r="6083" spans="1:9" x14ac:dyDescent="0.35">
      <c r="A6083" s="3" t="s">
        <v>3693</v>
      </c>
      <c r="B6083" s="1" t="s">
        <v>731</v>
      </c>
      <c r="C6083" s="1" t="s">
        <v>2011</v>
      </c>
      <c r="D6083" s="1" t="s">
        <v>52</v>
      </c>
      <c r="E6083" s="1" t="s">
        <v>29</v>
      </c>
      <c r="F6083" s="2" t="s">
        <v>2661</v>
      </c>
      <c r="G6083" s="1">
        <v>25.16</v>
      </c>
      <c r="H6083" s="1">
        <v>5</v>
      </c>
      <c r="I6083" s="1">
        <v>-11.321999999999999</v>
      </c>
    </row>
    <row r="6084" spans="1:9" x14ac:dyDescent="0.35">
      <c r="A6084" s="3" t="s">
        <v>3251</v>
      </c>
      <c r="B6084" s="1" t="s">
        <v>770</v>
      </c>
      <c r="C6084" s="1" t="s">
        <v>93</v>
      </c>
      <c r="D6084" s="1" t="s">
        <v>52</v>
      </c>
      <c r="E6084" s="1" t="s">
        <v>35</v>
      </c>
      <c r="F6084" s="2" t="s">
        <v>2495</v>
      </c>
      <c r="G6084" s="1">
        <v>6.2160000000000002</v>
      </c>
      <c r="H6084" s="1">
        <v>6</v>
      </c>
      <c r="I6084" s="1">
        <v>-9.6348000000000003</v>
      </c>
    </row>
    <row r="6085" spans="1:9" x14ac:dyDescent="0.35">
      <c r="A6085" s="3" t="s">
        <v>3251</v>
      </c>
      <c r="B6085" s="1" t="s">
        <v>770</v>
      </c>
      <c r="C6085" s="1" t="s">
        <v>93</v>
      </c>
      <c r="D6085" s="1" t="s">
        <v>52</v>
      </c>
      <c r="E6085" s="1" t="s">
        <v>31</v>
      </c>
      <c r="F6085" s="2" t="s">
        <v>2677</v>
      </c>
      <c r="G6085" s="1">
        <v>23.616</v>
      </c>
      <c r="H6085" s="1">
        <v>9</v>
      </c>
      <c r="I6085" s="1">
        <v>2.6568000000000001</v>
      </c>
    </row>
    <row r="6086" spans="1:9" x14ac:dyDescent="0.35">
      <c r="A6086" s="3" t="s">
        <v>3251</v>
      </c>
      <c r="B6086" s="1" t="s">
        <v>770</v>
      </c>
      <c r="C6086" s="1" t="s">
        <v>93</v>
      </c>
      <c r="D6086" s="1" t="s">
        <v>52</v>
      </c>
      <c r="E6086" s="1" t="s">
        <v>81</v>
      </c>
      <c r="F6086" s="2" t="s">
        <v>2273</v>
      </c>
      <c r="G6086" s="1">
        <v>24.032</v>
      </c>
      <c r="H6086" s="1">
        <v>2</v>
      </c>
      <c r="I6086" s="1">
        <v>-0.6008</v>
      </c>
    </row>
    <row r="6087" spans="1:9" x14ac:dyDescent="0.35">
      <c r="A6087" s="3" t="s">
        <v>3251</v>
      </c>
      <c r="B6087" s="1" t="s">
        <v>770</v>
      </c>
      <c r="C6087" s="1" t="s">
        <v>93</v>
      </c>
      <c r="D6087" s="1" t="s">
        <v>52</v>
      </c>
      <c r="E6087" s="1" t="s">
        <v>19</v>
      </c>
      <c r="F6087" s="2" t="s">
        <v>1595</v>
      </c>
      <c r="G6087" s="1">
        <v>2.0880000000000001</v>
      </c>
      <c r="H6087" s="1">
        <v>1</v>
      </c>
      <c r="I6087" s="1">
        <v>0.67859999999999998</v>
      </c>
    </row>
    <row r="6088" spans="1:9" x14ac:dyDescent="0.35">
      <c r="A6088" s="3" t="s">
        <v>3251</v>
      </c>
      <c r="B6088" s="1" t="s">
        <v>770</v>
      </c>
      <c r="C6088" s="1" t="s">
        <v>93</v>
      </c>
      <c r="D6088" s="1" t="s">
        <v>52</v>
      </c>
      <c r="E6088" s="1" t="s">
        <v>35</v>
      </c>
      <c r="F6088" s="2" t="s">
        <v>2303</v>
      </c>
      <c r="G6088" s="1">
        <v>4.4880000000000004</v>
      </c>
      <c r="H6088" s="1">
        <v>6</v>
      </c>
      <c r="I6088" s="1">
        <v>-6.7320000000000002</v>
      </c>
    </row>
    <row r="6089" spans="1:9" x14ac:dyDescent="0.35">
      <c r="A6089" s="3" t="s">
        <v>3616</v>
      </c>
      <c r="B6089" s="1" t="s">
        <v>79</v>
      </c>
      <c r="C6089" s="1" t="s">
        <v>799</v>
      </c>
      <c r="D6089" s="1" t="s">
        <v>18</v>
      </c>
      <c r="E6089" s="1" t="s">
        <v>29</v>
      </c>
      <c r="F6089" s="2" t="s">
        <v>449</v>
      </c>
      <c r="G6089" s="1">
        <v>29.22</v>
      </c>
      <c r="H6089" s="1">
        <v>3</v>
      </c>
      <c r="I6089" s="1">
        <v>12.8568</v>
      </c>
    </row>
    <row r="6090" spans="1:9" x14ac:dyDescent="0.35">
      <c r="A6090" s="3" t="s">
        <v>3435</v>
      </c>
      <c r="B6090" s="1" t="s">
        <v>1921</v>
      </c>
      <c r="C6090" s="1" t="s">
        <v>1416</v>
      </c>
      <c r="D6090" s="1" t="s">
        <v>604</v>
      </c>
      <c r="E6090" s="1" t="s">
        <v>44</v>
      </c>
      <c r="F6090" s="2" t="s">
        <v>1187</v>
      </c>
      <c r="G6090" s="1">
        <v>6.48</v>
      </c>
      <c r="H6090" s="1">
        <v>1</v>
      </c>
      <c r="I6090" s="1">
        <v>3.1103999999999998</v>
      </c>
    </row>
    <row r="6091" spans="1:9" x14ac:dyDescent="0.35">
      <c r="A6091" s="3" t="s">
        <v>3530</v>
      </c>
      <c r="B6091" s="1" t="s">
        <v>1222</v>
      </c>
      <c r="C6091" s="1" t="s">
        <v>2866</v>
      </c>
      <c r="D6091" s="1" t="s">
        <v>229</v>
      </c>
      <c r="E6091" s="1" t="s">
        <v>35</v>
      </c>
      <c r="F6091" s="2" t="s">
        <v>1542</v>
      </c>
      <c r="G6091" s="1">
        <v>1.1879999999999999</v>
      </c>
      <c r="H6091" s="1">
        <v>2</v>
      </c>
      <c r="I6091" s="1">
        <v>-0.99</v>
      </c>
    </row>
    <row r="6092" spans="1:9" x14ac:dyDescent="0.35">
      <c r="A6092" s="3" t="s">
        <v>3694</v>
      </c>
      <c r="B6092" s="1" t="s">
        <v>1046</v>
      </c>
      <c r="C6092" s="1" t="s">
        <v>135</v>
      </c>
      <c r="D6092" s="1" t="s">
        <v>136</v>
      </c>
      <c r="E6092" s="1" t="s">
        <v>14</v>
      </c>
      <c r="F6092" s="2" t="s">
        <v>1560</v>
      </c>
      <c r="G6092" s="1">
        <v>272.64600000000002</v>
      </c>
      <c r="H6092" s="1">
        <v>3</v>
      </c>
      <c r="I6092" s="1">
        <v>18.176400000000001</v>
      </c>
    </row>
    <row r="6093" spans="1:9" x14ac:dyDescent="0.35">
      <c r="A6093" s="3" t="s">
        <v>3694</v>
      </c>
      <c r="B6093" s="1" t="s">
        <v>1046</v>
      </c>
      <c r="C6093" s="1" t="s">
        <v>135</v>
      </c>
      <c r="D6093" s="1" t="s">
        <v>136</v>
      </c>
      <c r="E6093" s="1" t="s">
        <v>81</v>
      </c>
      <c r="F6093" s="2" t="s">
        <v>2968</v>
      </c>
      <c r="G6093" s="1">
        <v>212.8</v>
      </c>
      <c r="H6093" s="1">
        <v>2</v>
      </c>
      <c r="I6093" s="1">
        <v>95.76</v>
      </c>
    </row>
    <row r="6094" spans="1:9" x14ac:dyDescent="0.35">
      <c r="A6094" s="3" t="s">
        <v>3694</v>
      </c>
      <c r="B6094" s="1" t="s">
        <v>1046</v>
      </c>
      <c r="C6094" s="1" t="s">
        <v>135</v>
      </c>
      <c r="D6094" s="1" t="s">
        <v>136</v>
      </c>
      <c r="E6094" s="1" t="s">
        <v>44</v>
      </c>
      <c r="F6094" s="2" t="s">
        <v>2783</v>
      </c>
      <c r="G6094" s="1">
        <v>38.520000000000003</v>
      </c>
      <c r="H6094" s="1">
        <v>9</v>
      </c>
      <c r="I6094" s="1">
        <v>18.104399999999998</v>
      </c>
    </row>
    <row r="6095" spans="1:9" x14ac:dyDescent="0.35">
      <c r="A6095" s="3" t="s">
        <v>3694</v>
      </c>
      <c r="B6095" s="1" t="s">
        <v>1046</v>
      </c>
      <c r="C6095" s="1" t="s">
        <v>135</v>
      </c>
      <c r="D6095" s="1" t="s">
        <v>136</v>
      </c>
      <c r="E6095" s="1" t="s">
        <v>81</v>
      </c>
      <c r="F6095" s="2" t="s">
        <v>862</v>
      </c>
      <c r="G6095" s="1">
        <v>72.64</v>
      </c>
      <c r="H6095" s="1">
        <v>2</v>
      </c>
      <c r="I6095" s="1">
        <v>21.792000000000002</v>
      </c>
    </row>
    <row r="6096" spans="1:9" x14ac:dyDescent="0.35">
      <c r="A6096" s="3" t="s">
        <v>3694</v>
      </c>
      <c r="B6096" s="1" t="s">
        <v>1046</v>
      </c>
      <c r="C6096" s="1" t="s">
        <v>135</v>
      </c>
      <c r="D6096" s="1" t="s">
        <v>136</v>
      </c>
      <c r="E6096" s="1" t="s">
        <v>26</v>
      </c>
      <c r="F6096" s="2" t="s">
        <v>178</v>
      </c>
      <c r="G6096" s="1">
        <v>45.4</v>
      </c>
      <c r="H6096" s="1">
        <v>4</v>
      </c>
      <c r="I6096" s="1">
        <v>12.712</v>
      </c>
    </row>
    <row r="6097" spans="1:9" x14ac:dyDescent="0.35">
      <c r="A6097" s="3" t="s">
        <v>3694</v>
      </c>
      <c r="B6097" s="1" t="s">
        <v>1046</v>
      </c>
      <c r="C6097" s="1" t="s">
        <v>135</v>
      </c>
      <c r="D6097" s="1" t="s">
        <v>136</v>
      </c>
      <c r="E6097" s="1" t="s">
        <v>44</v>
      </c>
      <c r="F6097" s="2" t="s">
        <v>602</v>
      </c>
      <c r="G6097" s="1">
        <v>13.76</v>
      </c>
      <c r="H6097" s="1">
        <v>2</v>
      </c>
      <c r="I6097" s="1">
        <v>6.3296000000000001</v>
      </c>
    </row>
    <row r="6098" spans="1:9" x14ac:dyDescent="0.35">
      <c r="A6098" s="3" t="s">
        <v>3694</v>
      </c>
      <c r="B6098" s="1" t="s">
        <v>1046</v>
      </c>
      <c r="C6098" s="1" t="s">
        <v>135</v>
      </c>
      <c r="D6098" s="1" t="s">
        <v>136</v>
      </c>
      <c r="E6098" s="1" t="s">
        <v>14</v>
      </c>
      <c r="F6098" s="2" t="s">
        <v>133</v>
      </c>
      <c r="G6098" s="1">
        <v>80.991</v>
      </c>
      <c r="H6098" s="1">
        <v>1</v>
      </c>
      <c r="I6098" s="1">
        <v>8.0991</v>
      </c>
    </row>
    <row r="6099" spans="1:9" x14ac:dyDescent="0.35">
      <c r="A6099" s="3" t="s">
        <v>3694</v>
      </c>
      <c r="B6099" s="1" t="s">
        <v>1046</v>
      </c>
      <c r="C6099" s="1" t="s">
        <v>135</v>
      </c>
      <c r="D6099" s="1" t="s">
        <v>136</v>
      </c>
      <c r="E6099" s="1" t="s">
        <v>35</v>
      </c>
      <c r="F6099" s="2" t="s">
        <v>390</v>
      </c>
      <c r="G6099" s="1">
        <v>11.784000000000001</v>
      </c>
      <c r="H6099" s="1">
        <v>3</v>
      </c>
      <c r="I6099" s="1">
        <v>3.9771000000000001</v>
      </c>
    </row>
    <row r="6100" spans="1:9" x14ac:dyDescent="0.35">
      <c r="A6100" s="3" t="s">
        <v>3694</v>
      </c>
      <c r="B6100" s="1" t="s">
        <v>1046</v>
      </c>
      <c r="C6100" s="1" t="s">
        <v>135</v>
      </c>
      <c r="D6100" s="1" t="s">
        <v>136</v>
      </c>
      <c r="E6100" s="1" t="s">
        <v>137</v>
      </c>
      <c r="F6100" s="2" t="s">
        <v>138</v>
      </c>
      <c r="G6100" s="1">
        <v>4.3600000000000003</v>
      </c>
      <c r="H6100" s="1">
        <v>2</v>
      </c>
      <c r="I6100" s="1">
        <v>1.7876000000000001</v>
      </c>
    </row>
    <row r="6101" spans="1:9" x14ac:dyDescent="0.35">
      <c r="A6101" s="3" t="s">
        <v>3694</v>
      </c>
      <c r="B6101" s="1" t="s">
        <v>1046</v>
      </c>
      <c r="C6101" s="1" t="s">
        <v>135</v>
      </c>
      <c r="D6101" s="1" t="s">
        <v>136</v>
      </c>
      <c r="E6101" s="1" t="s">
        <v>14</v>
      </c>
      <c r="F6101" s="2" t="s">
        <v>544</v>
      </c>
      <c r="G6101" s="1">
        <v>2888.127</v>
      </c>
      <c r="H6101" s="1">
        <v>11</v>
      </c>
      <c r="I6101" s="1">
        <v>609.71569999999997</v>
      </c>
    </row>
    <row r="6102" spans="1:9" x14ac:dyDescent="0.35">
      <c r="A6102" s="3" t="s">
        <v>3694</v>
      </c>
      <c r="B6102" s="1" t="s">
        <v>1046</v>
      </c>
      <c r="C6102" s="1" t="s">
        <v>135</v>
      </c>
      <c r="D6102" s="1" t="s">
        <v>136</v>
      </c>
      <c r="E6102" s="1" t="s">
        <v>33</v>
      </c>
      <c r="F6102" s="2" t="s">
        <v>1915</v>
      </c>
      <c r="G6102" s="1">
        <v>1299.6600000000001</v>
      </c>
      <c r="H6102" s="1">
        <v>2</v>
      </c>
      <c r="I6102" s="1">
        <v>350.90820000000002</v>
      </c>
    </row>
    <row r="6103" spans="1:9" x14ac:dyDescent="0.35">
      <c r="A6103" s="3" t="s">
        <v>3694</v>
      </c>
      <c r="B6103" s="1" t="s">
        <v>1046</v>
      </c>
      <c r="C6103" s="1" t="s">
        <v>135</v>
      </c>
      <c r="D6103" s="1" t="s">
        <v>136</v>
      </c>
      <c r="E6103" s="1" t="s">
        <v>14</v>
      </c>
      <c r="F6103" s="2" t="s">
        <v>807</v>
      </c>
      <c r="G6103" s="1">
        <v>2254.41</v>
      </c>
      <c r="H6103" s="1">
        <v>5</v>
      </c>
      <c r="I6103" s="1">
        <v>375.73500000000001</v>
      </c>
    </row>
    <row r="6104" spans="1:9" x14ac:dyDescent="0.35">
      <c r="A6104" s="3" t="s">
        <v>3694</v>
      </c>
      <c r="B6104" s="1" t="s">
        <v>1046</v>
      </c>
      <c r="C6104" s="1" t="s">
        <v>135</v>
      </c>
      <c r="D6104" s="1" t="s">
        <v>136</v>
      </c>
      <c r="E6104" s="1" t="s">
        <v>33</v>
      </c>
      <c r="F6104" s="2" t="s">
        <v>307</v>
      </c>
      <c r="G6104" s="1">
        <v>104.85</v>
      </c>
      <c r="H6104" s="1">
        <v>3</v>
      </c>
      <c r="I6104" s="1">
        <v>28.3095</v>
      </c>
    </row>
    <row r="6105" spans="1:9" x14ac:dyDescent="0.35">
      <c r="A6105" s="3" t="s">
        <v>3694</v>
      </c>
      <c r="B6105" s="1" t="s">
        <v>1046</v>
      </c>
      <c r="C6105" s="1" t="s">
        <v>135</v>
      </c>
      <c r="D6105" s="1" t="s">
        <v>136</v>
      </c>
      <c r="E6105" s="1" t="s">
        <v>81</v>
      </c>
      <c r="F6105" s="2" t="s">
        <v>198</v>
      </c>
      <c r="G6105" s="1">
        <v>59.97</v>
      </c>
      <c r="H6105" s="1">
        <v>3</v>
      </c>
      <c r="I6105" s="1">
        <v>20.389800000000001</v>
      </c>
    </row>
    <row r="6106" spans="1:9" x14ac:dyDescent="0.35">
      <c r="A6106" s="3" t="s">
        <v>3624</v>
      </c>
      <c r="B6106" s="1" t="s">
        <v>2363</v>
      </c>
      <c r="C6106" s="1" t="s">
        <v>74</v>
      </c>
      <c r="D6106" s="1" t="s">
        <v>75</v>
      </c>
      <c r="E6106" s="1" t="s">
        <v>24</v>
      </c>
      <c r="F6106" s="2" t="s">
        <v>1271</v>
      </c>
      <c r="G6106" s="1">
        <v>314.53199999999998</v>
      </c>
      <c r="H6106" s="1">
        <v>2</v>
      </c>
      <c r="I6106" s="1">
        <v>-83.875200000000007</v>
      </c>
    </row>
    <row r="6107" spans="1:9" x14ac:dyDescent="0.35">
      <c r="A6107" s="3" t="s">
        <v>3515</v>
      </c>
      <c r="B6107" s="1" t="s">
        <v>1469</v>
      </c>
      <c r="C6107" s="1" t="s">
        <v>672</v>
      </c>
      <c r="D6107" s="1" t="s">
        <v>23</v>
      </c>
      <c r="E6107" s="1" t="s">
        <v>31</v>
      </c>
      <c r="F6107" s="2" t="s">
        <v>601</v>
      </c>
      <c r="G6107" s="1">
        <v>13.632</v>
      </c>
      <c r="H6107" s="1">
        <v>4</v>
      </c>
      <c r="I6107" s="1">
        <v>3.5783999999999998</v>
      </c>
    </row>
    <row r="6108" spans="1:9" x14ac:dyDescent="0.35">
      <c r="A6108" s="3" t="s">
        <v>3340</v>
      </c>
      <c r="B6108" s="1" t="s">
        <v>2071</v>
      </c>
      <c r="C6108" s="1" t="s">
        <v>373</v>
      </c>
      <c r="D6108" s="1" t="s">
        <v>52</v>
      </c>
      <c r="E6108" s="1" t="s">
        <v>37</v>
      </c>
      <c r="F6108" s="2" t="s">
        <v>952</v>
      </c>
      <c r="G6108" s="1">
        <v>19.431999999999999</v>
      </c>
      <c r="H6108" s="1">
        <v>2</v>
      </c>
      <c r="I6108" s="1">
        <v>-49.551600000000001</v>
      </c>
    </row>
    <row r="6109" spans="1:9" x14ac:dyDescent="0.35">
      <c r="A6109" s="3" t="s">
        <v>3340</v>
      </c>
      <c r="B6109" s="1" t="s">
        <v>2071</v>
      </c>
      <c r="C6109" s="1" t="s">
        <v>373</v>
      </c>
      <c r="D6109" s="1" t="s">
        <v>52</v>
      </c>
      <c r="E6109" s="1" t="s">
        <v>81</v>
      </c>
      <c r="F6109" s="2" t="s">
        <v>1615</v>
      </c>
      <c r="G6109" s="1">
        <v>65.44</v>
      </c>
      <c r="H6109" s="1">
        <v>5</v>
      </c>
      <c r="I6109" s="1">
        <v>-8.18</v>
      </c>
    </row>
    <row r="6110" spans="1:9" x14ac:dyDescent="0.35">
      <c r="A6110" s="3">
        <v>42683</v>
      </c>
      <c r="B6110" s="1" t="s">
        <v>1952</v>
      </c>
      <c r="C6110" s="1" t="s">
        <v>154</v>
      </c>
      <c r="D6110" s="1" t="s">
        <v>106</v>
      </c>
      <c r="E6110" s="1" t="s">
        <v>19</v>
      </c>
      <c r="F6110" s="2" t="s">
        <v>2585</v>
      </c>
      <c r="G6110" s="1">
        <v>6</v>
      </c>
      <c r="H6110" s="1">
        <v>2</v>
      </c>
      <c r="I6110" s="1">
        <v>2.1</v>
      </c>
    </row>
    <row r="6111" spans="1:9" x14ac:dyDescent="0.35">
      <c r="A6111" s="3">
        <v>42683</v>
      </c>
      <c r="B6111" s="1" t="s">
        <v>1952</v>
      </c>
      <c r="C6111" s="1" t="s">
        <v>154</v>
      </c>
      <c r="D6111" s="1" t="s">
        <v>106</v>
      </c>
      <c r="E6111" s="1" t="s">
        <v>35</v>
      </c>
      <c r="F6111" s="2" t="s">
        <v>2178</v>
      </c>
      <c r="G6111" s="1">
        <v>1.9079999999999999</v>
      </c>
      <c r="H6111" s="1">
        <v>3</v>
      </c>
      <c r="I6111" s="1">
        <v>-3.2435999999999998</v>
      </c>
    </row>
    <row r="6112" spans="1:9" x14ac:dyDescent="0.35">
      <c r="A6112" s="3">
        <v>42715</v>
      </c>
      <c r="B6112" s="1" t="s">
        <v>2679</v>
      </c>
      <c r="C6112" s="1" t="s">
        <v>1657</v>
      </c>
      <c r="D6112" s="1" t="s">
        <v>250</v>
      </c>
      <c r="E6112" s="1" t="s">
        <v>14</v>
      </c>
      <c r="F6112" s="2" t="s">
        <v>2489</v>
      </c>
      <c r="G6112" s="1">
        <v>1474.8019999999999</v>
      </c>
      <c r="H6112" s="1">
        <v>7</v>
      </c>
      <c r="I6112" s="1">
        <v>-21.0686</v>
      </c>
    </row>
    <row r="6113" spans="1:9" x14ac:dyDescent="0.35">
      <c r="A6113" s="3">
        <v>42715</v>
      </c>
      <c r="B6113" s="1" t="s">
        <v>2679</v>
      </c>
      <c r="C6113" s="1" t="s">
        <v>1657</v>
      </c>
      <c r="D6113" s="1" t="s">
        <v>250</v>
      </c>
      <c r="E6113" s="1" t="s">
        <v>37</v>
      </c>
      <c r="F6113" s="2" t="s">
        <v>53</v>
      </c>
      <c r="G6113" s="1">
        <v>110.096</v>
      </c>
      <c r="H6113" s="1">
        <v>2</v>
      </c>
      <c r="I6113" s="1">
        <v>33.028799999999997</v>
      </c>
    </row>
    <row r="6114" spans="1:9" x14ac:dyDescent="0.35">
      <c r="A6114" s="3">
        <v>42715</v>
      </c>
      <c r="B6114" s="1" t="s">
        <v>2679</v>
      </c>
      <c r="C6114" s="1" t="s">
        <v>1657</v>
      </c>
      <c r="D6114" s="1" t="s">
        <v>250</v>
      </c>
      <c r="E6114" s="1" t="s">
        <v>137</v>
      </c>
      <c r="F6114" s="2" t="s">
        <v>423</v>
      </c>
      <c r="G6114" s="1">
        <v>16.751999999999999</v>
      </c>
      <c r="H6114" s="1">
        <v>6</v>
      </c>
      <c r="I6114" s="1">
        <v>5.4443999999999999</v>
      </c>
    </row>
    <row r="6115" spans="1:9" x14ac:dyDescent="0.35">
      <c r="A6115" s="3">
        <v>42715</v>
      </c>
      <c r="B6115" s="1" t="s">
        <v>2679</v>
      </c>
      <c r="C6115" s="1" t="s">
        <v>1657</v>
      </c>
      <c r="D6115" s="1" t="s">
        <v>250</v>
      </c>
      <c r="E6115" s="1" t="s">
        <v>14</v>
      </c>
      <c r="F6115" s="2" t="s">
        <v>15</v>
      </c>
      <c r="G6115" s="1">
        <v>1537.0740000000001</v>
      </c>
      <c r="H6115" s="1">
        <v>9</v>
      </c>
      <c r="I6115" s="1">
        <v>0</v>
      </c>
    </row>
    <row r="6116" spans="1:9" x14ac:dyDescent="0.35">
      <c r="A6116" s="3">
        <v>42715</v>
      </c>
      <c r="B6116" s="1" t="s">
        <v>2679</v>
      </c>
      <c r="C6116" s="1" t="s">
        <v>1657</v>
      </c>
      <c r="D6116" s="1" t="s">
        <v>250</v>
      </c>
      <c r="E6116" s="1" t="s">
        <v>14</v>
      </c>
      <c r="F6116" s="2" t="s">
        <v>1100</v>
      </c>
      <c r="G6116" s="1">
        <v>449.37200000000001</v>
      </c>
      <c r="H6116" s="1">
        <v>2</v>
      </c>
      <c r="I6116" s="1">
        <v>-12.8392</v>
      </c>
    </row>
    <row r="6117" spans="1:9" x14ac:dyDescent="0.35">
      <c r="A6117" s="3" t="s">
        <v>3474</v>
      </c>
      <c r="B6117" s="1" t="s">
        <v>313</v>
      </c>
      <c r="C6117" s="1" t="s">
        <v>2969</v>
      </c>
      <c r="D6117" s="1" t="s">
        <v>18</v>
      </c>
      <c r="E6117" s="1" t="s">
        <v>35</v>
      </c>
      <c r="F6117" s="2" t="s">
        <v>117</v>
      </c>
      <c r="G6117" s="1">
        <v>41.904000000000003</v>
      </c>
      <c r="H6117" s="1">
        <v>6</v>
      </c>
      <c r="I6117" s="1">
        <v>14.1426</v>
      </c>
    </row>
    <row r="6118" spans="1:9" x14ac:dyDescent="0.35">
      <c r="A6118" s="3" t="s">
        <v>3358</v>
      </c>
      <c r="B6118" s="1" t="s">
        <v>1701</v>
      </c>
      <c r="C6118" s="1" t="s">
        <v>135</v>
      </c>
      <c r="D6118" s="1" t="s">
        <v>136</v>
      </c>
      <c r="E6118" s="1" t="s">
        <v>33</v>
      </c>
      <c r="F6118" s="2" t="s">
        <v>2970</v>
      </c>
      <c r="G6118" s="1">
        <v>2279.96</v>
      </c>
      <c r="H6118" s="1">
        <v>4</v>
      </c>
      <c r="I6118" s="1">
        <v>592.78959999999995</v>
      </c>
    </row>
    <row r="6119" spans="1:9" x14ac:dyDescent="0.35">
      <c r="A6119" s="3" t="s">
        <v>3358</v>
      </c>
      <c r="B6119" s="1" t="s">
        <v>1701</v>
      </c>
      <c r="C6119" s="1" t="s">
        <v>135</v>
      </c>
      <c r="D6119" s="1" t="s">
        <v>136</v>
      </c>
      <c r="E6119" s="1" t="s">
        <v>19</v>
      </c>
      <c r="F6119" s="2" t="s">
        <v>1124</v>
      </c>
      <c r="G6119" s="1">
        <v>14.94</v>
      </c>
      <c r="H6119" s="1">
        <v>3</v>
      </c>
      <c r="I6119" s="1">
        <v>6.8723999999999998</v>
      </c>
    </row>
    <row r="6120" spans="1:9" x14ac:dyDescent="0.35">
      <c r="A6120" s="3" t="s">
        <v>3154</v>
      </c>
      <c r="B6120" s="1" t="s">
        <v>1228</v>
      </c>
      <c r="C6120" s="1" t="s">
        <v>162</v>
      </c>
      <c r="D6120" s="1" t="s">
        <v>212</v>
      </c>
      <c r="E6120" s="1" t="s">
        <v>33</v>
      </c>
      <c r="F6120" s="2" t="s">
        <v>922</v>
      </c>
      <c r="G6120" s="1">
        <v>191.976</v>
      </c>
      <c r="H6120" s="1">
        <v>3</v>
      </c>
      <c r="I6120" s="1">
        <v>19.197600000000001</v>
      </c>
    </row>
    <row r="6121" spans="1:9" x14ac:dyDescent="0.35">
      <c r="A6121" s="3" t="s">
        <v>3154</v>
      </c>
      <c r="B6121" s="1" t="s">
        <v>1228</v>
      </c>
      <c r="C6121" s="1" t="s">
        <v>162</v>
      </c>
      <c r="D6121" s="1" t="s">
        <v>212</v>
      </c>
      <c r="E6121" s="1" t="s">
        <v>31</v>
      </c>
      <c r="F6121" s="2" t="s">
        <v>1790</v>
      </c>
      <c r="G6121" s="1">
        <v>23.832000000000001</v>
      </c>
      <c r="H6121" s="1">
        <v>3</v>
      </c>
      <c r="I6121" s="1">
        <v>6.5537999999999998</v>
      </c>
    </row>
    <row r="6122" spans="1:9" x14ac:dyDescent="0.35">
      <c r="A6122" s="3" t="s">
        <v>3154</v>
      </c>
      <c r="B6122" s="1" t="s">
        <v>1228</v>
      </c>
      <c r="C6122" s="1" t="s">
        <v>162</v>
      </c>
      <c r="D6122" s="1" t="s">
        <v>212</v>
      </c>
      <c r="E6122" s="1" t="s">
        <v>29</v>
      </c>
      <c r="F6122" s="2" t="s">
        <v>801</v>
      </c>
      <c r="G6122" s="1">
        <v>409.21600000000001</v>
      </c>
      <c r="H6122" s="1">
        <v>8</v>
      </c>
      <c r="I6122" s="1">
        <v>61.382399999999997</v>
      </c>
    </row>
    <row r="6123" spans="1:9" x14ac:dyDescent="0.35">
      <c r="A6123" s="3" t="s">
        <v>3154</v>
      </c>
      <c r="B6123" s="1" t="s">
        <v>1228</v>
      </c>
      <c r="C6123" s="1" t="s">
        <v>162</v>
      </c>
      <c r="D6123" s="1" t="s">
        <v>212</v>
      </c>
      <c r="E6123" s="1" t="s">
        <v>12</v>
      </c>
      <c r="F6123" s="2" t="s">
        <v>684</v>
      </c>
      <c r="G6123" s="1">
        <v>72.587999999999994</v>
      </c>
      <c r="H6123" s="1">
        <v>2</v>
      </c>
      <c r="I6123" s="1">
        <v>-128.2388</v>
      </c>
    </row>
    <row r="6124" spans="1:9" x14ac:dyDescent="0.35">
      <c r="A6124" s="3">
        <v>42837</v>
      </c>
      <c r="B6124" s="1" t="s">
        <v>2001</v>
      </c>
      <c r="C6124" s="1" t="s">
        <v>154</v>
      </c>
      <c r="D6124" s="1" t="s">
        <v>106</v>
      </c>
      <c r="E6124" s="1" t="s">
        <v>26</v>
      </c>
      <c r="F6124" s="2" t="s">
        <v>2360</v>
      </c>
      <c r="G6124" s="1">
        <v>61.567999999999998</v>
      </c>
      <c r="H6124" s="1">
        <v>2</v>
      </c>
      <c r="I6124" s="1">
        <v>4.6176000000000004</v>
      </c>
    </row>
    <row r="6125" spans="1:9" x14ac:dyDescent="0.35">
      <c r="A6125" s="3" t="s">
        <v>3695</v>
      </c>
      <c r="B6125" s="1" t="s">
        <v>709</v>
      </c>
      <c r="C6125" s="1" t="s">
        <v>2696</v>
      </c>
      <c r="D6125" s="1" t="s">
        <v>52</v>
      </c>
      <c r="E6125" s="1" t="s">
        <v>44</v>
      </c>
      <c r="F6125" s="2" t="s">
        <v>2070</v>
      </c>
      <c r="G6125" s="1">
        <v>20.96</v>
      </c>
      <c r="H6125" s="1">
        <v>4</v>
      </c>
      <c r="I6125" s="1">
        <v>6.8120000000000003</v>
      </c>
    </row>
    <row r="6126" spans="1:9" x14ac:dyDescent="0.35">
      <c r="A6126" s="3">
        <v>42800</v>
      </c>
      <c r="B6126" s="1" t="s">
        <v>661</v>
      </c>
      <c r="C6126" s="1" t="s">
        <v>17</v>
      </c>
      <c r="D6126" s="1" t="s">
        <v>18</v>
      </c>
      <c r="E6126" s="1" t="s">
        <v>81</v>
      </c>
      <c r="F6126" s="2" t="s">
        <v>1760</v>
      </c>
      <c r="G6126" s="1">
        <v>44.75</v>
      </c>
      <c r="H6126" s="1">
        <v>5</v>
      </c>
      <c r="I6126" s="1">
        <v>8.5024999999999995</v>
      </c>
    </row>
    <row r="6127" spans="1:9" x14ac:dyDescent="0.35">
      <c r="A6127" s="3">
        <v>42800</v>
      </c>
      <c r="B6127" s="1" t="s">
        <v>661</v>
      </c>
      <c r="C6127" s="1" t="s">
        <v>17</v>
      </c>
      <c r="D6127" s="1" t="s">
        <v>18</v>
      </c>
      <c r="E6127" s="1" t="s">
        <v>44</v>
      </c>
      <c r="F6127" s="2" t="s">
        <v>2971</v>
      </c>
      <c r="G6127" s="1">
        <v>11.96</v>
      </c>
      <c r="H6127" s="1">
        <v>2</v>
      </c>
      <c r="I6127" s="1">
        <v>5.3819999999999997</v>
      </c>
    </row>
    <row r="6128" spans="1:9" x14ac:dyDescent="0.35">
      <c r="A6128" s="3">
        <v>42800</v>
      </c>
      <c r="B6128" s="1" t="s">
        <v>661</v>
      </c>
      <c r="C6128" s="1" t="s">
        <v>17</v>
      </c>
      <c r="D6128" s="1" t="s">
        <v>18</v>
      </c>
      <c r="E6128" s="1" t="s">
        <v>35</v>
      </c>
      <c r="F6128" s="2" t="s">
        <v>1317</v>
      </c>
      <c r="G6128" s="1">
        <v>3.9119999999999999</v>
      </c>
      <c r="H6128" s="1">
        <v>1</v>
      </c>
      <c r="I6128" s="1">
        <v>1.2714000000000001</v>
      </c>
    </row>
    <row r="6129" spans="1:9" x14ac:dyDescent="0.35">
      <c r="A6129" s="3" t="s">
        <v>3648</v>
      </c>
      <c r="B6129" s="1" t="s">
        <v>1967</v>
      </c>
      <c r="C6129" s="1" t="s">
        <v>135</v>
      </c>
      <c r="D6129" s="1" t="s">
        <v>136</v>
      </c>
      <c r="E6129" s="1" t="s">
        <v>14</v>
      </c>
      <c r="F6129" s="2" t="s">
        <v>348</v>
      </c>
      <c r="G6129" s="1">
        <v>327.99599999999998</v>
      </c>
      <c r="H6129" s="1">
        <v>6</v>
      </c>
      <c r="I6129" s="1">
        <v>54.665999999999997</v>
      </c>
    </row>
    <row r="6130" spans="1:9" x14ac:dyDescent="0.35">
      <c r="A6130" s="3" t="s">
        <v>3696</v>
      </c>
      <c r="B6130" s="1" t="s">
        <v>2506</v>
      </c>
      <c r="C6130" s="1" t="s">
        <v>64</v>
      </c>
      <c r="D6130" s="1" t="s">
        <v>18</v>
      </c>
      <c r="E6130" s="1" t="s">
        <v>35</v>
      </c>
      <c r="F6130" s="2" t="s">
        <v>1823</v>
      </c>
      <c r="G6130" s="1">
        <v>49.408000000000001</v>
      </c>
      <c r="H6130" s="1">
        <v>4</v>
      </c>
      <c r="I6130" s="1">
        <v>18.527999999999999</v>
      </c>
    </row>
    <row r="6131" spans="1:9" x14ac:dyDescent="0.35">
      <c r="A6131" s="3" t="s">
        <v>3522</v>
      </c>
      <c r="B6131" s="1" t="s">
        <v>2972</v>
      </c>
      <c r="C6131" s="1" t="s">
        <v>1306</v>
      </c>
      <c r="D6131" s="1" t="s">
        <v>163</v>
      </c>
      <c r="E6131" s="1" t="s">
        <v>81</v>
      </c>
      <c r="F6131" s="2" t="s">
        <v>1566</v>
      </c>
      <c r="G6131" s="1">
        <v>53.25</v>
      </c>
      <c r="H6131" s="1">
        <v>3</v>
      </c>
      <c r="I6131" s="1">
        <v>20.767499999999998</v>
      </c>
    </row>
    <row r="6132" spans="1:9" x14ac:dyDescent="0.35">
      <c r="A6132" s="3" t="s">
        <v>3522</v>
      </c>
      <c r="B6132" s="1" t="s">
        <v>2972</v>
      </c>
      <c r="C6132" s="1" t="s">
        <v>1306</v>
      </c>
      <c r="D6132" s="1" t="s">
        <v>163</v>
      </c>
      <c r="E6132" s="1" t="s">
        <v>137</v>
      </c>
      <c r="F6132" s="2" t="s">
        <v>281</v>
      </c>
      <c r="G6132" s="1">
        <v>3.76</v>
      </c>
      <c r="H6132" s="1">
        <v>2</v>
      </c>
      <c r="I6132" s="1">
        <v>1.3160000000000001</v>
      </c>
    </row>
    <row r="6133" spans="1:9" x14ac:dyDescent="0.35">
      <c r="A6133" s="3" t="s">
        <v>3310</v>
      </c>
      <c r="B6133" s="1" t="s">
        <v>1284</v>
      </c>
      <c r="C6133" s="1" t="s">
        <v>135</v>
      </c>
      <c r="D6133" s="1" t="s">
        <v>136</v>
      </c>
      <c r="E6133" s="1" t="s">
        <v>14</v>
      </c>
      <c r="F6133" s="2" t="s">
        <v>435</v>
      </c>
      <c r="G6133" s="1">
        <v>767.21400000000006</v>
      </c>
      <c r="H6133" s="1">
        <v>14</v>
      </c>
      <c r="I6133" s="1">
        <v>161.9674</v>
      </c>
    </row>
    <row r="6134" spans="1:9" x14ac:dyDescent="0.35">
      <c r="A6134" s="3" t="s">
        <v>3687</v>
      </c>
      <c r="B6134" s="1" t="s">
        <v>1020</v>
      </c>
      <c r="C6134" s="1" t="s">
        <v>2973</v>
      </c>
      <c r="D6134" s="1" t="s">
        <v>171</v>
      </c>
      <c r="E6134" s="1" t="s">
        <v>44</v>
      </c>
      <c r="F6134" s="2" t="s">
        <v>2535</v>
      </c>
      <c r="G6134" s="1">
        <v>163.96</v>
      </c>
      <c r="H6134" s="1">
        <v>5</v>
      </c>
      <c r="I6134" s="1">
        <v>59.435499999999998</v>
      </c>
    </row>
    <row r="6135" spans="1:9" x14ac:dyDescent="0.35">
      <c r="A6135" s="3" t="s">
        <v>3222</v>
      </c>
      <c r="B6135" s="1" t="s">
        <v>2974</v>
      </c>
      <c r="C6135" s="1" t="s">
        <v>17</v>
      </c>
      <c r="D6135" s="1" t="s">
        <v>18</v>
      </c>
      <c r="E6135" s="1" t="s">
        <v>24</v>
      </c>
      <c r="F6135" s="2" t="s">
        <v>2544</v>
      </c>
      <c r="G6135" s="1">
        <v>161.28</v>
      </c>
      <c r="H6135" s="1">
        <v>2</v>
      </c>
      <c r="I6135" s="1">
        <v>12.096</v>
      </c>
    </row>
    <row r="6136" spans="1:9" x14ac:dyDescent="0.35">
      <c r="A6136" s="3">
        <v>42471</v>
      </c>
      <c r="B6136" s="1" t="s">
        <v>2258</v>
      </c>
      <c r="C6136" s="1" t="s">
        <v>2632</v>
      </c>
      <c r="D6136" s="1" t="s">
        <v>18</v>
      </c>
      <c r="E6136" s="1" t="s">
        <v>31</v>
      </c>
      <c r="F6136" s="2" t="s">
        <v>538</v>
      </c>
      <c r="G6136" s="1">
        <v>192.8</v>
      </c>
      <c r="H6136" s="1">
        <v>4</v>
      </c>
      <c r="I6136" s="1">
        <v>55.911999999999999</v>
      </c>
    </row>
    <row r="6137" spans="1:9" x14ac:dyDescent="0.35">
      <c r="A6137" s="3" t="s">
        <v>3697</v>
      </c>
      <c r="B6137" s="1" t="s">
        <v>2166</v>
      </c>
      <c r="C6137" s="1" t="s">
        <v>2720</v>
      </c>
      <c r="D6137" s="1" t="s">
        <v>52</v>
      </c>
      <c r="E6137" s="1" t="s">
        <v>81</v>
      </c>
      <c r="F6137" s="2" t="s">
        <v>2621</v>
      </c>
      <c r="G6137" s="1">
        <v>27.696000000000002</v>
      </c>
      <c r="H6137" s="1">
        <v>3</v>
      </c>
      <c r="I6137" s="1">
        <v>3.4620000000000002</v>
      </c>
    </row>
    <row r="6138" spans="1:9" x14ac:dyDescent="0.35">
      <c r="A6138" s="3" t="s">
        <v>3697</v>
      </c>
      <c r="B6138" s="1" t="s">
        <v>2166</v>
      </c>
      <c r="C6138" s="1" t="s">
        <v>2720</v>
      </c>
      <c r="D6138" s="1" t="s">
        <v>52</v>
      </c>
      <c r="E6138" s="1" t="s">
        <v>37</v>
      </c>
      <c r="F6138" s="2" t="s">
        <v>2173</v>
      </c>
      <c r="G6138" s="1">
        <v>73.164000000000001</v>
      </c>
      <c r="H6138" s="1">
        <v>6</v>
      </c>
      <c r="I6138" s="1">
        <v>-186.56819999999999</v>
      </c>
    </row>
    <row r="6139" spans="1:9" x14ac:dyDescent="0.35">
      <c r="A6139" s="3" t="s">
        <v>3452</v>
      </c>
      <c r="B6139" s="1" t="s">
        <v>1376</v>
      </c>
      <c r="C6139" s="1" t="s">
        <v>2709</v>
      </c>
      <c r="D6139" s="1" t="s">
        <v>23</v>
      </c>
      <c r="E6139" s="1" t="s">
        <v>44</v>
      </c>
      <c r="F6139" s="2" t="s">
        <v>865</v>
      </c>
      <c r="G6139" s="1">
        <v>32.064</v>
      </c>
      <c r="H6139" s="1">
        <v>6</v>
      </c>
      <c r="I6139" s="1">
        <v>11.2224</v>
      </c>
    </row>
    <row r="6140" spans="1:9" x14ac:dyDescent="0.35">
      <c r="A6140" s="3" t="s">
        <v>3294</v>
      </c>
      <c r="B6140" s="1" t="s">
        <v>1179</v>
      </c>
      <c r="C6140" s="1" t="s">
        <v>64</v>
      </c>
      <c r="D6140" s="1" t="s">
        <v>18</v>
      </c>
      <c r="E6140" s="1" t="s">
        <v>12</v>
      </c>
      <c r="F6140" s="2" t="s">
        <v>780</v>
      </c>
      <c r="G6140" s="1">
        <v>205.666</v>
      </c>
      <c r="H6140" s="1">
        <v>2</v>
      </c>
      <c r="I6140" s="1">
        <v>-12.098000000000001</v>
      </c>
    </row>
    <row r="6141" spans="1:9" x14ac:dyDescent="0.35">
      <c r="A6141" s="3" t="s">
        <v>3157</v>
      </c>
      <c r="B6141" s="1" t="s">
        <v>2639</v>
      </c>
      <c r="C6141" s="1" t="s">
        <v>2975</v>
      </c>
      <c r="D6141" s="1" t="s">
        <v>18</v>
      </c>
      <c r="E6141" s="1" t="s">
        <v>26</v>
      </c>
      <c r="F6141" s="2" t="s">
        <v>2360</v>
      </c>
      <c r="G6141" s="1">
        <v>115.44</v>
      </c>
      <c r="H6141" s="1">
        <v>3</v>
      </c>
      <c r="I6141" s="1">
        <v>30.014399999999998</v>
      </c>
    </row>
    <row r="6142" spans="1:9" x14ac:dyDescent="0.35">
      <c r="A6142" s="3">
        <v>42985</v>
      </c>
      <c r="B6142" s="1" t="s">
        <v>1586</v>
      </c>
      <c r="C6142" s="1" t="s">
        <v>612</v>
      </c>
      <c r="D6142" s="1" t="s">
        <v>368</v>
      </c>
      <c r="E6142" s="1" t="s">
        <v>44</v>
      </c>
      <c r="F6142" s="2" t="s">
        <v>2952</v>
      </c>
      <c r="G6142" s="1">
        <v>274.8</v>
      </c>
      <c r="H6142" s="1">
        <v>5</v>
      </c>
      <c r="I6142" s="1">
        <v>134.65199999999999</v>
      </c>
    </row>
    <row r="6143" spans="1:9" x14ac:dyDescent="0.35">
      <c r="A6143" s="3">
        <v>42985</v>
      </c>
      <c r="B6143" s="1" t="s">
        <v>1586</v>
      </c>
      <c r="C6143" s="1" t="s">
        <v>612</v>
      </c>
      <c r="D6143" s="1" t="s">
        <v>368</v>
      </c>
      <c r="E6143" s="1" t="s">
        <v>26</v>
      </c>
      <c r="F6143" s="2" t="s">
        <v>1939</v>
      </c>
      <c r="G6143" s="1">
        <v>195.64</v>
      </c>
      <c r="H6143" s="1">
        <v>4</v>
      </c>
      <c r="I6143" s="1">
        <v>3.9127999999999998</v>
      </c>
    </row>
    <row r="6144" spans="1:9" x14ac:dyDescent="0.35">
      <c r="A6144" s="3">
        <v>42985</v>
      </c>
      <c r="B6144" s="1" t="s">
        <v>1586</v>
      </c>
      <c r="C6144" s="1" t="s">
        <v>612</v>
      </c>
      <c r="D6144" s="1" t="s">
        <v>368</v>
      </c>
      <c r="E6144" s="1" t="s">
        <v>33</v>
      </c>
      <c r="F6144" s="2" t="s">
        <v>1609</v>
      </c>
      <c r="G6144" s="1">
        <v>257.98</v>
      </c>
      <c r="H6144" s="1">
        <v>2</v>
      </c>
      <c r="I6144" s="1">
        <v>74.8142</v>
      </c>
    </row>
    <row r="6145" spans="1:9" x14ac:dyDescent="0.35">
      <c r="A6145" s="3">
        <v>42985</v>
      </c>
      <c r="B6145" s="1" t="s">
        <v>1586</v>
      </c>
      <c r="C6145" s="1" t="s">
        <v>612</v>
      </c>
      <c r="D6145" s="1" t="s">
        <v>368</v>
      </c>
      <c r="E6145" s="1" t="s">
        <v>31</v>
      </c>
      <c r="F6145" s="2" t="s">
        <v>2615</v>
      </c>
      <c r="G6145" s="1">
        <v>119.04</v>
      </c>
      <c r="H6145" s="1">
        <v>6</v>
      </c>
      <c r="I6145" s="1">
        <v>48.806399999999996</v>
      </c>
    </row>
    <row r="6146" spans="1:9" x14ac:dyDescent="0.35">
      <c r="A6146" s="3" t="s">
        <v>3307</v>
      </c>
      <c r="B6146" s="1" t="s">
        <v>869</v>
      </c>
      <c r="C6146" s="1" t="s">
        <v>1138</v>
      </c>
      <c r="D6146" s="1" t="s">
        <v>70</v>
      </c>
      <c r="E6146" s="1" t="s">
        <v>44</v>
      </c>
      <c r="F6146" s="2" t="s">
        <v>1792</v>
      </c>
      <c r="G6146" s="1">
        <v>20.07</v>
      </c>
      <c r="H6146" s="1">
        <v>3</v>
      </c>
      <c r="I6146" s="1">
        <v>9.2322000000000006</v>
      </c>
    </row>
    <row r="6147" spans="1:9" x14ac:dyDescent="0.35">
      <c r="A6147" s="3" t="s">
        <v>3698</v>
      </c>
      <c r="B6147" s="1" t="s">
        <v>2689</v>
      </c>
      <c r="C6147" s="1" t="s">
        <v>314</v>
      </c>
      <c r="D6147" s="1" t="s">
        <v>18</v>
      </c>
      <c r="E6147" s="1" t="s">
        <v>31</v>
      </c>
      <c r="F6147" s="2" t="s">
        <v>896</v>
      </c>
      <c r="G6147" s="1">
        <v>11.76</v>
      </c>
      <c r="H6147" s="1">
        <v>4</v>
      </c>
      <c r="I6147" s="1">
        <v>3.1751999999999998</v>
      </c>
    </row>
    <row r="6148" spans="1:9" x14ac:dyDescent="0.35">
      <c r="A6148" s="3" t="s">
        <v>3486</v>
      </c>
      <c r="B6148" s="1" t="s">
        <v>2150</v>
      </c>
      <c r="C6148" s="1" t="s">
        <v>64</v>
      </c>
      <c r="D6148" s="1" t="s">
        <v>18</v>
      </c>
      <c r="E6148" s="1" t="s">
        <v>31</v>
      </c>
      <c r="F6148" s="2" t="s">
        <v>896</v>
      </c>
      <c r="G6148" s="1">
        <v>11.76</v>
      </c>
      <c r="H6148" s="1">
        <v>4</v>
      </c>
      <c r="I6148" s="1">
        <v>3.1751999999999998</v>
      </c>
    </row>
    <row r="6149" spans="1:9" x14ac:dyDescent="0.35">
      <c r="A6149" s="3" t="s">
        <v>3486</v>
      </c>
      <c r="B6149" s="1" t="s">
        <v>2150</v>
      </c>
      <c r="C6149" s="1" t="s">
        <v>64</v>
      </c>
      <c r="D6149" s="1" t="s">
        <v>18</v>
      </c>
      <c r="E6149" s="1" t="s">
        <v>35</v>
      </c>
      <c r="F6149" s="2" t="s">
        <v>1654</v>
      </c>
      <c r="G6149" s="1">
        <v>40.735999999999997</v>
      </c>
      <c r="H6149" s="1">
        <v>2</v>
      </c>
      <c r="I6149" s="1">
        <v>14.7668</v>
      </c>
    </row>
    <row r="6150" spans="1:9" x14ac:dyDescent="0.35">
      <c r="A6150" s="3" t="s">
        <v>3295</v>
      </c>
      <c r="B6150" s="1" t="s">
        <v>2391</v>
      </c>
      <c r="C6150" s="1" t="s">
        <v>64</v>
      </c>
      <c r="D6150" s="1" t="s">
        <v>18</v>
      </c>
      <c r="E6150" s="1" t="s">
        <v>33</v>
      </c>
      <c r="F6150" s="2" t="s">
        <v>2586</v>
      </c>
      <c r="G6150" s="1">
        <v>201.584</v>
      </c>
      <c r="H6150" s="1">
        <v>2</v>
      </c>
      <c r="I6150" s="1">
        <v>12.599</v>
      </c>
    </row>
    <row r="6151" spans="1:9" x14ac:dyDescent="0.35">
      <c r="A6151" s="3" t="s">
        <v>3530</v>
      </c>
      <c r="B6151" s="1" t="s">
        <v>2474</v>
      </c>
      <c r="C6151" s="1" t="s">
        <v>559</v>
      </c>
      <c r="D6151" s="1" t="s">
        <v>18</v>
      </c>
      <c r="E6151" s="1" t="s">
        <v>14</v>
      </c>
      <c r="F6151" s="2" t="s">
        <v>144</v>
      </c>
      <c r="G6151" s="1">
        <v>340.70400000000001</v>
      </c>
      <c r="H6151" s="1">
        <v>6</v>
      </c>
      <c r="I6151" s="1">
        <v>-34.070399999999999</v>
      </c>
    </row>
    <row r="6152" spans="1:9" x14ac:dyDescent="0.35">
      <c r="A6152" s="3">
        <v>42586</v>
      </c>
      <c r="B6152" s="1" t="s">
        <v>1866</v>
      </c>
      <c r="C6152" s="1" t="s">
        <v>249</v>
      </c>
      <c r="D6152" s="1" t="s">
        <v>604</v>
      </c>
      <c r="E6152" s="1" t="s">
        <v>12</v>
      </c>
      <c r="F6152" s="2" t="s">
        <v>2578</v>
      </c>
      <c r="G6152" s="1">
        <v>354.9</v>
      </c>
      <c r="H6152" s="1">
        <v>5</v>
      </c>
      <c r="I6152" s="1">
        <v>88.724999999999994</v>
      </c>
    </row>
    <row r="6153" spans="1:9" x14ac:dyDescent="0.35">
      <c r="A6153" s="3" t="s">
        <v>3235</v>
      </c>
      <c r="B6153" s="1" t="s">
        <v>2716</v>
      </c>
      <c r="C6153" s="1" t="s">
        <v>64</v>
      </c>
      <c r="D6153" s="1" t="s">
        <v>18</v>
      </c>
      <c r="E6153" s="1" t="s">
        <v>12</v>
      </c>
      <c r="F6153" s="2" t="s">
        <v>2668</v>
      </c>
      <c r="G6153" s="1">
        <v>1198.33</v>
      </c>
      <c r="H6153" s="1">
        <v>10</v>
      </c>
      <c r="I6153" s="1">
        <v>70.489999999999995</v>
      </c>
    </row>
    <row r="6154" spans="1:9" x14ac:dyDescent="0.35">
      <c r="A6154" s="3">
        <v>42801</v>
      </c>
      <c r="B6154" s="1" t="s">
        <v>1309</v>
      </c>
      <c r="C6154" s="1" t="s">
        <v>17</v>
      </c>
      <c r="D6154" s="1" t="s">
        <v>18</v>
      </c>
      <c r="E6154" s="1" t="s">
        <v>26</v>
      </c>
      <c r="F6154" s="2" t="s">
        <v>432</v>
      </c>
      <c r="G6154" s="1">
        <v>87.92</v>
      </c>
      <c r="H6154" s="1">
        <v>4</v>
      </c>
      <c r="I6154" s="1">
        <v>0.87919999999999998</v>
      </c>
    </row>
    <row r="6155" spans="1:9" x14ac:dyDescent="0.35">
      <c r="A6155" s="3" t="s">
        <v>3699</v>
      </c>
      <c r="B6155" s="1" t="s">
        <v>241</v>
      </c>
      <c r="C6155" s="1" t="s">
        <v>74</v>
      </c>
      <c r="D6155" s="1" t="s">
        <v>75</v>
      </c>
      <c r="E6155" s="1" t="s">
        <v>29</v>
      </c>
      <c r="F6155" s="2" t="s">
        <v>2342</v>
      </c>
      <c r="G6155" s="1">
        <v>51.968000000000004</v>
      </c>
      <c r="H6155" s="1">
        <v>2</v>
      </c>
      <c r="I6155" s="1">
        <v>10.393599999999999</v>
      </c>
    </row>
    <row r="6156" spans="1:9" x14ac:dyDescent="0.35">
      <c r="A6156" s="3" t="s">
        <v>3699</v>
      </c>
      <c r="B6156" s="1" t="s">
        <v>241</v>
      </c>
      <c r="C6156" s="1" t="s">
        <v>74</v>
      </c>
      <c r="D6156" s="1" t="s">
        <v>75</v>
      </c>
      <c r="E6156" s="1" t="s">
        <v>26</v>
      </c>
      <c r="F6156" s="2" t="s">
        <v>187</v>
      </c>
      <c r="G6156" s="1">
        <v>51.335999999999999</v>
      </c>
      <c r="H6156" s="1">
        <v>3</v>
      </c>
      <c r="I6156" s="1">
        <v>5.7752999999999997</v>
      </c>
    </row>
    <row r="6157" spans="1:9" x14ac:dyDescent="0.35">
      <c r="A6157" s="3" t="s">
        <v>3699</v>
      </c>
      <c r="B6157" s="1" t="s">
        <v>241</v>
      </c>
      <c r="C6157" s="1" t="s">
        <v>74</v>
      </c>
      <c r="D6157" s="1" t="s">
        <v>75</v>
      </c>
      <c r="E6157" s="1" t="s">
        <v>26</v>
      </c>
      <c r="F6157" s="2" t="s">
        <v>741</v>
      </c>
      <c r="G6157" s="1">
        <v>332.70400000000001</v>
      </c>
      <c r="H6157" s="1">
        <v>1</v>
      </c>
      <c r="I6157" s="1">
        <v>33.270400000000002</v>
      </c>
    </row>
    <row r="6158" spans="1:9" x14ac:dyDescent="0.35">
      <c r="A6158" s="3" t="s">
        <v>3699</v>
      </c>
      <c r="B6158" s="1" t="s">
        <v>241</v>
      </c>
      <c r="C6158" s="1" t="s">
        <v>74</v>
      </c>
      <c r="D6158" s="1" t="s">
        <v>75</v>
      </c>
      <c r="E6158" s="1" t="s">
        <v>29</v>
      </c>
      <c r="F6158" s="2" t="s">
        <v>2286</v>
      </c>
      <c r="G6158" s="1">
        <v>42.408000000000001</v>
      </c>
      <c r="H6158" s="1">
        <v>3</v>
      </c>
      <c r="I6158" s="1">
        <v>9.5418000000000003</v>
      </c>
    </row>
    <row r="6159" spans="1:9" x14ac:dyDescent="0.35">
      <c r="A6159" s="3">
        <v>42437</v>
      </c>
      <c r="B6159" s="1" t="s">
        <v>2755</v>
      </c>
      <c r="C6159" s="1" t="s">
        <v>1897</v>
      </c>
      <c r="D6159" s="1" t="s">
        <v>322</v>
      </c>
      <c r="E6159" s="1" t="s">
        <v>87</v>
      </c>
      <c r="F6159" s="2" t="s">
        <v>254</v>
      </c>
      <c r="G6159" s="1">
        <v>81.540000000000006</v>
      </c>
      <c r="H6159" s="1">
        <v>3</v>
      </c>
      <c r="I6159" s="1">
        <v>38.323799999999999</v>
      </c>
    </row>
    <row r="6160" spans="1:9" x14ac:dyDescent="0.35">
      <c r="A6160" s="3">
        <v>42437</v>
      </c>
      <c r="B6160" s="1" t="s">
        <v>2755</v>
      </c>
      <c r="C6160" s="1" t="s">
        <v>1897</v>
      </c>
      <c r="D6160" s="1" t="s">
        <v>322</v>
      </c>
      <c r="E6160" s="1" t="s">
        <v>81</v>
      </c>
      <c r="F6160" s="2" t="s">
        <v>2976</v>
      </c>
      <c r="G6160" s="1">
        <v>167.28</v>
      </c>
      <c r="H6160" s="1">
        <v>12</v>
      </c>
      <c r="I6160" s="1">
        <v>23.4192</v>
      </c>
    </row>
    <row r="6161" spans="1:9" x14ac:dyDescent="0.35">
      <c r="A6161" s="3">
        <v>42441</v>
      </c>
      <c r="B6161" s="1" t="s">
        <v>1134</v>
      </c>
      <c r="C6161" s="1" t="s">
        <v>17</v>
      </c>
      <c r="D6161" s="1" t="s">
        <v>18</v>
      </c>
      <c r="E6161" s="1" t="s">
        <v>26</v>
      </c>
      <c r="F6161" s="2" t="s">
        <v>2769</v>
      </c>
      <c r="G6161" s="1">
        <v>772.68</v>
      </c>
      <c r="H6161" s="1">
        <v>4</v>
      </c>
      <c r="I6161" s="1">
        <v>108.1752</v>
      </c>
    </row>
    <row r="6162" spans="1:9" x14ac:dyDescent="0.35">
      <c r="A6162" s="3" t="s">
        <v>3700</v>
      </c>
      <c r="B6162" s="1" t="s">
        <v>831</v>
      </c>
      <c r="C6162" s="1" t="s">
        <v>835</v>
      </c>
      <c r="D6162" s="1" t="s">
        <v>23</v>
      </c>
      <c r="E6162" s="1" t="s">
        <v>33</v>
      </c>
      <c r="F6162" s="2" t="s">
        <v>934</v>
      </c>
      <c r="G6162" s="1">
        <v>323.976</v>
      </c>
      <c r="H6162" s="1">
        <v>3</v>
      </c>
      <c r="I6162" s="1">
        <v>28.347899999999999</v>
      </c>
    </row>
    <row r="6163" spans="1:9" x14ac:dyDescent="0.35">
      <c r="A6163" s="3" t="s">
        <v>3700</v>
      </c>
      <c r="B6163" s="1" t="s">
        <v>831</v>
      </c>
      <c r="C6163" s="1" t="s">
        <v>835</v>
      </c>
      <c r="D6163" s="1" t="s">
        <v>23</v>
      </c>
      <c r="E6163" s="1" t="s">
        <v>19</v>
      </c>
      <c r="F6163" s="2" t="s">
        <v>1902</v>
      </c>
      <c r="G6163" s="1">
        <v>11.808</v>
      </c>
      <c r="H6163" s="1">
        <v>4</v>
      </c>
      <c r="I6163" s="1">
        <v>3.9851999999999999</v>
      </c>
    </row>
    <row r="6164" spans="1:9" x14ac:dyDescent="0.35">
      <c r="A6164" s="3" t="s">
        <v>3700</v>
      </c>
      <c r="B6164" s="1" t="s">
        <v>831</v>
      </c>
      <c r="C6164" s="1" t="s">
        <v>835</v>
      </c>
      <c r="D6164" s="1" t="s">
        <v>23</v>
      </c>
      <c r="E6164" s="1" t="s">
        <v>26</v>
      </c>
      <c r="F6164" s="2" t="s">
        <v>702</v>
      </c>
      <c r="G6164" s="1">
        <v>26.16</v>
      </c>
      <c r="H6164" s="1">
        <v>3</v>
      </c>
      <c r="I6164" s="1">
        <v>1.962</v>
      </c>
    </row>
    <row r="6165" spans="1:9" x14ac:dyDescent="0.35">
      <c r="A6165" s="3" t="s">
        <v>3700</v>
      </c>
      <c r="B6165" s="1" t="s">
        <v>831</v>
      </c>
      <c r="C6165" s="1" t="s">
        <v>835</v>
      </c>
      <c r="D6165" s="1" t="s">
        <v>23</v>
      </c>
      <c r="E6165" s="1" t="s">
        <v>35</v>
      </c>
      <c r="F6165" s="2" t="s">
        <v>2327</v>
      </c>
      <c r="G6165" s="1">
        <v>33.57</v>
      </c>
      <c r="H6165" s="1">
        <v>5</v>
      </c>
      <c r="I6165" s="1">
        <v>-25.736999999999998</v>
      </c>
    </row>
    <row r="6166" spans="1:9" x14ac:dyDescent="0.35">
      <c r="A6166" s="3" t="s">
        <v>3700</v>
      </c>
      <c r="B6166" s="1" t="s">
        <v>831</v>
      </c>
      <c r="C6166" s="1" t="s">
        <v>835</v>
      </c>
      <c r="D6166" s="1" t="s">
        <v>23</v>
      </c>
      <c r="E6166" s="1" t="s">
        <v>29</v>
      </c>
      <c r="F6166" s="2" t="s">
        <v>609</v>
      </c>
      <c r="G6166" s="1">
        <v>4.992</v>
      </c>
      <c r="H6166" s="1">
        <v>3</v>
      </c>
      <c r="I6166" s="1">
        <v>1.3728</v>
      </c>
    </row>
    <row r="6167" spans="1:9" x14ac:dyDescent="0.35">
      <c r="A6167" s="3" t="s">
        <v>3700</v>
      </c>
      <c r="B6167" s="1" t="s">
        <v>831</v>
      </c>
      <c r="C6167" s="1" t="s">
        <v>835</v>
      </c>
      <c r="D6167" s="1" t="s">
        <v>23</v>
      </c>
      <c r="E6167" s="1" t="s">
        <v>29</v>
      </c>
      <c r="F6167" s="2" t="s">
        <v>2801</v>
      </c>
      <c r="G6167" s="1">
        <v>20.015999999999998</v>
      </c>
      <c r="H6167" s="1">
        <v>3</v>
      </c>
      <c r="I6167" s="1">
        <v>5.5044000000000004</v>
      </c>
    </row>
    <row r="6168" spans="1:9" x14ac:dyDescent="0.35">
      <c r="A6168" s="3" t="s">
        <v>3700</v>
      </c>
      <c r="B6168" s="1" t="s">
        <v>831</v>
      </c>
      <c r="C6168" s="1" t="s">
        <v>835</v>
      </c>
      <c r="D6168" s="1" t="s">
        <v>23</v>
      </c>
      <c r="E6168" s="1" t="s">
        <v>81</v>
      </c>
      <c r="F6168" s="2" t="s">
        <v>2968</v>
      </c>
      <c r="G6168" s="1">
        <v>170.24</v>
      </c>
      <c r="H6168" s="1">
        <v>2</v>
      </c>
      <c r="I6168" s="1">
        <v>53.2</v>
      </c>
    </row>
    <row r="6169" spans="1:9" x14ac:dyDescent="0.35">
      <c r="A6169" s="3" t="s">
        <v>3701</v>
      </c>
      <c r="B6169" s="1" t="s">
        <v>1123</v>
      </c>
      <c r="C6169" s="1" t="s">
        <v>93</v>
      </c>
      <c r="D6169" s="1" t="s">
        <v>52</v>
      </c>
      <c r="E6169" s="1" t="s">
        <v>44</v>
      </c>
      <c r="F6169" s="2" t="s">
        <v>280</v>
      </c>
      <c r="G6169" s="1">
        <v>117.456</v>
      </c>
      <c r="H6169" s="1">
        <v>3</v>
      </c>
      <c r="I6169" s="1">
        <v>44.045999999999999</v>
      </c>
    </row>
    <row r="6170" spans="1:9" x14ac:dyDescent="0.35">
      <c r="A6170" s="3" t="s">
        <v>3611</v>
      </c>
      <c r="B6170" s="1" t="s">
        <v>1648</v>
      </c>
      <c r="C6170" s="1" t="s">
        <v>17</v>
      </c>
      <c r="D6170" s="1" t="s">
        <v>18</v>
      </c>
      <c r="E6170" s="1" t="s">
        <v>44</v>
      </c>
      <c r="F6170" s="2" t="s">
        <v>888</v>
      </c>
      <c r="G6170" s="1">
        <v>22.96</v>
      </c>
      <c r="H6170" s="1">
        <v>2</v>
      </c>
      <c r="I6170" s="1">
        <v>11.250400000000001</v>
      </c>
    </row>
    <row r="6171" spans="1:9" x14ac:dyDescent="0.35">
      <c r="A6171" s="3" t="s">
        <v>3147</v>
      </c>
      <c r="B6171" s="1" t="s">
        <v>1661</v>
      </c>
      <c r="C6171" s="1" t="s">
        <v>162</v>
      </c>
      <c r="D6171" s="1" t="s">
        <v>163</v>
      </c>
      <c r="E6171" s="1" t="s">
        <v>44</v>
      </c>
      <c r="F6171" s="2" t="s">
        <v>865</v>
      </c>
      <c r="G6171" s="1">
        <v>13.36</v>
      </c>
      <c r="H6171" s="1">
        <v>2</v>
      </c>
      <c r="I6171" s="1">
        <v>6.4127999999999998</v>
      </c>
    </row>
    <row r="6172" spans="1:9" x14ac:dyDescent="0.35">
      <c r="A6172" s="3" t="s">
        <v>3660</v>
      </c>
      <c r="B6172" s="1" t="s">
        <v>2977</v>
      </c>
      <c r="C6172" s="1" t="s">
        <v>135</v>
      </c>
      <c r="D6172" s="1" t="s">
        <v>136</v>
      </c>
      <c r="E6172" s="1" t="s">
        <v>35</v>
      </c>
      <c r="F6172" s="2" t="s">
        <v>2313</v>
      </c>
      <c r="G6172" s="1">
        <v>34.247999999999998</v>
      </c>
      <c r="H6172" s="1">
        <v>3</v>
      </c>
      <c r="I6172" s="1">
        <v>11.5587</v>
      </c>
    </row>
    <row r="6173" spans="1:9" x14ac:dyDescent="0.35">
      <c r="A6173" s="3" t="s">
        <v>3660</v>
      </c>
      <c r="B6173" s="1" t="s">
        <v>2977</v>
      </c>
      <c r="C6173" s="1" t="s">
        <v>135</v>
      </c>
      <c r="D6173" s="1" t="s">
        <v>136</v>
      </c>
      <c r="E6173" s="1" t="s">
        <v>31</v>
      </c>
      <c r="F6173" s="2" t="s">
        <v>1404</v>
      </c>
      <c r="G6173" s="1">
        <v>3.52</v>
      </c>
      <c r="H6173" s="1">
        <v>2</v>
      </c>
      <c r="I6173" s="1">
        <v>1.0207999999999999</v>
      </c>
    </row>
    <row r="6174" spans="1:9" x14ac:dyDescent="0.35">
      <c r="A6174" s="3">
        <v>41678</v>
      </c>
      <c r="B6174" s="1" t="s">
        <v>512</v>
      </c>
      <c r="C6174" s="1" t="s">
        <v>162</v>
      </c>
      <c r="D6174" s="1" t="s">
        <v>298</v>
      </c>
      <c r="E6174" s="1" t="s">
        <v>35</v>
      </c>
      <c r="F6174" s="2" t="s">
        <v>1598</v>
      </c>
      <c r="G6174" s="1">
        <v>26.7</v>
      </c>
      <c r="H6174" s="1">
        <v>5</v>
      </c>
      <c r="I6174" s="1">
        <v>12.548999999999999</v>
      </c>
    </row>
    <row r="6175" spans="1:9" x14ac:dyDescent="0.35">
      <c r="A6175" s="3">
        <v>41678</v>
      </c>
      <c r="B6175" s="1" t="s">
        <v>512</v>
      </c>
      <c r="C6175" s="1" t="s">
        <v>162</v>
      </c>
      <c r="D6175" s="1" t="s">
        <v>298</v>
      </c>
      <c r="E6175" s="1" t="s">
        <v>81</v>
      </c>
      <c r="F6175" s="2" t="s">
        <v>2750</v>
      </c>
      <c r="G6175" s="1">
        <v>21.2</v>
      </c>
      <c r="H6175" s="1">
        <v>2</v>
      </c>
      <c r="I6175" s="1">
        <v>9.1159999999999997</v>
      </c>
    </row>
    <row r="6176" spans="1:9" x14ac:dyDescent="0.35">
      <c r="A6176" s="3">
        <v>41678</v>
      </c>
      <c r="B6176" s="1" t="s">
        <v>512</v>
      </c>
      <c r="C6176" s="1" t="s">
        <v>162</v>
      </c>
      <c r="D6176" s="1" t="s">
        <v>298</v>
      </c>
      <c r="E6176" s="1" t="s">
        <v>26</v>
      </c>
      <c r="F6176" s="2" t="s">
        <v>1801</v>
      </c>
      <c r="G6176" s="1">
        <v>838.38</v>
      </c>
      <c r="H6176" s="1">
        <v>2</v>
      </c>
      <c r="I6176" s="1">
        <v>226.36259999999999</v>
      </c>
    </row>
    <row r="6177" spans="1:9" x14ac:dyDescent="0.35">
      <c r="A6177" s="3" t="s">
        <v>3257</v>
      </c>
      <c r="B6177" s="1" t="s">
        <v>2431</v>
      </c>
      <c r="C6177" s="1" t="s">
        <v>193</v>
      </c>
      <c r="D6177" s="1" t="s">
        <v>194</v>
      </c>
      <c r="E6177" s="1" t="s">
        <v>14</v>
      </c>
      <c r="F6177" s="2" t="s">
        <v>1330</v>
      </c>
      <c r="G6177" s="1">
        <v>1690.04</v>
      </c>
      <c r="H6177" s="1">
        <v>4</v>
      </c>
      <c r="I6177" s="1">
        <v>422.51</v>
      </c>
    </row>
    <row r="6178" spans="1:9" x14ac:dyDescent="0.35">
      <c r="A6178" s="3" t="s">
        <v>3257</v>
      </c>
      <c r="B6178" s="1" t="s">
        <v>2431</v>
      </c>
      <c r="C6178" s="1" t="s">
        <v>193</v>
      </c>
      <c r="D6178" s="1" t="s">
        <v>194</v>
      </c>
      <c r="E6178" s="1" t="s">
        <v>26</v>
      </c>
      <c r="F6178" s="2" t="s">
        <v>1019</v>
      </c>
      <c r="G6178" s="1">
        <v>85.96</v>
      </c>
      <c r="H6178" s="1">
        <v>7</v>
      </c>
      <c r="I6178" s="1">
        <v>24.0688</v>
      </c>
    </row>
    <row r="6179" spans="1:9" x14ac:dyDescent="0.35">
      <c r="A6179" s="3" t="s">
        <v>3257</v>
      </c>
      <c r="B6179" s="1" t="s">
        <v>2431</v>
      </c>
      <c r="C6179" s="1" t="s">
        <v>193</v>
      </c>
      <c r="D6179" s="1" t="s">
        <v>194</v>
      </c>
      <c r="E6179" s="1" t="s">
        <v>87</v>
      </c>
      <c r="F6179" s="2" t="s">
        <v>2821</v>
      </c>
      <c r="G6179" s="1">
        <v>121.96</v>
      </c>
      <c r="H6179" s="1">
        <v>2</v>
      </c>
      <c r="I6179" s="1">
        <v>57.321199999999997</v>
      </c>
    </row>
    <row r="6180" spans="1:9" x14ac:dyDescent="0.35">
      <c r="A6180" s="3" t="s">
        <v>3257</v>
      </c>
      <c r="B6180" s="1" t="s">
        <v>2431</v>
      </c>
      <c r="C6180" s="1" t="s">
        <v>193</v>
      </c>
      <c r="D6180" s="1" t="s">
        <v>194</v>
      </c>
      <c r="E6180" s="1" t="s">
        <v>44</v>
      </c>
      <c r="F6180" s="2" t="s">
        <v>2978</v>
      </c>
      <c r="G6180" s="1">
        <v>23.92</v>
      </c>
      <c r="H6180" s="1">
        <v>4</v>
      </c>
      <c r="I6180" s="1">
        <v>11.720800000000001</v>
      </c>
    </row>
    <row r="6181" spans="1:9" x14ac:dyDescent="0.35">
      <c r="A6181" s="3" t="s">
        <v>3257</v>
      </c>
      <c r="B6181" s="1" t="s">
        <v>2431</v>
      </c>
      <c r="C6181" s="1" t="s">
        <v>193</v>
      </c>
      <c r="D6181" s="1" t="s">
        <v>194</v>
      </c>
      <c r="E6181" s="1" t="s">
        <v>26</v>
      </c>
      <c r="F6181" s="2" t="s">
        <v>1529</v>
      </c>
      <c r="G6181" s="1">
        <v>63.96</v>
      </c>
      <c r="H6181" s="1">
        <v>2</v>
      </c>
      <c r="I6181" s="1">
        <v>6.3959999999999999</v>
      </c>
    </row>
    <row r="6182" spans="1:9" x14ac:dyDescent="0.35">
      <c r="A6182" s="3" t="s">
        <v>3257</v>
      </c>
      <c r="B6182" s="1" t="s">
        <v>2431</v>
      </c>
      <c r="C6182" s="1" t="s">
        <v>193</v>
      </c>
      <c r="D6182" s="1" t="s">
        <v>194</v>
      </c>
      <c r="E6182" s="1" t="s">
        <v>33</v>
      </c>
      <c r="F6182" s="2" t="s">
        <v>2268</v>
      </c>
      <c r="G6182" s="1">
        <v>629.95000000000005</v>
      </c>
      <c r="H6182" s="1">
        <v>5</v>
      </c>
      <c r="I6182" s="1">
        <v>176.386</v>
      </c>
    </row>
    <row r="6183" spans="1:9" x14ac:dyDescent="0.35">
      <c r="A6183" s="3" t="s">
        <v>3257</v>
      </c>
      <c r="B6183" s="1" t="s">
        <v>2431</v>
      </c>
      <c r="C6183" s="1" t="s">
        <v>193</v>
      </c>
      <c r="D6183" s="1" t="s">
        <v>194</v>
      </c>
      <c r="E6183" s="1" t="s">
        <v>33</v>
      </c>
      <c r="F6183" s="2" t="s">
        <v>941</v>
      </c>
      <c r="G6183" s="1">
        <v>113.73</v>
      </c>
      <c r="H6183" s="1">
        <v>3</v>
      </c>
      <c r="I6183" s="1">
        <v>32.981699999999996</v>
      </c>
    </row>
    <row r="6184" spans="1:9" x14ac:dyDescent="0.35">
      <c r="A6184" s="3" t="s">
        <v>3257</v>
      </c>
      <c r="B6184" s="1" t="s">
        <v>2431</v>
      </c>
      <c r="C6184" s="1" t="s">
        <v>193</v>
      </c>
      <c r="D6184" s="1" t="s">
        <v>194</v>
      </c>
      <c r="E6184" s="1" t="s">
        <v>35</v>
      </c>
      <c r="F6184" s="2" t="s">
        <v>649</v>
      </c>
      <c r="G6184" s="1">
        <v>14.6</v>
      </c>
      <c r="H6184" s="1">
        <v>2</v>
      </c>
      <c r="I6184" s="1">
        <v>6.8620000000000001</v>
      </c>
    </row>
    <row r="6185" spans="1:9" x14ac:dyDescent="0.35">
      <c r="A6185" s="3" t="s">
        <v>3257</v>
      </c>
      <c r="B6185" s="1" t="s">
        <v>2431</v>
      </c>
      <c r="C6185" s="1" t="s">
        <v>193</v>
      </c>
      <c r="D6185" s="1" t="s">
        <v>194</v>
      </c>
      <c r="E6185" s="1" t="s">
        <v>26</v>
      </c>
      <c r="F6185" s="2" t="s">
        <v>58</v>
      </c>
      <c r="G6185" s="1">
        <v>887.84</v>
      </c>
      <c r="H6185" s="1">
        <v>8</v>
      </c>
      <c r="I6185" s="1">
        <v>17.756799999999998</v>
      </c>
    </row>
    <row r="6186" spans="1:9" x14ac:dyDescent="0.35">
      <c r="A6186" s="3">
        <v>42686</v>
      </c>
      <c r="B6186" s="1" t="s">
        <v>1740</v>
      </c>
      <c r="C6186" s="1" t="s">
        <v>211</v>
      </c>
      <c r="D6186" s="1" t="s">
        <v>212</v>
      </c>
      <c r="E6186" s="1" t="s">
        <v>14</v>
      </c>
      <c r="F6186" s="2" t="s">
        <v>102</v>
      </c>
      <c r="G6186" s="1">
        <v>403.92</v>
      </c>
      <c r="H6186" s="1">
        <v>5</v>
      </c>
      <c r="I6186" s="1">
        <v>25.245000000000001</v>
      </c>
    </row>
    <row r="6187" spans="1:9" x14ac:dyDescent="0.35">
      <c r="A6187" s="3">
        <v>42193</v>
      </c>
      <c r="B6187" s="1" t="s">
        <v>2149</v>
      </c>
      <c r="C6187" s="1" t="s">
        <v>74</v>
      </c>
      <c r="D6187" s="1" t="s">
        <v>75</v>
      </c>
      <c r="E6187" s="1" t="s">
        <v>31</v>
      </c>
      <c r="F6187" s="2" t="s">
        <v>1394</v>
      </c>
      <c r="G6187" s="1">
        <v>106.8</v>
      </c>
      <c r="H6187" s="1">
        <v>10</v>
      </c>
      <c r="I6187" s="1">
        <v>10.68</v>
      </c>
    </row>
    <row r="6188" spans="1:9" x14ac:dyDescent="0.35">
      <c r="A6188" s="3" t="s">
        <v>3702</v>
      </c>
      <c r="B6188" s="1" t="s">
        <v>760</v>
      </c>
      <c r="C6188" s="1" t="s">
        <v>135</v>
      </c>
      <c r="D6188" s="1" t="s">
        <v>136</v>
      </c>
      <c r="E6188" s="1" t="s">
        <v>26</v>
      </c>
      <c r="F6188" s="2" t="s">
        <v>727</v>
      </c>
      <c r="G6188" s="1">
        <v>70.95</v>
      </c>
      <c r="H6188" s="1">
        <v>3</v>
      </c>
      <c r="I6188" s="1">
        <v>20.575500000000002</v>
      </c>
    </row>
    <row r="6189" spans="1:9" x14ac:dyDescent="0.35">
      <c r="A6189" s="3" t="s">
        <v>3702</v>
      </c>
      <c r="B6189" s="1" t="s">
        <v>760</v>
      </c>
      <c r="C6189" s="1" t="s">
        <v>135</v>
      </c>
      <c r="D6189" s="1" t="s">
        <v>136</v>
      </c>
      <c r="E6189" s="1" t="s">
        <v>35</v>
      </c>
      <c r="F6189" s="2" t="s">
        <v>2224</v>
      </c>
      <c r="G6189" s="1">
        <v>34.944000000000003</v>
      </c>
      <c r="H6189" s="1">
        <v>6</v>
      </c>
      <c r="I6189" s="1">
        <v>11.7936</v>
      </c>
    </row>
    <row r="6190" spans="1:9" x14ac:dyDescent="0.35">
      <c r="A6190" s="3" t="s">
        <v>3702</v>
      </c>
      <c r="B6190" s="1" t="s">
        <v>760</v>
      </c>
      <c r="C6190" s="1" t="s">
        <v>135</v>
      </c>
      <c r="D6190" s="1" t="s">
        <v>136</v>
      </c>
      <c r="E6190" s="1" t="s">
        <v>31</v>
      </c>
      <c r="F6190" s="2" t="s">
        <v>1752</v>
      </c>
      <c r="G6190" s="1">
        <v>119.04</v>
      </c>
      <c r="H6190" s="1">
        <v>6</v>
      </c>
      <c r="I6190" s="1">
        <v>35.712000000000003</v>
      </c>
    </row>
    <row r="6191" spans="1:9" x14ac:dyDescent="0.35">
      <c r="A6191" s="3">
        <v>42829</v>
      </c>
      <c r="B6191" s="1" t="s">
        <v>2016</v>
      </c>
      <c r="C6191" s="1" t="s">
        <v>2979</v>
      </c>
      <c r="D6191" s="1" t="s">
        <v>106</v>
      </c>
      <c r="E6191" s="1" t="s">
        <v>33</v>
      </c>
      <c r="F6191" s="2" t="s">
        <v>1975</v>
      </c>
      <c r="G6191" s="1">
        <v>383.84</v>
      </c>
      <c r="H6191" s="1">
        <v>4</v>
      </c>
      <c r="I6191" s="1">
        <v>47.98</v>
      </c>
    </row>
    <row r="6192" spans="1:9" x14ac:dyDescent="0.35">
      <c r="A6192" s="3" t="s">
        <v>3587</v>
      </c>
      <c r="B6192" s="1" t="s">
        <v>1253</v>
      </c>
      <c r="C6192" s="1" t="s">
        <v>135</v>
      </c>
      <c r="D6192" s="1" t="s">
        <v>136</v>
      </c>
      <c r="E6192" s="1" t="s">
        <v>29</v>
      </c>
      <c r="F6192" s="2" t="s">
        <v>2903</v>
      </c>
      <c r="G6192" s="1">
        <v>799.56</v>
      </c>
      <c r="H6192" s="1">
        <v>9</v>
      </c>
      <c r="I6192" s="1">
        <v>207.88560000000001</v>
      </c>
    </row>
    <row r="6193" spans="1:9" x14ac:dyDescent="0.35">
      <c r="A6193" s="3" t="s">
        <v>3703</v>
      </c>
      <c r="B6193" s="1" t="s">
        <v>2138</v>
      </c>
      <c r="C6193" s="1" t="s">
        <v>47</v>
      </c>
      <c r="D6193" s="1" t="s">
        <v>48</v>
      </c>
      <c r="E6193" s="1" t="s">
        <v>26</v>
      </c>
      <c r="F6193" s="2" t="s">
        <v>850</v>
      </c>
      <c r="G6193" s="1">
        <v>31.44</v>
      </c>
      <c r="H6193" s="1">
        <v>3</v>
      </c>
      <c r="I6193" s="1">
        <v>8.4887999999999995</v>
      </c>
    </row>
    <row r="6194" spans="1:9" x14ac:dyDescent="0.35">
      <c r="A6194" s="3" t="s">
        <v>3180</v>
      </c>
      <c r="B6194" s="1" t="s">
        <v>2755</v>
      </c>
      <c r="C6194" s="1" t="s">
        <v>93</v>
      </c>
      <c r="D6194" s="1" t="s">
        <v>52</v>
      </c>
      <c r="E6194" s="1" t="s">
        <v>44</v>
      </c>
      <c r="F6194" s="2" t="s">
        <v>1234</v>
      </c>
      <c r="G6194" s="1">
        <v>25.92</v>
      </c>
      <c r="H6194" s="1">
        <v>5</v>
      </c>
      <c r="I6194" s="1">
        <v>9.0719999999999992</v>
      </c>
    </row>
    <row r="6195" spans="1:9" x14ac:dyDescent="0.35">
      <c r="A6195" s="3" t="s">
        <v>3180</v>
      </c>
      <c r="B6195" s="1" t="s">
        <v>2755</v>
      </c>
      <c r="C6195" s="1" t="s">
        <v>93</v>
      </c>
      <c r="D6195" s="1" t="s">
        <v>52</v>
      </c>
      <c r="E6195" s="1" t="s">
        <v>35</v>
      </c>
      <c r="F6195" s="2" t="s">
        <v>1452</v>
      </c>
      <c r="G6195" s="1">
        <v>6.33</v>
      </c>
      <c r="H6195" s="1">
        <v>5</v>
      </c>
      <c r="I6195" s="1">
        <v>-9.8115000000000006</v>
      </c>
    </row>
    <row r="6196" spans="1:9" x14ac:dyDescent="0.35">
      <c r="A6196" s="3" t="s">
        <v>3180</v>
      </c>
      <c r="B6196" s="1" t="s">
        <v>2755</v>
      </c>
      <c r="C6196" s="1" t="s">
        <v>93</v>
      </c>
      <c r="D6196" s="1" t="s">
        <v>52</v>
      </c>
      <c r="E6196" s="1" t="s">
        <v>44</v>
      </c>
      <c r="F6196" s="2" t="s">
        <v>1126</v>
      </c>
      <c r="G6196" s="1">
        <v>75.88</v>
      </c>
      <c r="H6196" s="1">
        <v>5</v>
      </c>
      <c r="I6196" s="1">
        <v>26.558</v>
      </c>
    </row>
    <row r="6197" spans="1:9" x14ac:dyDescent="0.35">
      <c r="A6197" s="3" t="s">
        <v>3492</v>
      </c>
      <c r="B6197" s="1" t="s">
        <v>1372</v>
      </c>
      <c r="C6197" s="1" t="s">
        <v>74</v>
      </c>
      <c r="D6197" s="1" t="s">
        <v>75</v>
      </c>
      <c r="E6197" s="1" t="s">
        <v>33</v>
      </c>
      <c r="F6197" s="2" t="s">
        <v>1515</v>
      </c>
      <c r="G6197" s="1">
        <v>329.988</v>
      </c>
      <c r="H6197" s="1">
        <v>2</v>
      </c>
      <c r="I6197" s="1">
        <v>-76.997200000000007</v>
      </c>
    </row>
    <row r="6198" spans="1:9" x14ac:dyDescent="0.35">
      <c r="A6198" s="3" t="s">
        <v>3492</v>
      </c>
      <c r="B6198" s="1" t="s">
        <v>1372</v>
      </c>
      <c r="C6198" s="1" t="s">
        <v>74</v>
      </c>
      <c r="D6198" s="1" t="s">
        <v>75</v>
      </c>
      <c r="E6198" s="1" t="s">
        <v>26</v>
      </c>
      <c r="F6198" s="2" t="s">
        <v>1791</v>
      </c>
      <c r="G6198" s="1">
        <v>71.376000000000005</v>
      </c>
      <c r="H6198" s="1">
        <v>3</v>
      </c>
      <c r="I6198" s="1">
        <v>-4.4610000000000003</v>
      </c>
    </row>
    <row r="6199" spans="1:9" x14ac:dyDescent="0.35">
      <c r="A6199" s="3" t="s">
        <v>3171</v>
      </c>
      <c r="B6199" s="1" t="s">
        <v>630</v>
      </c>
      <c r="C6199" s="1" t="s">
        <v>249</v>
      </c>
      <c r="D6199" s="1" t="s">
        <v>129</v>
      </c>
      <c r="E6199" s="1" t="s">
        <v>44</v>
      </c>
      <c r="F6199" s="2" t="s">
        <v>2228</v>
      </c>
      <c r="G6199" s="1">
        <v>63.77</v>
      </c>
      <c r="H6199" s="1">
        <v>7</v>
      </c>
      <c r="I6199" s="1">
        <v>28.6965</v>
      </c>
    </row>
    <row r="6200" spans="1:9" x14ac:dyDescent="0.35">
      <c r="A6200" s="3" t="s">
        <v>3171</v>
      </c>
      <c r="B6200" s="1" t="s">
        <v>630</v>
      </c>
      <c r="C6200" s="1" t="s">
        <v>249</v>
      </c>
      <c r="D6200" s="1" t="s">
        <v>129</v>
      </c>
      <c r="E6200" s="1" t="s">
        <v>33</v>
      </c>
      <c r="F6200" s="2" t="s">
        <v>2078</v>
      </c>
      <c r="G6200" s="1">
        <v>50.97</v>
      </c>
      <c r="H6200" s="1">
        <v>3</v>
      </c>
      <c r="I6200" s="1">
        <v>13.2522</v>
      </c>
    </row>
    <row r="6201" spans="1:9" x14ac:dyDescent="0.35">
      <c r="A6201" s="3" t="s">
        <v>3171</v>
      </c>
      <c r="B6201" s="1" t="s">
        <v>630</v>
      </c>
      <c r="C6201" s="1" t="s">
        <v>249</v>
      </c>
      <c r="D6201" s="1" t="s">
        <v>129</v>
      </c>
      <c r="E6201" s="1" t="s">
        <v>44</v>
      </c>
      <c r="F6201" s="2" t="s">
        <v>1206</v>
      </c>
      <c r="G6201" s="1">
        <v>96.08</v>
      </c>
      <c r="H6201" s="1">
        <v>2</v>
      </c>
      <c r="I6201" s="1">
        <v>46.118400000000001</v>
      </c>
    </row>
    <row r="6202" spans="1:9" x14ac:dyDescent="0.35">
      <c r="A6202" s="3" t="s">
        <v>3627</v>
      </c>
      <c r="B6202" s="1" t="s">
        <v>2924</v>
      </c>
      <c r="C6202" s="1" t="s">
        <v>1077</v>
      </c>
      <c r="D6202" s="1" t="s">
        <v>106</v>
      </c>
      <c r="E6202" s="1" t="s">
        <v>579</v>
      </c>
      <c r="F6202" s="2" t="s">
        <v>1809</v>
      </c>
      <c r="G6202" s="1">
        <v>1439.9680000000001</v>
      </c>
      <c r="H6202" s="1">
        <v>4</v>
      </c>
      <c r="I6202" s="1">
        <v>485.98919999999998</v>
      </c>
    </row>
    <row r="6203" spans="1:9" x14ac:dyDescent="0.35">
      <c r="A6203" s="3" t="s">
        <v>3627</v>
      </c>
      <c r="B6203" s="1" t="s">
        <v>2924</v>
      </c>
      <c r="C6203" s="1" t="s">
        <v>1077</v>
      </c>
      <c r="D6203" s="1" t="s">
        <v>106</v>
      </c>
      <c r="E6203" s="1" t="s">
        <v>81</v>
      </c>
      <c r="F6203" s="2" t="s">
        <v>2826</v>
      </c>
      <c r="G6203" s="1">
        <v>43.56</v>
      </c>
      <c r="H6203" s="1">
        <v>3</v>
      </c>
      <c r="I6203" s="1">
        <v>-4.9005000000000001</v>
      </c>
    </row>
    <row r="6204" spans="1:9" x14ac:dyDescent="0.35">
      <c r="A6204" s="3" t="s">
        <v>3704</v>
      </c>
      <c r="B6204" s="1" t="s">
        <v>55</v>
      </c>
      <c r="C6204" s="1" t="s">
        <v>2416</v>
      </c>
      <c r="D6204" s="1" t="s">
        <v>18</v>
      </c>
      <c r="E6204" s="1" t="s">
        <v>14</v>
      </c>
      <c r="F6204" s="2" t="s">
        <v>1513</v>
      </c>
      <c r="G6204" s="1">
        <v>563.91999999999996</v>
      </c>
      <c r="H6204" s="1">
        <v>5</v>
      </c>
      <c r="I6204" s="1">
        <v>7.0490000000000004</v>
      </c>
    </row>
    <row r="6205" spans="1:9" x14ac:dyDescent="0.35">
      <c r="A6205" s="3" t="s">
        <v>3252</v>
      </c>
      <c r="B6205" s="1" t="s">
        <v>2158</v>
      </c>
      <c r="C6205" s="1" t="s">
        <v>249</v>
      </c>
      <c r="D6205" s="1" t="s">
        <v>250</v>
      </c>
      <c r="E6205" s="1" t="s">
        <v>33</v>
      </c>
      <c r="F6205" s="2" t="s">
        <v>2813</v>
      </c>
      <c r="G6205" s="1">
        <v>235.15199999999999</v>
      </c>
      <c r="H6205" s="1">
        <v>8</v>
      </c>
      <c r="I6205" s="1">
        <v>-47.0304</v>
      </c>
    </row>
    <row r="6206" spans="1:9" x14ac:dyDescent="0.35">
      <c r="A6206" s="3">
        <v>42747</v>
      </c>
      <c r="B6206" s="1" t="s">
        <v>1365</v>
      </c>
      <c r="C6206" s="1" t="s">
        <v>2114</v>
      </c>
      <c r="D6206" s="1" t="s">
        <v>250</v>
      </c>
      <c r="E6206" s="1" t="s">
        <v>29</v>
      </c>
      <c r="F6206" s="2" t="s">
        <v>1312</v>
      </c>
      <c r="G6206" s="1">
        <v>7.7119999999999997</v>
      </c>
      <c r="H6206" s="1">
        <v>2</v>
      </c>
      <c r="I6206" s="1">
        <v>1.7352000000000001</v>
      </c>
    </row>
    <row r="6207" spans="1:9" x14ac:dyDescent="0.35">
      <c r="A6207" s="3" t="s">
        <v>3705</v>
      </c>
      <c r="B6207" s="1" t="s">
        <v>1193</v>
      </c>
      <c r="C6207" s="1" t="s">
        <v>93</v>
      </c>
      <c r="D6207" s="1" t="s">
        <v>52</v>
      </c>
      <c r="E6207" s="1" t="s">
        <v>44</v>
      </c>
      <c r="F6207" s="2" t="s">
        <v>2228</v>
      </c>
      <c r="G6207" s="1">
        <v>51.015999999999998</v>
      </c>
      <c r="H6207" s="1">
        <v>7</v>
      </c>
      <c r="I6207" s="1">
        <v>15.942500000000001</v>
      </c>
    </row>
    <row r="6208" spans="1:9" x14ac:dyDescent="0.35">
      <c r="A6208" s="3" t="s">
        <v>3705</v>
      </c>
      <c r="B6208" s="1" t="s">
        <v>1193</v>
      </c>
      <c r="C6208" s="1" t="s">
        <v>93</v>
      </c>
      <c r="D6208" s="1" t="s">
        <v>52</v>
      </c>
      <c r="E6208" s="1" t="s">
        <v>137</v>
      </c>
      <c r="F6208" s="2" t="s">
        <v>281</v>
      </c>
      <c r="G6208" s="1">
        <v>25.248000000000001</v>
      </c>
      <c r="H6208" s="1">
        <v>4</v>
      </c>
      <c r="I6208" s="1">
        <v>7.89</v>
      </c>
    </row>
    <row r="6209" spans="1:9" x14ac:dyDescent="0.35">
      <c r="A6209" s="3" t="s">
        <v>3705</v>
      </c>
      <c r="B6209" s="1" t="s">
        <v>1193</v>
      </c>
      <c r="C6209" s="1" t="s">
        <v>93</v>
      </c>
      <c r="D6209" s="1" t="s">
        <v>52</v>
      </c>
      <c r="E6209" s="1" t="s">
        <v>14</v>
      </c>
      <c r="F6209" s="2" t="s">
        <v>729</v>
      </c>
      <c r="G6209" s="1">
        <v>56.686</v>
      </c>
      <c r="H6209" s="1">
        <v>1</v>
      </c>
      <c r="I6209" s="1">
        <v>-14.5764</v>
      </c>
    </row>
    <row r="6210" spans="1:9" x14ac:dyDescent="0.35">
      <c r="A6210" s="3" t="s">
        <v>3555</v>
      </c>
      <c r="B6210" s="1" t="s">
        <v>1940</v>
      </c>
      <c r="C6210" s="1" t="s">
        <v>2114</v>
      </c>
      <c r="D6210" s="1" t="s">
        <v>250</v>
      </c>
      <c r="E6210" s="1" t="s">
        <v>26</v>
      </c>
      <c r="F6210" s="2" t="s">
        <v>1529</v>
      </c>
      <c r="G6210" s="1">
        <v>51.167999999999999</v>
      </c>
      <c r="H6210" s="1">
        <v>2</v>
      </c>
      <c r="I6210" s="1">
        <v>-6.3959999999999999</v>
      </c>
    </row>
    <row r="6211" spans="1:9" x14ac:dyDescent="0.35">
      <c r="A6211" s="3" t="s">
        <v>3529</v>
      </c>
      <c r="B6211" s="1" t="s">
        <v>1632</v>
      </c>
      <c r="C6211" s="1" t="s">
        <v>47</v>
      </c>
      <c r="D6211" s="1" t="s">
        <v>48</v>
      </c>
      <c r="E6211" s="1" t="s">
        <v>35</v>
      </c>
      <c r="F6211" s="2" t="s">
        <v>1307</v>
      </c>
      <c r="G6211" s="1">
        <v>2793.5279999999998</v>
      </c>
      <c r="H6211" s="1">
        <v>9</v>
      </c>
      <c r="I6211" s="1">
        <v>942.81569999999999</v>
      </c>
    </row>
    <row r="6212" spans="1:9" x14ac:dyDescent="0.35">
      <c r="A6212" s="3" t="s">
        <v>3529</v>
      </c>
      <c r="B6212" s="1" t="s">
        <v>1632</v>
      </c>
      <c r="C6212" s="1" t="s">
        <v>47</v>
      </c>
      <c r="D6212" s="1" t="s">
        <v>48</v>
      </c>
      <c r="E6212" s="1" t="s">
        <v>26</v>
      </c>
      <c r="F6212" s="2" t="s">
        <v>717</v>
      </c>
      <c r="G6212" s="1">
        <v>1000.02</v>
      </c>
      <c r="H6212" s="1">
        <v>7</v>
      </c>
      <c r="I6212" s="1">
        <v>290.00580000000002</v>
      </c>
    </row>
    <row r="6213" spans="1:9" x14ac:dyDescent="0.35">
      <c r="A6213" s="3" t="s">
        <v>3529</v>
      </c>
      <c r="B6213" s="1" t="s">
        <v>1632</v>
      </c>
      <c r="C6213" s="1" t="s">
        <v>47</v>
      </c>
      <c r="D6213" s="1" t="s">
        <v>48</v>
      </c>
      <c r="E6213" s="1" t="s">
        <v>29</v>
      </c>
      <c r="F6213" s="2" t="s">
        <v>900</v>
      </c>
      <c r="G6213" s="1">
        <v>65.94</v>
      </c>
      <c r="H6213" s="1">
        <v>3</v>
      </c>
      <c r="I6213" s="1">
        <v>22.419599999999999</v>
      </c>
    </row>
    <row r="6214" spans="1:9" x14ac:dyDescent="0.35">
      <c r="A6214" s="3">
        <v>43080</v>
      </c>
      <c r="B6214" s="1" t="s">
        <v>391</v>
      </c>
      <c r="C6214" s="1" t="s">
        <v>2980</v>
      </c>
      <c r="D6214" s="1" t="s">
        <v>48</v>
      </c>
      <c r="E6214" s="1" t="s">
        <v>137</v>
      </c>
      <c r="F6214" s="2" t="s">
        <v>281</v>
      </c>
      <c r="G6214" s="1">
        <v>18.239999999999998</v>
      </c>
      <c r="H6214" s="1">
        <v>3</v>
      </c>
      <c r="I6214" s="1">
        <v>9.1199999999999992</v>
      </c>
    </row>
    <row r="6215" spans="1:9" x14ac:dyDescent="0.35">
      <c r="A6215" s="3">
        <v>43080</v>
      </c>
      <c r="B6215" s="1" t="s">
        <v>391</v>
      </c>
      <c r="C6215" s="1" t="s">
        <v>2980</v>
      </c>
      <c r="D6215" s="1" t="s">
        <v>48</v>
      </c>
      <c r="E6215" s="1" t="s">
        <v>37</v>
      </c>
      <c r="F6215" s="2" t="s">
        <v>917</v>
      </c>
      <c r="G6215" s="1">
        <v>76.12</v>
      </c>
      <c r="H6215" s="1">
        <v>2</v>
      </c>
      <c r="I6215" s="1">
        <v>22.0748</v>
      </c>
    </row>
    <row r="6216" spans="1:9" x14ac:dyDescent="0.35">
      <c r="A6216" s="3">
        <v>41953</v>
      </c>
      <c r="B6216" s="1" t="s">
        <v>924</v>
      </c>
      <c r="C6216" s="1" t="s">
        <v>2377</v>
      </c>
      <c r="D6216" s="1" t="s">
        <v>18</v>
      </c>
      <c r="E6216" s="1" t="s">
        <v>87</v>
      </c>
      <c r="F6216" s="2" t="s">
        <v>1040</v>
      </c>
      <c r="G6216" s="1">
        <v>7.64</v>
      </c>
      <c r="H6216" s="1">
        <v>1</v>
      </c>
      <c r="I6216" s="1">
        <v>3.7435999999999998</v>
      </c>
    </row>
    <row r="6217" spans="1:9" x14ac:dyDescent="0.35">
      <c r="A6217" s="3" t="s">
        <v>3465</v>
      </c>
      <c r="B6217" s="1" t="s">
        <v>1668</v>
      </c>
      <c r="C6217" s="1" t="s">
        <v>135</v>
      </c>
      <c r="D6217" s="1" t="s">
        <v>136</v>
      </c>
      <c r="E6217" s="1" t="s">
        <v>29</v>
      </c>
      <c r="F6217" s="2" t="s">
        <v>425</v>
      </c>
      <c r="G6217" s="1">
        <v>68.16</v>
      </c>
      <c r="H6217" s="1">
        <v>3</v>
      </c>
      <c r="I6217" s="1">
        <v>27.945599999999999</v>
      </c>
    </row>
    <row r="6218" spans="1:9" x14ac:dyDescent="0.35">
      <c r="A6218" s="3" t="s">
        <v>3465</v>
      </c>
      <c r="B6218" s="1" t="s">
        <v>1668</v>
      </c>
      <c r="C6218" s="1" t="s">
        <v>135</v>
      </c>
      <c r="D6218" s="1" t="s">
        <v>136</v>
      </c>
      <c r="E6218" s="1" t="s">
        <v>87</v>
      </c>
      <c r="F6218" s="2" t="s">
        <v>332</v>
      </c>
      <c r="G6218" s="1">
        <v>62.24</v>
      </c>
      <c r="H6218" s="1">
        <v>8</v>
      </c>
      <c r="I6218" s="1">
        <v>29.252800000000001</v>
      </c>
    </row>
    <row r="6219" spans="1:9" x14ac:dyDescent="0.35">
      <c r="A6219" s="3" t="s">
        <v>3706</v>
      </c>
      <c r="B6219" s="1" t="s">
        <v>1155</v>
      </c>
      <c r="C6219" s="1" t="s">
        <v>697</v>
      </c>
      <c r="D6219" s="1" t="s">
        <v>11</v>
      </c>
      <c r="E6219" s="1" t="s">
        <v>33</v>
      </c>
      <c r="F6219" s="2" t="s">
        <v>1898</v>
      </c>
      <c r="G6219" s="1">
        <v>29.97</v>
      </c>
      <c r="H6219" s="1">
        <v>3</v>
      </c>
      <c r="I6219" s="1">
        <v>0.29970000000000002</v>
      </c>
    </row>
    <row r="6220" spans="1:9" x14ac:dyDescent="0.35">
      <c r="A6220" s="3" t="s">
        <v>3705</v>
      </c>
      <c r="B6220" s="1" t="s">
        <v>2007</v>
      </c>
      <c r="C6220" s="1" t="s">
        <v>1080</v>
      </c>
      <c r="D6220" s="1" t="s">
        <v>120</v>
      </c>
      <c r="E6220" s="1" t="s">
        <v>33</v>
      </c>
      <c r="F6220" s="2" t="s">
        <v>1712</v>
      </c>
      <c r="G6220" s="1">
        <v>125.7</v>
      </c>
      <c r="H6220" s="1">
        <v>6</v>
      </c>
      <c r="I6220" s="1">
        <v>35.195999999999998</v>
      </c>
    </row>
    <row r="6221" spans="1:9" x14ac:dyDescent="0.35">
      <c r="A6221" s="3" t="s">
        <v>3705</v>
      </c>
      <c r="B6221" s="1" t="s">
        <v>2007</v>
      </c>
      <c r="C6221" s="1" t="s">
        <v>1080</v>
      </c>
      <c r="D6221" s="1" t="s">
        <v>120</v>
      </c>
      <c r="E6221" s="1" t="s">
        <v>33</v>
      </c>
      <c r="F6221" s="2" t="s">
        <v>1162</v>
      </c>
      <c r="G6221" s="1">
        <v>191.98</v>
      </c>
      <c r="H6221" s="1">
        <v>2</v>
      </c>
      <c r="I6221" s="1">
        <v>51.834600000000002</v>
      </c>
    </row>
    <row r="6222" spans="1:9" x14ac:dyDescent="0.35">
      <c r="A6222" s="3" t="s">
        <v>3705</v>
      </c>
      <c r="B6222" s="1" t="s">
        <v>2007</v>
      </c>
      <c r="C6222" s="1" t="s">
        <v>1080</v>
      </c>
      <c r="D6222" s="1" t="s">
        <v>120</v>
      </c>
      <c r="E6222" s="1" t="s">
        <v>26</v>
      </c>
      <c r="F6222" s="2" t="s">
        <v>716</v>
      </c>
      <c r="G6222" s="1">
        <v>20.86</v>
      </c>
      <c r="H6222" s="1">
        <v>7</v>
      </c>
      <c r="I6222" s="1">
        <v>1.4601999999999999</v>
      </c>
    </row>
    <row r="6223" spans="1:9" x14ac:dyDescent="0.35">
      <c r="A6223" s="3" t="s">
        <v>3162</v>
      </c>
      <c r="B6223" s="1" t="s">
        <v>2446</v>
      </c>
      <c r="C6223" s="1" t="s">
        <v>17</v>
      </c>
      <c r="D6223" s="1" t="s">
        <v>18</v>
      </c>
      <c r="E6223" s="1" t="s">
        <v>19</v>
      </c>
      <c r="F6223" s="2" t="s">
        <v>1539</v>
      </c>
      <c r="G6223" s="1">
        <v>56.7</v>
      </c>
      <c r="H6223" s="1">
        <v>9</v>
      </c>
      <c r="I6223" s="1">
        <v>26.082000000000001</v>
      </c>
    </row>
    <row r="6224" spans="1:9" x14ac:dyDescent="0.35">
      <c r="A6224" s="3" t="s">
        <v>3414</v>
      </c>
      <c r="B6224" s="1" t="s">
        <v>854</v>
      </c>
      <c r="C6224" s="1" t="s">
        <v>2981</v>
      </c>
      <c r="D6224" s="1" t="s">
        <v>171</v>
      </c>
      <c r="E6224" s="1" t="s">
        <v>29</v>
      </c>
      <c r="F6224" s="2" t="s">
        <v>425</v>
      </c>
      <c r="G6224" s="1">
        <v>72.703999999999994</v>
      </c>
      <c r="H6224" s="1">
        <v>4</v>
      </c>
      <c r="I6224" s="1">
        <v>19.084800000000001</v>
      </c>
    </row>
    <row r="6225" spans="1:9" x14ac:dyDescent="0.35">
      <c r="A6225" s="3" t="s">
        <v>3414</v>
      </c>
      <c r="B6225" s="1" t="s">
        <v>854</v>
      </c>
      <c r="C6225" s="1" t="s">
        <v>2981</v>
      </c>
      <c r="D6225" s="1" t="s">
        <v>171</v>
      </c>
      <c r="E6225" s="1" t="s">
        <v>31</v>
      </c>
      <c r="F6225" s="2" t="s">
        <v>1526</v>
      </c>
      <c r="G6225" s="1">
        <v>12.263999999999999</v>
      </c>
      <c r="H6225" s="1">
        <v>7</v>
      </c>
      <c r="I6225" s="1">
        <v>1.0730999999999999</v>
      </c>
    </row>
    <row r="6226" spans="1:9" x14ac:dyDescent="0.35">
      <c r="A6226" s="3" t="s">
        <v>3414</v>
      </c>
      <c r="B6226" s="1" t="s">
        <v>854</v>
      </c>
      <c r="C6226" s="1" t="s">
        <v>2981</v>
      </c>
      <c r="D6226" s="1" t="s">
        <v>171</v>
      </c>
      <c r="E6226" s="1" t="s">
        <v>26</v>
      </c>
      <c r="F6226" s="2" t="s">
        <v>174</v>
      </c>
      <c r="G6226" s="1">
        <v>218.352</v>
      </c>
      <c r="H6226" s="1">
        <v>3</v>
      </c>
      <c r="I6226" s="1">
        <v>-54.588000000000001</v>
      </c>
    </row>
    <row r="6227" spans="1:9" x14ac:dyDescent="0.35">
      <c r="A6227" s="3">
        <v>42134</v>
      </c>
      <c r="B6227" s="1" t="s">
        <v>883</v>
      </c>
      <c r="C6227" s="1" t="s">
        <v>211</v>
      </c>
      <c r="D6227" s="1" t="s">
        <v>212</v>
      </c>
      <c r="E6227" s="1" t="s">
        <v>12</v>
      </c>
      <c r="F6227" s="2" t="s">
        <v>2475</v>
      </c>
      <c r="G6227" s="1">
        <v>66.293999999999997</v>
      </c>
      <c r="H6227" s="1">
        <v>1</v>
      </c>
      <c r="I6227" s="1">
        <v>-103.86060000000001</v>
      </c>
    </row>
    <row r="6228" spans="1:9" x14ac:dyDescent="0.35">
      <c r="A6228" s="3">
        <v>42134</v>
      </c>
      <c r="B6228" s="1" t="s">
        <v>883</v>
      </c>
      <c r="C6228" s="1" t="s">
        <v>211</v>
      </c>
      <c r="D6228" s="1" t="s">
        <v>212</v>
      </c>
      <c r="E6228" s="1" t="s">
        <v>14</v>
      </c>
      <c r="F6228" s="2" t="s">
        <v>2417</v>
      </c>
      <c r="G6228" s="1">
        <v>291.16800000000001</v>
      </c>
      <c r="H6228" s="1">
        <v>4</v>
      </c>
      <c r="I6228" s="1">
        <v>-14.558400000000001</v>
      </c>
    </row>
    <row r="6229" spans="1:9" x14ac:dyDescent="0.35">
      <c r="A6229" s="3">
        <v>41681</v>
      </c>
      <c r="B6229" s="1" t="s">
        <v>567</v>
      </c>
      <c r="C6229" s="1" t="s">
        <v>1676</v>
      </c>
      <c r="D6229" s="1" t="s">
        <v>52</v>
      </c>
      <c r="E6229" s="1" t="s">
        <v>33</v>
      </c>
      <c r="F6229" s="2" t="s">
        <v>1196</v>
      </c>
      <c r="G6229" s="1">
        <v>88.775999999999996</v>
      </c>
      <c r="H6229" s="1">
        <v>3</v>
      </c>
      <c r="I6229" s="1">
        <v>7.7679</v>
      </c>
    </row>
    <row r="6230" spans="1:9" x14ac:dyDescent="0.35">
      <c r="A6230" s="3" t="s">
        <v>3233</v>
      </c>
      <c r="B6230" s="1" t="s">
        <v>1472</v>
      </c>
      <c r="C6230" s="1" t="s">
        <v>994</v>
      </c>
      <c r="D6230" s="1" t="s">
        <v>250</v>
      </c>
      <c r="E6230" s="1" t="s">
        <v>33</v>
      </c>
      <c r="F6230" s="2" t="s">
        <v>107</v>
      </c>
      <c r="G6230" s="1">
        <v>110.376</v>
      </c>
      <c r="H6230" s="1">
        <v>4</v>
      </c>
      <c r="I6230" s="1">
        <v>-20.235600000000002</v>
      </c>
    </row>
    <row r="6231" spans="1:9" x14ac:dyDescent="0.35">
      <c r="A6231" s="3" t="s">
        <v>3233</v>
      </c>
      <c r="B6231" s="1" t="s">
        <v>1472</v>
      </c>
      <c r="C6231" s="1" t="s">
        <v>994</v>
      </c>
      <c r="D6231" s="1" t="s">
        <v>250</v>
      </c>
      <c r="E6231" s="1" t="s">
        <v>81</v>
      </c>
      <c r="F6231" s="2" t="s">
        <v>116</v>
      </c>
      <c r="G6231" s="1">
        <v>55.176000000000002</v>
      </c>
      <c r="H6231" s="1">
        <v>3</v>
      </c>
      <c r="I6231" s="1">
        <v>15.863099999999999</v>
      </c>
    </row>
    <row r="6232" spans="1:9" x14ac:dyDescent="0.35">
      <c r="A6232" s="3">
        <v>43046</v>
      </c>
      <c r="B6232" s="1" t="s">
        <v>1802</v>
      </c>
      <c r="C6232" s="1" t="s">
        <v>2982</v>
      </c>
      <c r="D6232" s="1" t="s">
        <v>245</v>
      </c>
      <c r="E6232" s="1" t="s">
        <v>31</v>
      </c>
      <c r="F6232" s="2" t="s">
        <v>1329</v>
      </c>
      <c r="G6232" s="1">
        <v>30.32</v>
      </c>
      <c r="H6232" s="1">
        <v>4</v>
      </c>
      <c r="I6232" s="1">
        <v>11.8248</v>
      </c>
    </row>
    <row r="6233" spans="1:9" x14ac:dyDescent="0.35">
      <c r="A6233" s="3">
        <v>43048</v>
      </c>
      <c r="B6233" s="1" t="s">
        <v>892</v>
      </c>
      <c r="C6233" s="1" t="s">
        <v>47</v>
      </c>
      <c r="D6233" s="1" t="s">
        <v>48</v>
      </c>
      <c r="E6233" s="1" t="s">
        <v>14</v>
      </c>
      <c r="F6233" s="2" t="s">
        <v>1119</v>
      </c>
      <c r="G6233" s="1">
        <v>177.56800000000001</v>
      </c>
      <c r="H6233" s="1">
        <v>2</v>
      </c>
      <c r="I6233" s="1">
        <v>8.8783999999999992</v>
      </c>
    </row>
    <row r="6234" spans="1:9" x14ac:dyDescent="0.35">
      <c r="A6234" s="3">
        <v>43048</v>
      </c>
      <c r="B6234" s="1" t="s">
        <v>892</v>
      </c>
      <c r="C6234" s="1" t="s">
        <v>47</v>
      </c>
      <c r="D6234" s="1" t="s">
        <v>48</v>
      </c>
      <c r="E6234" s="1" t="s">
        <v>44</v>
      </c>
      <c r="F6234" s="2" t="s">
        <v>911</v>
      </c>
      <c r="G6234" s="1">
        <v>19.440000000000001</v>
      </c>
      <c r="H6234" s="1">
        <v>3</v>
      </c>
      <c r="I6234" s="1">
        <v>9.3312000000000008</v>
      </c>
    </row>
    <row r="6235" spans="1:9" x14ac:dyDescent="0.35">
      <c r="A6235" s="3">
        <v>43048</v>
      </c>
      <c r="B6235" s="1" t="s">
        <v>892</v>
      </c>
      <c r="C6235" s="1" t="s">
        <v>47</v>
      </c>
      <c r="D6235" s="1" t="s">
        <v>48</v>
      </c>
      <c r="E6235" s="1" t="s">
        <v>44</v>
      </c>
      <c r="F6235" s="2" t="s">
        <v>912</v>
      </c>
      <c r="G6235" s="1">
        <v>71.28</v>
      </c>
      <c r="H6235" s="1">
        <v>11</v>
      </c>
      <c r="I6235" s="1">
        <v>34.214399999999998</v>
      </c>
    </row>
    <row r="6236" spans="1:9" x14ac:dyDescent="0.35">
      <c r="A6236" s="3">
        <v>43048</v>
      </c>
      <c r="B6236" s="1" t="s">
        <v>892</v>
      </c>
      <c r="C6236" s="1" t="s">
        <v>47</v>
      </c>
      <c r="D6236" s="1" t="s">
        <v>48</v>
      </c>
      <c r="E6236" s="1" t="s">
        <v>35</v>
      </c>
      <c r="F6236" s="2" t="s">
        <v>2492</v>
      </c>
      <c r="G6236" s="1">
        <v>1471.96</v>
      </c>
      <c r="H6236" s="1">
        <v>5</v>
      </c>
      <c r="I6236" s="1">
        <v>459.98750000000001</v>
      </c>
    </row>
    <row r="6237" spans="1:9" x14ac:dyDescent="0.35">
      <c r="A6237" s="3">
        <v>43048</v>
      </c>
      <c r="B6237" s="1" t="s">
        <v>892</v>
      </c>
      <c r="C6237" s="1" t="s">
        <v>47</v>
      </c>
      <c r="D6237" s="1" t="s">
        <v>48</v>
      </c>
      <c r="E6237" s="1" t="s">
        <v>33</v>
      </c>
      <c r="F6237" s="2" t="s">
        <v>2983</v>
      </c>
      <c r="G6237" s="1">
        <v>79.959999999999994</v>
      </c>
      <c r="H6237" s="1">
        <v>5</v>
      </c>
      <c r="I6237" s="1">
        <v>-17.991</v>
      </c>
    </row>
    <row r="6238" spans="1:9" x14ac:dyDescent="0.35">
      <c r="A6238" s="3" t="s">
        <v>3707</v>
      </c>
      <c r="B6238" s="1" t="s">
        <v>582</v>
      </c>
      <c r="C6238" s="1" t="s">
        <v>74</v>
      </c>
      <c r="D6238" s="1" t="s">
        <v>75</v>
      </c>
      <c r="E6238" s="1" t="s">
        <v>87</v>
      </c>
      <c r="F6238" s="2" t="s">
        <v>487</v>
      </c>
      <c r="G6238" s="1">
        <v>57.576000000000001</v>
      </c>
      <c r="H6238" s="1">
        <v>3</v>
      </c>
      <c r="I6238" s="1">
        <v>21.591000000000001</v>
      </c>
    </row>
    <row r="6239" spans="1:9" x14ac:dyDescent="0.35">
      <c r="A6239" s="3" t="s">
        <v>3233</v>
      </c>
      <c r="B6239" s="1" t="s">
        <v>1805</v>
      </c>
      <c r="C6239" s="1" t="s">
        <v>135</v>
      </c>
      <c r="D6239" s="1" t="s">
        <v>136</v>
      </c>
      <c r="E6239" s="1" t="s">
        <v>35</v>
      </c>
      <c r="F6239" s="2" t="s">
        <v>2091</v>
      </c>
      <c r="G6239" s="1">
        <v>26.335999999999999</v>
      </c>
      <c r="H6239" s="1">
        <v>4</v>
      </c>
      <c r="I6239" s="1">
        <v>9.2175999999999991</v>
      </c>
    </row>
    <row r="6240" spans="1:9" x14ac:dyDescent="0.35">
      <c r="A6240" s="3">
        <v>42350</v>
      </c>
      <c r="B6240" s="1" t="s">
        <v>1642</v>
      </c>
      <c r="C6240" s="1" t="s">
        <v>314</v>
      </c>
      <c r="D6240" s="1" t="s">
        <v>18</v>
      </c>
      <c r="E6240" s="1" t="s">
        <v>29</v>
      </c>
      <c r="F6240" s="2" t="s">
        <v>2125</v>
      </c>
      <c r="G6240" s="1">
        <v>166.5</v>
      </c>
      <c r="H6240" s="1">
        <v>3</v>
      </c>
      <c r="I6240" s="1">
        <v>21.645</v>
      </c>
    </row>
    <row r="6241" spans="1:9" x14ac:dyDescent="0.35">
      <c r="A6241" s="3">
        <v>42350</v>
      </c>
      <c r="B6241" s="1" t="s">
        <v>1642</v>
      </c>
      <c r="C6241" s="1" t="s">
        <v>314</v>
      </c>
      <c r="D6241" s="1" t="s">
        <v>18</v>
      </c>
      <c r="E6241" s="1" t="s">
        <v>26</v>
      </c>
      <c r="F6241" s="2" t="s">
        <v>1269</v>
      </c>
      <c r="G6241" s="1">
        <v>360.38</v>
      </c>
      <c r="H6241" s="1">
        <v>2</v>
      </c>
      <c r="I6241" s="1">
        <v>93.698800000000006</v>
      </c>
    </row>
    <row r="6242" spans="1:9" x14ac:dyDescent="0.35">
      <c r="A6242" s="3" t="s">
        <v>3345</v>
      </c>
      <c r="B6242" s="1" t="s">
        <v>458</v>
      </c>
      <c r="C6242" s="1" t="s">
        <v>17</v>
      </c>
      <c r="D6242" s="1" t="s">
        <v>18</v>
      </c>
      <c r="E6242" s="1" t="s">
        <v>35</v>
      </c>
      <c r="F6242" s="2" t="s">
        <v>1523</v>
      </c>
      <c r="G6242" s="1">
        <v>11.744</v>
      </c>
      <c r="H6242" s="1">
        <v>1</v>
      </c>
      <c r="I6242" s="1">
        <v>3.8168000000000002</v>
      </c>
    </row>
    <row r="6243" spans="1:9" x14ac:dyDescent="0.35">
      <c r="A6243" s="3" t="s">
        <v>3166</v>
      </c>
      <c r="B6243" s="1" t="s">
        <v>2260</v>
      </c>
      <c r="C6243" s="1" t="s">
        <v>42</v>
      </c>
      <c r="D6243" s="1" t="s">
        <v>1203</v>
      </c>
      <c r="E6243" s="1" t="s">
        <v>29</v>
      </c>
      <c r="F6243" s="2" t="s">
        <v>2382</v>
      </c>
      <c r="G6243" s="1">
        <v>247.44</v>
      </c>
      <c r="H6243" s="1">
        <v>8</v>
      </c>
      <c r="I6243" s="1">
        <v>101.4504</v>
      </c>
    </row>
    <row r="6244" spans="1:9" x14ac:dyDescent="0.35">
      <c r="A6244" s="3" t="s">
        <v>3664</v>
      </c>
      <c r="B6244" s="1" t="s">
        <v>1777</v>
      </c>
      <c r="C6244" s="1" t="s">
        <v>193</v>
      </c>
      <c r="D6244" s="1" t="s">
        <v>171</v>
      </c>
      <c r="E6244" s="1" t="s">
        <v>35</v>
      </c>
      <c r="F6244" s="2" t="s">
        <v>1672</v>
      </c>
      <c r="G6244" s="1">
        <v>18.239999999999998</v>
      </c>
      <c r="H6244" s="1">
        <v>2</v>
      </c>
      <c r="I6244" s="1">
        <v>-14.592000000000001</v>
      </c>
    </row>
    <row r="6245" spans="1:9" x14ac:dyDescent="0.35">
      <c r="A6245" s="3" t="s">
        <v>3410</v>
      </c>
      <c r="B6245" s="1" t="s">
        <v>2212</v>
      </c>
      <c r="C6245" s="1" t="s">
        <v>1748</v>
      </c>
      <c r="D6245" s="1" t="s">
        <v>48</v>
      </c>
      <c r="E6245" s="1" t="s">
        <v>289</v>
      </c>
      <c r="F6245" s="2" t="s">
        <v>2610</v>
      </c>
      <c r="G6245" s="1">
        <v>25.35</v>
      </c>
      <c r="H6245" s="1">
        <v>3</v>
      </c>
      <c r="I6245" s="1">
        <v>7.6050000000000004</v>
      </c>
    </row>
    <row r="6246" spans="1:9" x14ac:dyDescent="0.35">
      <c r="A6246" s="3" t="s">
        <v>3495</v>
      </c>
      <c r="B6246" s="1" t="s">
        <v>2470</v>
      </c>
      <c r="C6246" s="1" t="s">
        <v>47</v>
      </c>
      <c r="D6246" s="1" t="s">
        <v>48</v>
      </c>
      <c r="E6246" s="1" t="s">
        <v>31</v>
      </c>
      <c r="F6246" s="2" t="s">
        <v>1941</v>
      </c>
      <c r="G6246" s="1">
        <v>119.04</v>
      </c>
      <c r="H6246" s="1">
        <v>6</v>
      </c>
      <c r="I6246" s="1">
        <v>30.950399999999998</v>
      </c>
    </row>
    <row r="6247" spans="1:9" x14ac:dyDescent="0.35">
      <c r="A6247" s="3" t="s">
        <v>3495</v>
      </c>
      <c r="B6247" s="1" t="s">
        <v>2470</v>
      </c>
      <c r="C6247" s="1" t="s">
        <v>47</v>
      </c>
      <c r="D6247" s="1" t="s">
        <v>48</v>
      </c>
      <c r="E6247" s="1" t="s">
        <v>29</v>
      </c>
      <c r="F6247" s="2" t="s">
        <v>2074</v>
      </c>
      <c r="G6247" s="1">
        <v>22.14</v>
      </c>
      <c r="H6247" s="1">
        <v>3</v>
      </c>
      <c r="I6247" s="1">
        <v>6.4206000000000003</v>
      </c>
    </row>
    <row r="6248" spans="1:9" x14ac:dyDescent="0.35">
      <c r="A6248" s="3" t="s">
        <v>3495</v>
      </c>
      <c r="B6248" s="1" t="s">
        <v>2470</v>
      </c>
      <c r="C6248" s="1" t="s">
        <v>47</v>
      </c>
      <c r="D6248" s="1" t="s">
        <v>48</v>
      </c>
      <c r="E6248" s="1" t="s">
        <v>81</v>
      </c>
      <c r="F6248" s="2" t="s">
        <v>2819</v>
      </c>
      <c r="G6248" s="1">
        <v>13.98</v>
      </c>
      <c r="H6248" s="1">
        <v>2</v>
      </c>
      <c r="I6248" s="1">
        <v>6.0114000000000001</v>
      </c>
    </row>
    <row r="6249" spans="1:9" x14ac:dyDescent="0.35">
      <c r="A6249" s="3" t="s">
        <v>3387</v>
      </c>
      <c r="B6249" s="1" t="s">
        <v>2105</v>
      </c>
      <c r="C6249" s="1" t="s">
        <v>249</v>
      </c>
      <c r="D6249" s="1" t="s">
        <v>129</v>
      </c>
      <c r="E6249" s="1" t="s">
        <v>35</v>
      </c>
      <c r="F6249" s="2" t="s">
        <v>2179</v>
      </c>
      <c r="G6249" s="1">
        <v>43.41</v>
      </c>
      <c r="H6249" s="1">
        <v>1</v>
      </c>
      <c r="I6249" s="1">
        <v>19.968599999999999</v>
      </c>
    </row>
    <row r="6250" spans="1:9" x14ac:dyDescent="0.35">
      <c r="A6250" s="3" t="s">
        <v>3387</v>
      </c>
      <c r="B6250" s="1" t="s">
        <v>2105</v>
      </c>
      <c r="C6250" s="1" t="s">
        <v>249</v>
      </c>
      <c r="D6250" s="1" t="s">
        <v>129</v>
      </c>
      <c r="E6250" s="1" t="s">
        <v>29</v>
      </c>
      <c r="F6250" s="2" t="s">
        <v>609</v>
      </c>
      <c r="G6250" s="1">
        <v>6.24</v>
      </c>
      <c r="H6250" s="1">
        <v>3</v>
      </c>
      <c r="I6250" s="1">
        <v>2.6208</v>
      </c>
    </row>
    <row r="6251" spans="1:9" x14ac:dyDescent="0.35">
      <c r="A6251" s="3" t="s">
        <v>3387</v>
      </c>
      <c r="B6251" s="1" t="s">
        <v>2105</v>
      </c>
      <c r="C6251" s="1" t="s">
        <v>249</v>
      </c>
      <c r="D6251" s="1" t="s">
        <v>129</v>
      </c>
      <c r="E6251" s="1" t="s">
        <v>37</v>
      </c>
      <c r="F6251" s="2" t="s">
        <v>2984</v>
      </c>
      <c r="G6251" s="1">
        <v>465.16</v>
      </c>
      <c r="H6251" s="1">
        <v>2</v>
      </c>
      <c r="I6251" s="1">
        <v>120.94159999999999</v>
      </c>
    </row>
    <row r="6252" spans="1:9" x14ac:dyDescent="0.35">
      <c r="A6252" s="3" t="s">
        <v>3387</v>
      </c>
      <c r="B6252" s="1" t="s">
        <v>2105</v>
      </c>
      <c r="C6252" s="1" t="s">
        <v>249</v>
      </c>
      <c r="D6252" s="1" t="s">
        <v>129</v>
      </c>
      <c r="E6252" s="1" t="s">
        <v>44</v>
      </c>
      <c r="F6252" s="2" t="s">
        <v>456</v>
      </c>
      <c r="G6252" s="1">
        <v>7.98</v>
      </c>
      <c r="H6252" s="1">
        <v>1</v>
      </c>
      <c r="I6252" s="1">
        <v>3.99</v>
      </c>
    </row>
    <row r="6253" spans="1:9" x14ac:dyDescent="0.35">
      <c r="A6253" s="3">
        <v>41682</v>
      </c>
      <c r="B6253" s="1" t="s">
        <v>1569</v>
      </c>
      <c r="C6253" s="1" t="s">
        <v>154</v>
      </c>
      <c r="D6253" s="1" t="s">
        <v>106</v>
      </c>
      <c r="E6253" s="1" t="s">
        <v>37</v>
      </c>
      <c r="F6253" s="2" t="s">
        <v>676</v>
      </c>
      <c r="G6253" s="1">
        <v>2.3940000000000001</v>
      </c>
      <c r="H6253" s="1">
        <v>1</v>
      </c>
      <c r="I6253" s="1">
        <v>-6.3441000000000001</v>
      </c>
    </row>
    <row r="6254" spans="1:9" x14ac:dyDescent="0.35">
      <c r="A6254" s="3">
        <v>41824</v>
      </c>
      <c r="B6254" s="1" t="s">
        <v>386</v>
      </c>
      <c r="C6254" s="1" t="s">
        <v>2829</v>
      </c>
      <c r="D6254" s="1" t="s">
        <v>604</v>
      </c>
      <c r="E6254" s="1" t="s">
        <v>44</v>
      </c>
      <c r="F6254" s="2" t="s">
        <v>878</v>
      </c>
      <c r="G6254" s="1">
        <v>58.32</v>
      </c>
      <c r="H6254" s="1">
        <v>9</v>
      </c>
      <c r="I6254" s="1">
        <v>27.993600000000001</v>
      </c>
    </row>
    <row r="6255" spans="1:9" x14ac:dyDescent="0.35">
      <c r="A6255" s="3">
        <v>41824</v>
      </c>
      <c r="B6255" s="1" t="s">
        <v>386</v>
      </c>
      <c r="C6255" s="1" t="s">
        <v>2829</v>
      </c>
      <c r="D6255" s="1" t="s">
        <v>604</v>
      </c>
      <c r="E6255" s="1" t="s">
        <v>33</v>
      </c>
      <c r="F6255" s="2" t="s">
        <v>1821</v>
      </c>
      <c r="G6255" s="1">
        <v>200.97</v>
      </c>
      <c r="H6255" s="1">
        <v>3</v>
      </c>
      <c r="I6255" s="1">
        <v>50.2425</v>
      </c>
    </row>
    <row r="6256" spans="1:9" x14ac:dyDescent="0.35">
      <c r="A6256" s="3">
        <v>42225</v>
      </c>
      <c r="B6256" s="1" t="s">
        <v>413</v>
      </c>
      <c r="C6256" s="1" t="s">
        <v>846</v>
      </c>
      <c r="D6256" s="1" t="s">
        <v>182</v>
      </c>
      <c r="E6256" s="1" t="s">
        <v>29</v>
      </c>
      <c r="F6256" s="2" t="s">
        <v>2609</v>
      </c>
      <c r="G6256" s="1">
        <v>21.36</v>
      </c>
      <c r="H6256" s="1">
        <v>8</v>
      </c>
      <c r="I6256" s="1">
        <v>8.1167999999999996</v>
      </c>
    </row>
    <row r="6257" spans="1:9" x14ac:dyDescent="0.35">
      <c r="A6257" s="3">
        <v>42987</v>
      </c>
      <c r="B6257" s="1" t="s">
        <v>561</v>
      </c>
      <c r="C6257" s="1" t="s">
        <v>1830</v>
      </c>
      <c r="D6257" s="1" t="s">
        <v>52</v>
      </c>
      <c r="E6257" s="1" t="s">
        <v>19</v>
      </c>
      <c r="F6257" s="2" t="s">
        <v>199</v>
      </c>
      <c r="G6257" s="1">
        <v>9.8559999999999999</v>
      </c>
      <c r="H6257" s="1">
        <v>4</v>
      </c>
      <c r="I6257" s="1">
        <v>3.4496000000000002</v>
      </c>
    </row>
    <row r="6258" spans="1:9" x14ac:dyDescent="0.35">
      <c r="A6258" s="3">
        <v>42164</v>
      </c>
      <c r="B6258" s="1" t="s">
        <v>1461</v>
      </c>
      <c r="C6258" s="1" t="s">
        <v>509</v>
      </c>
      <c r="D6258" s="1" t="s">
        <v>23</v>
      </c>
      <c r="E6258" s="1" t="s">
        <v>35</v>
      </c>
      <c r="F6258" s="2" t="s">
        <v>2365</v>
      </c>
      <c r="G6258" s="1">
        <v>3.444</v>
      </c>
      <c r="H6258" s="1">
        <v>1</v>
      </c>
      <c r="I6258" s="1">
        <v>-2.5255999999999998</v>
      </c>
    </row>
    <row r="6259" spans="1:9" x14ac:dyDescent="0.35">
      <c r="A6259" s="3">
        <v>42777</v>
      </c>
      <c r="B6259" s="1" t="s">
        <v>979</v>
      </c>
      <c r="C6259" s="1" t="s">
        <v>249</v>
      </c>
      <c r="D6259" s="1" t="s">
        <v>250</v>
      </c>
      <c r="E6259" s="1" t="s">
        <v>289</v>
      </c>
      <c r="F6259" s="2" t="s">
        <v>511</v>
      </c>
      <c r="G6259" s="1">
        <v>384.59199999999998</v>
      </c>
      <c r="H6259" s="1">
        <v>2</v>
      </c>
      <c r="I6259" s="1">
        <v>-81.725800000000007</v>
      </c>
    </row>
    <row r="6260" spans="1:9" x14ac:dyDescent="0.35">
      <c r="A6260" s="3" t="s">
        <v>3708</v>
      </c>
      <c r="B6260" s="1" t="s">
        <v>2088</v>
      </c>
      <c r="C6260" s="1" t="s">
        <v>135</v>
      </c>
      <c r="D6260" s="1" t="s">
        <v>136</v>
      </c>
      <c r="E6260" s="1" t="s">
        <v>87</v>
      </c>
      <c r="F6260" s="2" t="s">
        <v>1159</v>
      </c>
      <c r="G6260" s="1">
        <v>22.92</v>
      </c>
      <c r="H6260" s="1">
        <v>3</v>
      </c>
      <c r="I6260" s="1">
        <v>11.2308</v>
      </c>
    </row>
    <row r="6261" spans="1:9" x14ac:dyDescent="0.35">
      <c r="A6261" s="3" t="s">
        <v>3376</v>
      </c>
      <c r="B6261" s="1" t="s">
        <v>1014</v>
      </c>
      <c r="C6261" s="1" t="s">
        <v>693</v>
      </c>
      <c r="D6261" s="1" t="s">
        <v>129</v>
      </c>
      <c r="E6261" s="1" t="s">
        <v>35</v>
      </c>
      <c r="F6261" s="2" t="s">
        <v>1362</v>
      </c>
      <c r="G6261" s="1">
        <v>11.36</v>
      </c>
      <c r="H6261" s="1">
        <v>4</v>
      </c>
      <c r="I6261" s="1">
        <v>5.5663999999999998</v>
      </c>
    </row>
    <row r="6262" spans="1:9" x14ac:dyDescent="0.35">
      <c r="A6262" s="3">
        <v>42343</v>
      </c>
      <c r="B6262" s="1" t="s">
        <v>793</v>
      </c>
      <c r="C6262" s="1" t="s">
        <v>47</v>
      </c>
      <c r="D6262" s="1" t="s">
        <v>48</v>
      </c>
      <c r="E6262" s="1" t="s">
        <v>35</v>
      </c>
      <c r="F6262" s="2" t="s">
        <v>936</v>
      </c>
      <c r="G6262" s="1">
        <v>14.592000000000001</v>
      </c>
      <c r="H6262" s="1">
        <v>3</v>
      </c>
      <c r="I6262" s="1">
        <v>4.9248000000000003</v>
      </c>
    </row>
    <row r="6263" spans="1:9" x14ac:dyDescent="0.35">
      <c r="A6263" s="3" t="s">
        <v>3542</v>
      </c>
      <c r="B6263" s="1" t="s">
        <v>2856</v>
      </c>
      <c r="C6263" s="1" t="s">
        <v>559</v>
      </c>
      <c r="D6263" s="1" t="s">
        <v>136</v>
      </c>
      <c r="E6263" s="1" t="s">
        <v>19</v>
      </c>
      <c r="F6263" s="2" t="s">
        <v>605</v>
      </c>
      <c r="G6263" s="1">
        <v>41.4</v>
      </c>
      <c r="H6263" s="1">
        <v>4</v>
      </c>
      <c r="I6263" s="1">
        <v>19.872</v>
      </c>
    </row>
    <row r="6264" spans="1:9" x14ac:dyDescent="0.35">
      <c r="A6264" s="3" t="s">
        <v>3644</v>
      </c>
      <c r="B6264" s="1" t="s">
        <v>611</v>
      </c>
      <c r="C6264" s="1" t="s">
        <v>1354</v>
      </c>
      <c r="D6264" s="1" t="s">
        <v>106</v>
      </c>
      <c r="E6264" s="1" t="s">
        <v>35</v>
      </c>
      <c r="F6264" s="2" t="s">
        <v>715</v>
      </c>
      <c r="G6264" s="1">
        <v>442.37200000000001</v>
      </c>
      <c r="H6264" s="1">
        <v>7</v>
      </c>
      <c r="I6264" s="1">
        <v>-729.91380000000004</v>
      </c>
    </row>
    <row r="6265" spans="1:9" x14ac:dyDescent="0.35">
      <c r="A6265" s="3">
        <v>42860</v>
      </c>
      <c r="B6265" s="1" t="s">
        <v>1632</v>
      </c>
      <c r="C6265" s="1" t="s">
        <v>249</v>
      </c>
      <c r="D6265" s="1" t="s">
        <v>604</v>
      </c>
      <c r="E6265" s="1" t="s">
        <v>35</v>
      </c>
      <c r="F6265" s="2" t="s">
        <v>1716</v>
      </c>
      <c r="G6265" s="1">
        <v>34.5</v>
      </c>
      <c r="H6265" s="1">
        <v>3</v>
      </c>
      <c r="I6265" s="1">
        <v>15.525</v>
      </c>
    </row>
    <row r="6266" spans="1:9" x14ac:dyDescent="0.35">
      <c r="A6266" s="3">
        <v>42531</v>
      </c>
      <c r="B6266" s="1" t="s">
        <v>419</v>
      </c>
      <c r="C6266" s="1" t="s">
        <v>1897</v>
      </c>
      <c r="D6266" s="1" t="s">
        <v>322</v>
      </c>
      <c r="E6266" s="1" t="s">
        <v>35</v>
      </c>
      <c r="F6266" s="2" t="s">
        <v>166</v>
      </c>
      <c r="G6266" s="1">
        <v>28.85</v>
      </c>
      <c r="H6266" s="1">
        <v>5</v>
      </c>
      <c r="I6266" s="1">
        <v>14.425000000000001</v>
      </c>
    </row>
    <row r="6267" spans="1:9" x14ac:dyDescent="0.35">
      <c r="A6267" s="3">
        <v>41709</v>
      </c>
      <c r="B6267" s="1" t="s">
        <v>951</v>
      </c>
      <c r="C6267" s="1" t="s">
        <v>2272</v>
      </c>
      <c r="D6267" s="1" t="s">
        <v>171</v>
      </c>
      <c r="E6267" s="1" t="s">
        <v>44</v>
      </c>
      <c r="F6267" s="2" t="s">
        <v>1417</v>
      </c>
      <c r="G6267" s="1">
        <v>3.488</v>
      </c>
      <c r="H6267" s="1">
        <v>2</v>
      </c>
      <c r="I6267" s="1">
        <v>1.1772</v>
      </c>
    </row>
    <row r="6268" spans="1:9" x14ac:dyDescent="0.35">
      <c r="A6268" s="3">
        <v>41709</v>
      </c>
      <c r="B6268" s="1" t="s">
        <v>951</v>
      </c>
      <c r="C6268" s="1" t="s">
        <v>2272</v>
      </c>
      <c r="D6268" s="1" t="s">
        <v>171</v>
      </c>
      <c r="E6268" s="1" t="s">
        <v>44</v>
      </c>
      <c r="F6268" s="2" t="s">
        <v>1189</v>
      </c>
      <c r="G6268" s="1">
        <v>143.85599999999999</v>
      </c>
      <c r="H6268" s="1">
        <v>9</v>
      </c>
      <c r="I6268" s="1">
        <v>48.551400000000001</v>
      </c>
    </row>
    <row r="6269" spans="1:9" x14ac:dyDescent="0.35">
      <c r="A6269" s="3">
        <v>42014</v>
      </c>
      <c r="B6269" s="1" t="s">
        <v>360</v>
      </c>
      <c r="C6269" s="1" t="s">
        <v>2985</v>
      </c>
      <c r="D6269" s="1" t="s">
        <v>592</v>
      </c>
      <c r="E6269" s="1" t="s">
        <v>33</v>
      </c>
      <c r="F6269" s="2" t="s">
        <v>886</v>
      </c>
      <c r="G6269" s="1">
        <v>311.98</v>
      </c>
      <c r="H6269" s="1">
        <v>2</v>
      </c>
      <c r="I6269" s="1">
        <v>93.593999999999994</v>
      </c>
    </row>
    <row r="6270" spans="1:9" x14ac:dyDescent="0.35">
      <c r="A6270" s="3">
        <v>42014</v>
      </c>
      <c r="B6270" s="1" t="s">
        <v>360</v>
      </c>
      <c r="C6270" s="1" t="s">
        <v>2985</v>
      </c>
      <c r="D6270" s="1" t="s">
        <v>592</v>
      </c>
      <c r="E6270" s="1" t="s">
        <v>35</v>
      </c>
      <c r="F6270" s="2" t="s">
        <v>581</v>
      </c>
      <c r="G6270" s="1">
        <v>22.45</v>
      </c>
      <c r="H6270" s="1">
        <v>5</v>
      </c>
      <c r="I6270" s="1">
        <v>10.327</v>
      </c>
    </row>
    <row r="6271" spans="1:9" x14ac:dyDescent="0.35">
      <c r="A6271" s="3">
        <v>42778</v>
      </c>
      <c r="B6271" s="1" t="s">
        <v>722</v>
      </c>
      <c r="C6271" s="1" t="s">
        <v>1391</v>
      </c>
      <c r="D6271" s="1" t="s">
        <v>18</v>
      </c>
      <c r="E6271" s="1" t="s">
        <v>33</v>
      </c>
      <c r="F6271" s="2" t="s">
        <v>308</v>
      </c>
      <c r="G6271" s="1">
        <v>39.991999999999997</v>
      </c>
      <c r="H6271" s="1">
        <v>1</v>
      </c>
      <c r="I6271" s="1">
        <v>-7.9984000000000002</v>
      </c>
    </row>
    <row r="6272" spans="1:9" x14ac:dyDescent="0.35">
      <c r="A6272" s="3">
        <v>42778</v>
      </c>
      <c r="B6272" s="1" t="s">
        <v>722</v>
      </c>
      <c r="C6272" s="1" t="s">
        <v>1391</v>
      </c>
      <c r="D6272" s="1" t="s">
        <v>18</v>
      </c>
      <c r="E6272" s="1" t="s">
        <v>14</v>
      </c>
      <c r="F6272" s="2" t="s">
        <v>2628</v>
      </c>
      <c r="G6272" s="1">
        <v>1159.056</v>
      </c>
      <c r="H6272" s="1">
        <v>9</v>
      </c>
      <c r="I6272" s="1">
        <v>43.464599999999997</v>
      </c>
    </row>
    <row r="6273" spans="1:9" x14ac:dyDescent="0.35">
      <c r="A6273" s="3">
        <v>42778</v>
      </c>
      <c r="B6273" s="1" t="s">
        <v>722</v>
      </c>
      <c r="C6273" s="1" t="s">
        <v>1391</v>
      </c>
      <c r="D6273" s="1" t="s">
        <v>18</v>
      </c>
      <c r="E6273" s="1" t="s">
        <v>31</v>
      </c>
      <c r="F6273" s="2" t="s">
        <v>1534</v>
      </c>
      <c r="G6273" s="1">
        <v>179.9</v>
      </c>
      <c r="H6273" s="1">
        <v>5</v>
      </c>
      <c r="I6273" s="1">
        <v>44.975000000000001</v>
      </c>
    </row>
    <row r="6274" spans="1:9" x14ac:dyDescent="0.35">
      <c r="A6274" s="3">
        <v>43051</v>
      </c>
      <c r="B6274" s="1" t="s">
        <v>634</v>
      </c>
      <c r="C6274" s="1" t="s">
        <v>2986</v>
      </c>
      <c r="D6274" s="1" t="s">
        <v>106</v>
      </c>
      <c r="E6274" s="1" t="s">
        <v>81</v>
      </c>
      <c r="F6274" s="2" t="s">
        <v>1980</v>
      </c>
      <c r="G6274" s="1">
        <v>116.312</v>
      </c>
      <c r="H6274" s="1">
        <v>7</v>
      </c>
      <c r="I6274" s="1">
        <v>23.2624</v>
      </c>
    </row>
    <row r="6275" spans="1:9" x14ac:dyDescent="0.35">
      <c r="A6275" s="3" t="s">
        <v>3153</v>
      </c>
      <c r="B6275" s="1" t="s">
        <v>2113</v>
      </c>
      <c r="C6275" s="1" t="s">
        <v>47</v>
      </c>
      <c r="D6275" s="1" t="s">
        <v>48</v>
      </c>
      <c r="E6275" s="1" t="s">
        <v>29</v>
      </c>
      <c r="F6275" s="2" t="s">
        <v>2282</v>
      </c>
      <c r="G6275" s="1">
        <v>12.42</v>
      </c>
      <c r="H6275" s="1">
        <v>3</v>
      </c>
      <c r="I6275" s="1">
        <v>4.4711999999999996</v>
      </c>
    </row>
    <row r="6276" spans="1:9" x14ac:dyDescent="0.35">
      <c r="A6276" s="3" t="s">
        <v>3153</v>
      </c>
      <c r="B6276" s="1" t="s">
        <v>2113</v>
      </c>
      <c r="C6276" s="1" t="s">
        <v>47</v>
      </c>
      <c r="D6276" s="1" t="s">
        <v>48</v>
      </c>
      <c r="E6276" s="1" t="s">
        <v>81</v>
      </c>
      <c r="F6276" s="2" t="s">
        <v>2987</v>
      </c>
      <c r="G6276" s="1">
        <v>428.4</v>
      </c>
      <c r="H6276" s="1">
        <v>3</v>
      </c>
      <c r="I6276" s="1">
        <v>89.963999999999999</v>
      </c>
    </row>
    <row r="6277" spans="1:9" x14ac:dyDescent="0.35">
      <c r="A6277" s="3" t="s">
        <v>3153</v>
      </c>
      <c r="B6277" s="1" t="s">
        <v>2113</v>
      </c>
      <c r="C6277" s="1" t="s">
        <v>47</v>
      </c>
      <c r="D6277" s="1" t="s">
        <v>48</v>
      </c>
      <c r="E6277" s="1" t="s">
        <v>29</v>
      </c>
      <c r="F6277" s="2" t="s">
        <v>2652</v>
      </c>
      <c r="G6277" s="1">
        <v>24.75</v>
      </c>
      <c r="H6277" s="1">
        <v>5</v>
      </c>
      <c r="I6277" s="1">
        <v>10.89</v>
      </c>
    </row>
    <row r="6278" spans="1:9" x14ac:dyDescent="0.35">
      <c r="A6278" s="3" t="s">
        <v>3153</v>
      </c>
      <c r="B6278" s="1" t="s">
        <v>2113</v>
      </c>
      <c r="C6278" s="1" t="s">
        <v>47</v>
      </c>
      <c r="D6278" s="1" t="s">
        <v>48</v>
      </c>
      <c r="E6278" s="1" t="s">
        <v>19</v>
      </c>
      <c r="F6278" s="2" t="s">
        <v>571</v>
      </c>
      <c r="G6278" s="1">
        <v>87.71</v>
      </c>
      <c r="H6278" s="1">
        <v>7</v>
      </c>
      <c r="I6278" s="1">
        <v>41.223700000000001</v>
      </c>
    </row>
    <row r="6279" spans="1:9" x14ac:dyDescent="0.35">
      <c r="A6279" s="3" t="s">
        <v>3153</v>
      </c>
      <c r="B6279" s="1" t="s">
        <v>2113</v>
      </c>
      <c r="C6279" s="1" t="s">
        <v>47</v>
      </c>
      <c r="D6279" s="1" t="s">
        <v>48</v>
      </c>
      <c r="E6279" s="1" t="s">
        <v>26</v>
      </c>
      <c r="F6279" s="2" t="s">
        <v>142</v>
      </c>
      <c r="G6279" s="1">
        <v>69.52</v>
      </c>
      <c r="H6279" s="1">
        <v>2</v>
      </c>
      <c r="I6279" s="1">
        <v>17.38</v>
      </c>
    </row>
    <row r="6280" spans="1:9" x14ac:dyDescent="0.35">
      <c r="A6280" s="3" t="s">
        <v>3153</v>
      </c>
      <c r="B6280" s="1" t="s">
        <v>2113</v>
      </c>
      <c r="C6280" s="1" t="s">
        <v>47</v>
      </c>
      <c r="D6280" s="1" t="s">
        <v>48</v>
      </c>
      <c r="E6280" s="1" t="s">
        <v>33</v>
      </c>
      <c r="F6280" s="2" t="s">
        <v>1337</v>
      </c>
      <c r="G6280" s="1">
        <v>20.783999999999999</v>
      </c>
      <c r="H6280" s="1">
        <v>2</v>
      </c>
      <c r="I6280" s="1">
        <v>-4.6764000000000001</v>
      </c>
    </row>
    <row r="6281" spans="1:9" x14ac:dyDescent="0.35">
      <c r="A6281" s="3" t="s">
        <v>3153</v>
      </c>
      <c r="B6281" s="1" t="s">
        <v>2113</v>
      </c>
      <c r="C6281" s="1" t="s">
        <v>47</v>
      </c>
      <c r="D6281" s="1" t="s">
        <v>48</v>
      </c>
      <c r="E6281" s="1" t="s">
        <v>35</v>
      </c>
      <c r="F6281" s="2" t="s">
        <v>1616</v>
      </c>
      <c r="G6281" s="1">
        <v>12.816000000000001</v>
      </c>
      <c r="H6281" s="1">
        <v>3</v>
      </c>
      <c r="I6281" s="1">
        <v>4.1651999999999996</v>
      </c>
    </row>
    <row r="6282" spans="1:9" x14ac:dyDescent="0.35">
      <c r="A6282" s="3">
        <v>43074</v>
      </c>
      <c r="B6282" s="1" t="s">
        <v>419</v>
      </c>
      <c r="C6282" s="1" t="s">
        <v>485</v>
      </c>
      <c r="D6282" s="1" t="s">
        <v>250</v>
      </c>
      <c r="E6282" s="1" t="s">
        <v>19</v>
      </c>
      <c r="F6282" s="2" t="s">
        <v>1902</v>
      </c>
      <c r="G6282" s="1">
        <v>5.9039999999999999</v>
      </c>
      <c r="H6282" s="1">
        <v>2</v>
      </c>
      <c r="I6282" s="1">
        <v>1.9925999999999999</v>
      </c>
    </row>
    <row r="6283" spans="1:9" x14ac:dyDescent="0.35">
      <c r="A6283" s="3" t="s">
        <v>3495</v>
      </c>
      <c r="B6283" s="1" t="s">
        <v>1845</v>
      </c>
      <c r="C6283" s="1" t="s">
        <v>2114</v>
      </c>
      <c r="D6283" s="1" t="s">
        <v>250</v>
      </c>
      <c r="E6283" s="1" t="s">
        <v>29</v>
      </c>
      <c r="F6283" s="2" t="s">
        <v>2988</v>
      </c>
      <c r="G6283" s="1">
        <v>63.823999999999998</v>
      </c>
      <c r="H6283" s="1">
        <v>2</v>
      </c>
      <c r="I6283" s="1">
        <v>9.5736000000000008</v>
      </c>
    </row>
    <row r="6284" spans="1:9" x14ac:dyDescent="0.35">
      <c r="A6284" s="3" t="s">
        <v>3495</v>
      </c>
      <c r="B6284" s="1" t="s">
        <v>1845</v>
      </c>
      <c r="C6284" s="1" t="s">
        <v>2114</v>
      </c>
      <c r="D6284" s="1" t="s">
        <v>250</v>
      </c>
      <c r="E6284" s="1" t="s">
        <v>26</v>
      </c>
      <c r="F6284" s="2" t="s">
        <v>2928</v>
      </c>
      <c r="G6284" s="1">
        <v>141.55199999999999</v>
      </c>
      <c r="H6284" s="1">
        <v>3</v>
      </c>
      <c r="I6284" s="1">
        <v>-26.541</v>
      </c>
    </row>
    <row r="6285" spans="1:9" x14ac:dyDescent="0.35">
      <c r="A6285" s="3" t="s">
        <v>3644</v>
      </c>
      <c r="B6285" s="1" t="s">
        <v>1970</v>
      </c>
      <c r="C6285" s="1" t="s">
        <v>17</v>
      </c>
      <c r="D6285" s="1" t="s">
        <v>18</v>
      </c>
      <c r="E6285" s="1" t="s">
        <v>87</v>
      </c>
      <c r="F6285" s="2" t="s">
        <v>2821</v>
      </c>
      <c r="G6285" s="1">
        <v>304.89999999999998</v>
      </c>
      <c r="H6285" s="1">
        <v>5</v>
      </c>
      <c r="I6285" s="1">
        <v>143.303</v>
      </c>
    </row>
    <row r="6286" spans="1:9" x14ac:dyDescent="0.35">
      <c r="A6286" s="3" t="s">
        <v>3644</v>
      </c>
      <c r="B6286" s="1" t="s">
        <v>1970</v>
      </c>
      <c r="C6286" s="1" t="s">
        <v>17</v>
      </c>
      <c r="D6286" s="1" t="s">
        <v>18</v>
      </c>
      <c r="E6286" s="1" t="s">
        <v>14</v>
      </c>
      <c r="F6286" s="2" t="s">
        <v>1925</v>
      </c>
      <c r="G6286" s="1">
        <v>563.24</v>
      </c>
      <c r="H6286" s="1">
        <v>5</v>
      </c>
      <c r="I6286" s="1">
        <v>56.323999999999998</v>
      </c>
    </row>
    <row r="6287" spans="1:9" x14ac:dyDescent="0.35">
      <c r="A6287" s="3" t="s">
        <v>3252</v>
      </c>
      <c r="B6287" s="1" t="s">
        <v>413</v>
      </c>
      <c r="C6287" s="1" t="s">
        <v>536</v>
      </c>
      <c r="D6287" s="1" t="s">
        <v>250</v>
      </c>
      <c r="E6287" s="1" t="s">
        <v>24</v>
      </c>
      <c r="F6287" s="2" t="s">
        <v>2076</v>
      </c>
      <c r="G6287" s="1">
        <v>661.17600000000004</v>
      </c>
      <c r="H6287" s="1">
        <v>2</v>
      </c>
      <c r="I6287" s="1">
        <v>-231.41159999999999</v>
      </c>
    </row>
    <row r="6288" spans="1:9" x14ac:dyDescent="0.35">
      <c r="A6288" s="3" t="s">
        <v>3663</v>
      </c>
      <c r="B6288" s="1" t="s">
        <v>1259</v>
      </c>
      <c r="C6288" s="1" t="s">
        <v>2973</v>
      </c>
      <c r="D6288" s="1" t="s">
        <v>171</v>
      </c>
      <c r="E6288" s="1" t="s">
        <v>33</v>
      </c>
      <c r="F6288" s="2" t="s">
        <v>1419</v>
      </c>
      <c r="G6288" s="1">
        <v>239.976</v>
      </c>
      <c r="H6288" s="1">
        <v>3</v>
      </c>
      <c r="I6288" s="1">
        <v>17.998200000000001</v>
      </c>
    </row>
    <row r="6289" spans="1:9" x14ac:dyDescent="0.35">
      <c r="A6289" s="3">
        <v>41858</v>
      </c>
      <c r="B6289" s="1" t="s">
        <v>740</v>
      </c>
      <c r="C6289" s="1" t="s">
        <v>64</v>
      </c>
      <c r="D6289" s="1" t="s">
        <v>18</v>
      </c>
      <c r="E6289" s="1" t="s">
        <v>24</v>
      </c>
      <c r="F6289" s="2" t="s">
        <v>1714</v>
      </c>
      <c r="G6289" s="1">
        <v>502.488</v>
      </c>
      <c r="H6289" s="1">
        <v>3</v>
      </c>
      <c r="I6289" s="1">
        <v>-87.935400000000001</v>
      </c>
    </row>
    <row r="6290" spans="1:9" x14ac:dyDescent="0.35">
      <c r="A6290" s="3">
        <v>41858</v>
      </c>
      <c r="B6290" s="1" t="s">
        <v>740</v>
      </c>
      <c r="C6290" s="1" t="s">
        <v>64</v>
      </c>
      <c r="D6290" s="1" t="s">
        <v>18</v>
      </c>
      <c r="E6290" s="1" t="s">
        <v>35</v>
      </c>
      <c r="F6290" s="2" t="s">
        <v>1364</v>
      </c>
      <c r="G6290" s="1">
        <v>196.70400000000001</v>
      </c>
      <c r="H6290" s="1">
        <v>6</v>
      </c>
      <c r="I6290" s="1">
        <v>68.846400000000003</v>
      </c>
    </row>
    <row r="6291" spans="1:9" x14ac:dyDescent="0.35">
      <c r="A6291" s="3" t="s">
        <v>3709</v>
      </c>
      <c r="B6291" s="1" t="s">
        <v>1359</v>
      </c>
      <c r="C6291" s="1" t="s">
        <v>2943</v>
      </c>
      <c r="D6291" s="1" t="s">
        <v>18</v>
      </c>
      <c r="E6291" s="1" t="s">
        <v>14</v>
      </c>
      <c r="F6291" s="2" t="s">
        <v>267</v>
      </c>
      <c r="G6291" s="1">
        <v>915.13599999999997</v>
      </c>
      <c r="H6291" s="1">
        <v>4</v>
      </c>
      <c r="I6291" s="1">
        <v>102.9528</v>
      </c>
    </row>
    <row r="6292" spans="1:9" x14ac:dyDescent="0.35">
      <c r="A6292" s="3" t="s">
        <v>3709</v>
      </c>
      <c r="B6292" s="1" t="s">
        <v>1359</v>
      </c>
      <c r="C6292" s="1" t="s">
        <v>2943</v>
      </c>
      <c r="D6292" s="1" t="s">
        <v>18</v>
      </c>
      <c r="E6292" s="1" t="s">
        <v>29</v>
      </c>
      <c r="F6292" s="2" t="s">
        <v>918</v>
      </c>
      <c r="G6292" s="1">
        <v>327.76</v>
      </c>
      <c r="H6292" s="1">
        <v>8</v>
      </c>
      <c r="I6292" s="1">
        <v>91.772800000000004</v>
      </c>
    </row>
    <row r="6293" spans="1:9" x14ac:dyDescent="0.35">
      <c r="A6293" s="3">
        <v>42778</v>
      </c>
      <c r="B6293" s="1" t="s">
        <v>961</v>
      </c>
      <c r="C6293" s="1" t="s">
        <v>909</v>
      </c>
      <c r="D6293" s="1" t="s">
        <v>163</v>
      </c>
      <c r="E6293" s="1" t="s">
        <v>14</v>
      </c>
      <c r="F6293" s="2" t="s">
        <v>1886</v>
      </c>
      <c r="G6293" s="1">
        <v>701.96</v>
      </c>
      <c r="H6293" s="1">
        <v>2</v>
      </c>
      <c r="I6293" s="1">
        <v>168.47040000000001</v>
      </c>
    </row>
    <row r="6294" spans="1:9" x14ac:dyDescent="0.35">
      <c r="A6294" s="3" t="s">
        <v>3710</v>
      </c>
      <c r="B6294" s="1" t="s">
        <v>2217</v>
      </c>
      <c r="C6294" s="1" t="s">
        <v>17</v>
      </c>
      <c r="D6294" s="1" t="s">
        <v>18</v>
      </c>
      <c r="E6294" s="1" t="s">
        <v>33</v>
      </c>
      <c r="F6294" s="2" t="s">
        <v>1196</v>
      </c>
      <c r="G6294" s="1">
        <v>88.775999999999996</v>
      </c>
      <c r="H6294" s="1">
        <v>3</v>
      </c>
      <c r="I6294" s="1">
        <v>7.7679</v>
      </c>
    </row>
    <row r="6295" spans="1:9" x14ac:dyDescent="0.35">
      <c r="A6295" s="3" t="s">
        <v>3710</v>
      </c>
      <c r="B6295" s="1" t="s">
        <v>2217</v>
      </c>
      <c r="C6295" s="1" t="s">
        <v>17</v>
      </c>
      <c r="D6295" s="1" t="s">
        <v>18</v>
      </c>
      <c r="E6295" s="1" t="s">
        <v>31</v>
      </c>
      <c r="F6295" s="2" t="s">
        <v>2310</v>
      </c>
      <c r="G6295" s="1">
        <v>64.14</v>
      </c>
      <c r="H6295" s="1">
        <v>3</v>
      </c>
      <c r="I6295" s="1">
        <v>16.676400000000001</v>
      </c>
    </row>
    <row r="6296" spans="1:9" x14ac:dyDescent="0.35">
      <c r="A6296" s="3" t="s">
        <v>3711</v>
      </c>
      <c r="B6296" s="1" t="s">
        <v>2067</v>
      </c>
      <c r="C6296" s="1" t="s">
        <v>135</v>
      </c>
      <c r="D6296" s="1" t="s">
        <v>136</v>
      </c>
      <c r="E6296" s="1" t="s">
        <v>35</v>
      </c>
      <c r="F6296" s="2" t="s">
        <v>1270</v>
      </c>
      <c r="G6296" s="1">
        <v>33.552</v>
      </c>
      <c r="H6296" s="1">
        <v>1</v>
      </c>
      <c r="I6296" s="1">
        <v>12.582000000000001</v>
      </c>
    </row>
    <row r="6297" spans="1:9" x14ac:dyDescent="0.35">
      <c r="A6297" s="3" t="s">
        <v>3712</v>
      </c>
      <c r="B6297" s="1" t="s">
        <v>1197</v>
      </c>
      <c r="C6297" s="1" t="s">
        <v>2989</v>
      </c>
      <c r="D6297" s="1" t="s">
        <v>592</v>
      </c>
      <c r="E6297" s="1" t="s">
        <v>37</v>
      </c>
      <c r="F6297" s="2" t="s">
        <v>2257</v>
      </c>
      <c r="G6297" s="1">
        <v>1737.18</v>
      </c>
      <c r="H6297" s="1">
        <v>6</v>
      </c>
      <c r="I6297" s="1">
        <v>503.78219999999999</v>
      </c>
    </row>
    <row r="6298" spans="1:9" x14ac:dyDescent="0.35">
      <c r="A6298" s="3" t="s">
        <v>3712</v>
      </c>
      <c r="B6298" s="1" t="s">
        <v>1197</v>
      </c>
      <c r="C6298" s="1" t="s">
        <v>2989</v>
      </c>
      <c r="D6298" s="1" t="s">
        <v>592</v>
      </c>
      <c r="E6298" s="1" t="s">
        <v>26</v>
      </c>
      <c r="F6298" s="2" t="s">
        <v>773</v>
      </c>
      <c r="G6298" s="1">
        <v>704.25</v>
      </c>
      <c r="H6298" s="1">
        <v>5</v>
      </c>
      <c r="I6298" s="1">
        <v>84.51</v>
      </c>
    </row>
    <row r="6299" spans="1:9" x14ac:dyDescent="0.35">
      <c r="A6299" s="3" t="s">
        <v>3712</v>
      </c>
      <c r="B6299" s="1" t="s">
        <v>1197</v>
      </c>
      <c r="C6299" s="1" t="s">
        <v>2989</v>
      </c>
      <c r="D6299" s="1" t="s">
        <v>592</v>
      </c>
      <c r="E6299" s="1" t="s">
        <v>44</v>
      </c>
      <c r="F6299" s="2" t="s">
        <v>2889</v>
      </c>
      <c r="G6299" s="1">
        <v>141.76</v>
      </c>
      <c r="H6299" s="1">
        <v>4</v>
      </c>
      <c r="I6299" s="1">
        <v>66.627200000000002</v>
      </c>
    </row>
    <row r="6300" spans="1:9" x14ac:dyDescent="0.35">
      <c r="A6300" s="3" t="s">
        <v>3713</v>
      </c>
      <c r="B6300" s="1" t="s">
        <v>944</v>
      </c>
      <c r="C6300" s="1" t="s">
        <v>461</v>
      </c>
      <c r="D6300" s="1" t="s">
        <v>18</v>
      </c>
      <c r="E6300" s="1" t="s">
        <v>35</v>
      </c>
      <c r="F6300" s="2" t="s">
        <v>146</v>
      </c>
      <c r="G6300" s="1">
        <v>36.36</v>
      </c>
      <c r="H6300" s="1">
        <v>3</v>
      </c>
      <c r="I6300" s="1">
        <v>12.2715</v>
      </c>
    </row>
    <row r="6301" spans="1:9" x14ac:dyDescent="0.35">
      <c r="A6301" s="3" t="s">
        <v>3329</v>
      </c>
      <c r="B6301" s="1" t="s">
        <v>2137</v>
      </c>
      <c r="C6301" s="1" t="s">
        <v>64</v>
      </c>
      <c r="D6301" s="1" t="s">
        <v>18</v>
      </c>
      <c r="E6301" s="1" t="s">
        <v>29</v>
      </c>
      <c r="F6301" s="2" t="s">
        <v>2990</v>
      </c>
      <c r="G6301" s="1">
        <v>25.83</v>
      </c>
      <c r="H6301" s="1">
        <v>3</v>
      </c>
      <c r="I6301" s="1">
        <v>9.5571000000000002</v>
      </c>
    </row>
    <row r="6302" spans="1:9" x14ac:dyDescent="0.35">
      <c r="A6302" s="3">
        <v>41796</v>
      </c>
      <c r="B6302" s="1" t="s">
        <v>2308</v>
      </c>
      <c r="C6302" s="1" t="s">
        <v>154</v>
      </c>
      <c r="D6302" s="1" t="s">
        <v>106</v>
      </c>
      <c r="E6302" s="1" t="s">
        <v>35</v>
      </c>
      <c r="F6302" s="2" t="s">
        <v>232</v>
      </c>
      <c r="G6302" s="1">
        <v>24.588000000000001</v>
      </c>
      <c r="H6302" s="1">
        <v>3</v>
      </c>
      <c r="I6302" s="1">
        <v>-38.111400000000003</v>
      </c>
    </row>
    <row r="6303" spans="1:9" x14ac:dyDescent="0.35">
      <c r="A6303" s="3">
        <v>41796</v>
      </c>
      <c r="B6303" s="1" t="s">
        <v>2308</v>
      </c>
      <c r="C6303" s="1" t="s">
        <v>154</v>
      </c>
      <c r="D6303" s="1" t="s">
        <v>106</v>
      </c>
      <c r="E6303" s="1" t="s">
        <v>87</v>
      </c>
      <c r="F6303" s="2" t="s">
        <v>1299</v>
      </c>
      <c r="G6303" s="1">
        <v>13.984</v>
      </c>
      <c r="H6303" s="1">
        <v>2</v>
      </c>
      <c r="I6303" s="1">
        <v>4.7195999999999998</v>
      </c>
    </row>
    <row r="6304" spans="1:9" x14ac:dyDescent="0.35">
      <c r="A6304" s="3" t="s">
        <v>3172</v>
      </c>
      <c r="B6304" s="1" t="s">
        <v>477</v>
      </c>
      <c r="C6304" s="1" t="s">
        <v>399</v>
      </c>
      <c r="D6304" s="1" t="s">
        <v>52</v>
      </c>
      <c r="E6304" s="1" t="s">
        <v>33</v>
      </c>
      <c r="F6304" s="2" t="s">
        <v>2813</v>
      </c>
      <c r="G6304" s="1">
        <v>195.96</v>
      </c>
      <c r="H6304" s="1">
        <v>5</v>
      </c>
      <c r="I6304" s="1">
        <v>19.596</v>
      </c>
    </row>
    <row r="6305" spans="1:9" x14ac:dyDescent="0.35">
      <c r="A6305" s="3" t="s">
        <v>3558</v>
      </c>
      <c r="B6305" s="1" t="s">
        <v>318</v>
      </c>
      <c r="C6305" s="1" t="s">
        <v>2376</v>
      </c>
      <c r="D6305" s="1" t="s">
        <v>52</v>
      </c>
      <c r="E6305" s="1" t="s">
        <v>44</v>
      </c>
      <c r="F6305" s="2" t="s">
        <v>1827</v>
      </c>
      <c r="G6305" s="1">
        <v>74.352000000000004</v>
      </c>
      <c r="H6305" s="1">
        <v>3</v>
      </c>
      <c r="I6305" s="1">
        <v>23.234999999999999</v>
      </c>
    </row>
    <row r="6306" spans="1:9" x14ac:dyDescent="0.35">
      <c r="A6306" s="3">
        <v>42860</v>
      </c>
      <c r="B6306" s="1" t="s">
        <v>1718</v>
      </c>
      <c r="C6306" s="1" t="s">
        <v>135</v>
      </c>
      <c r="D6306" s="1" t="s">
        <v>136</v>
      </c>
      <c r="E6306" s="1" t="s">
        <v>44</v>
      </c>
      <c r="F6306" s="2" t="s">
        <v>1233</v>
      </c>
      <c r="G6306" s="1">
        <v>6.68</v>
      </c>
      <c r="H6306" s="1">
        <v>1</v>
      </c>
      <c r="I6306" s="1">
        <v>3.2063999999999999</v>
      </c>
    </row>
    <row r="6307" spans="1:9" x14ac:dyDescent="0.35">
      <c r="A6307" s="3">
        <v>42471</v>
      </c>
      <c r="B6307" s="1" t="s">
        <v>2714</v>
      </c>
      <c r="C6307" s="1" t="s">
        <v>2991</v>
      </c>
      <c r="D6307" s="1" t="s">
        <v>212</v>
      </c>
      <c r="E6307" s="1" t="s">
        <v>289</v>
      </c>
      <c r="F6307" s="2" t="s">
        <v>2649</v>
      </c>
      <c r="G6307" s="1">
        <v>17.584</v>
      </c>
      <c r="H6307" s="1">
        <v>7</v>
      </c>
      <c r="I6307" s="1">
        <v>-4.1761999999999997</v>
      </c>
    </row>
    <row r="6308" spans="1:9" x14ac:dyDescent="0.35">
      <c r="A6308" s="3">
        <v>42471</v>
      </c>
      <c r="B6308" s="1" t="s">
        <v>2714</v>
      </c>
      <c r="C6308" s="1" t="s">
        <v>2991</v>
      </c>
      <c r="D6308" s="1" t="s">
        <v>212</v>
      </c>
      <c r="E6308" s="1" t="s">
        <v>14</v>
      </c>
      <c r="F6308" s="2" t="s">
        <v>2641</v>
      </c>
      <c r="G6308" s="1">
        <v>104.78400000000001</v>
      </c>
      <c r="H6308" s="1">
        <v>1</v>
      </c>
      <c r="I6308" s="1">
        <v>-14.4078</v>
      </c>
    </row>
    <row r="6309" spans="1:9" x14ac:dyDescent="0.35">
      <c r="A6309" s="3">
        <v>42471</v>
      </c>
      <c r="B6309" s="1" t="s">
        <v>2714</v>
      </c>
      <c r="C6309" s="1" t="s">
        <v>2991</v>
      </c>
      <c r="D6309" s="1" t="s">
        <v>212</v>
      </c>
      <c r="E6309" s="1" t="s">
        <v>44</v>
      </c>
      <c r="F6309" s="2" t="s">
        <v>2786</v>
      </c>
      <c r="G6309" s="1">
        <v>47.951999999999998</v>
      </c>
      <c r="H6309" s="1">
        <v>3</v>
      </c>
      <c r="I6309" s="1">
        <v>16.783200000000001</v>
      </c>
    </row>
    <row r="6310" spans="1:9" x14ac:dyDescent="0.35">
      <c r="A6310" s="3">
        <v>42471</v>
      </c>
      <c r="B6310" s="1" t="s">
        <v>2714</v>
      </c>
      <c r="C6310" s="1" t="s">
        <v>2991</v>
      </c>
      <c r="D6310" s="1" t="s">
        <v>212</v>
      </c>
      <c r="E6310" s="1" t="s">
        <v>14</v>
      </c>
      <c r="F6310" s="2" t="s">
        <v>2715</v>
      </c>
      <c r="G6310" s="1">
        <v>650.35199999999998</v>
      </c>
      <c r="H6310" s="1">
        <v>3</v>
      </c>
      <c r="I6310" s="1">
        <v>-97.552800000000005</v>
      </c>
    </row>
    <row r="6311" spans="1:9" x14ac:dyDescent="0.35">
      <c r="A6311" s="3">
        <v>42471</v>
      </c>
      <c r="B6311" s="1" t="s">
        <v>2714</v>
      </c>
      <c r="C6311" s="1" t="s">
        <v>2991</v>
      </c>
      <c r="D6311" s="1" t="s">
        <v>212</v>
      </c>
      <c r="E6311" s="1" t="s">
        <v>19</v>
      </c>
      <c r="F6311" s="2" t="s">
        <v>907</v>
      </c>
      <c r="G6311" s="1">
        <v>629.18399999999997</v>
      </c>
      <c r="H6311" s="1">
        <v>8</v>
      </c>
      <c r="I6311" s="1">
        <v>228.07919999999999</v>
      </c>
    </row>
    <row r="6312" spans="1:9" x14ac:dyDescent="0.35">
      <c r="A6312" s="3">
        <v>42471</v>
      </c>
      <c r="B6312" s="1" t="s">
        <v>2714</v>
      </c>
      <c r="C6312" s="1" t="s">
        <v>2991</v>
      </c>
      <c r="D6312" s="1" t="s">
        <v>212</v>
      </c>
      <c r="E6312" s="1" t="s">
        <v>44</v>
      </c>
      <c r="F6312" s="2" t="s">
        <v>1126</v>
      </c>
      <c r="G6312" s="1">
        <v>15.176</v>
      </c>
      <c r="H6312" s="1">
        <v>1</v>
      </c>
      <c r="I6312" s="1">
        <v>5.3116000000000003</v>
      </c>
    </row>
    <row r="6313" spans="1:9" x14ac:dyDescent="0.35">
      <c r="A6313" s="3">
        <v>41952</v>
      </c>
      <c r="B6313" s="1" t="s">
        <v>2832</v>
      </c>
      <c r="C6313" s="1" t="s">
        <v>2992</v>
      </c>
      <c r="D6313" s="1" t="s">
        <v>18</v>
      </c>
      <c r="E6313" s="1" t="s">
        <v>29</v>
      </c>
      <c r="F6313" s="2" t="s">
        <v>231</v>
      </c>
      <c r="G6313" s="1">
        <v>127.95</v>
      </c>
      <c r="H6313" s="1">
        <v>3</v>
      </c>
      <c r="I6313" s="1">
        <v>21.7515</v>
      </c>
    </row>
    <row r="6314" spans="1:9" x14ac:dyDescent="0.35">
      <c r="A6314" s="3" t="s">
        <v>3448</v>
      </c>
      <c r="B6314" s="1" t="s">
        <v>937</v>
      </c>
      <c r="C6314" s="1" t="s">
        <v>367</v>
      </c>
      <c r="D6314" s="1" t="s">
        <v>368</v>
      </c>
      <c r="E6314" s="1" t="s">
        <v>26</v>
      </c>
      <c r="F6314" s="2" t="s">
        <v>2769</v>
      </c>
      <c r="G6314" s="1">
        <v>579.51</v>
      </c>
      <c r="H6314" s="1">
        <v>3</v>
      </c>
      <c r="I6314" s="1">
        <v>81.131399999999999</v>
      </c>
    </row>
    <row r="6315" spans="1:9" x14ac:dyDescent="0.35">
      <c r="A6315" s="3" t="s">
        <v>3448</v>
      </c>
      <c r="B6315" s="1" t="s">
        <v>937</v>
      </c>
      <c r="C6315" s="1" t="s">
        <v>367</v>
      </c>
      <c r="D6315" s="1" t="s">
        <v>368</v>
      </c>
      <c r="E6315" s="1" t="s">
        <v>33</v>
      </c>
      <c r="F6315" s="2" t="s">
        <v>2064</v>
      </c>
      <c r="G6315" s="1">
        <v>14.99</v>
      </c>
      <c r="H6315" s="1">
        <v>1</v>
      </c>
      <c r="I6315" s="1">
        <v>7.3451000000000004</v>
      </c>
    </row>
    <row r="6316" spans="1:9" x14ac:dyDescent="0.35">
      <c r="A6316" s="3" t="s">
        <v>3459</v>
      </c>
      <c r="B6316" s="1" t="s">
        <v>937</v>
      </c>
      <c r="C6316" s="1" t="s">
        <v>167</v>
      </c>
      <c r="D6316" s="1" t="s">
        <v>120</v>
      </c>
      <c r="E6316" s="1" t="s">
        <v>31</v>
      </c>
      <c r="F6316" s="2" t="s">
        <v>246</v>
      </c>
      <c r="G6316" s="1">
        <v>151.91999999999999</v>
      </c>
      <c r="H6316" s="1">
        <v>4</v>
      </c>
      <c r="I6316" s="1">
        <v>45.576000000000001</v>
      </c>
    </row>
    <row r="6317" spans="1:9" x14ac:dyDescent="0.35">
      <c r="A6317" s="3" t="s">
        <v>3459</v>
      </c>
      <c r="B6317" s="1" t="s">
        <v>937</v>
      </c>
      <c r="C6317" s="1" t="s">
        <v>167</v>
      </c>
      <c r="D6317" s="1" t="s">
        <v>120</v>
      </c>
      <c r="E6317" s="1" t="s">
        <v>19</v>
      </c>
      <c r="F6317" s="2" t="s">
        <v>907</v>
      </c>
      <c r="G6317" s="1">
        <v>196.62</v>
      </c>
      <c r="H6317" s="1">
        <v>2</v>
      </c>
      <c r="I6317" s="1">
        <v>96.343800000000002</v>
      </c>
    </row>
    <row r="6318" spans="1:9" x14ac:dyDescent="0.35">
      <c r="A6318" s="3" t="s">
        <v>3459</v>
      </c>
      <c r="B6318" s="1" t="s">
        <v>937</v>
      </c>
      <c r="C6318" s="1" t="s">
        <v>167</v>
      </c>
      <c r="D6318" s="1" t="s">
        <v>120</v>
      </c>
      <c r="E6318" s="1" t="s">
        <v>44</v>
      </c>
      <c r="F6318" s="2" t="s">
        <v>2341</v>
      </c>
      <c r="G6318" s="1">
        <v>144.12</v>
      </c>
      <c r="H6318" s="1">
        <v>3</v>
      </c>
      <c r="I6318" s="1">
        <v>69.177599999999998</v>
      </c>
    </row>
    <row r="6319" spans="1:9" x14ac:dyDescent="0.35">
      <c r="A6319" s="3" t="s">
        <v>3459</v>
      </c>
      <c r="B6319" s="1" t="s">
        <v>937</v>
      </c>
      <c r="C6319" s="1" t="s">
        <v>167</v>
      </c>
      <c r="D6319" s="1" t="s">
        <v>120</v>
      </c>
      <c r="E6319" s="1" t="s">
        <v>44</v>
      </c>
      <c r="F6319" s="2" t="s">
        <v>456</v>
      </c>
      <c r="G6319" s="1">
        <v>15.96</v>
      </c>
      <c r="H6319" s="1">
        <v>2</v>
      </c>
      <c r="I6319" s="1">
        <v>7.98</v>
      </c>
    </row>
    <row r="6320" spans="1:9" x14ac:dyDescent="0.35">
      <c r="A6320" s="3" t="s">
        <v>3462</v>
      </c>
      <c r="B6320" s="1" t="s">
        <v>1753</v>
      </c>
      <c r="C6320" s="1" t="s">
        <v>1734</v>
      </c>
      <c r="D6320" s="1" t="s">
        <v>18</v>
      </c>
      <c r="E6320" s="1" t="s">
        <v>33</v>
      </c>
      <c r="F6320" s="2" t="s">
        <v>2597</v>
      </c>
      <c r="G6320" s="1">
        <v>39.96</v>
      </c>
      <c r="H6320" s="1">
        <v>5</v>
      </c>
      <c r="I6320" s="1">
        <v>3.4965000000000002</v>
      </c>
    </row>
    <row r="6321" spans="1:9" x14ac:dyDescent="0.35">
      <c r="A6321" s="3" t="s">
        <v>3462</v>
      </c>
      <c r="B6321" s="1" t="s">
        <v>1753</v>
      </c>
      <c r="C6321" s="1" t="s">
        <v>1734</v>
      </c>
      <c r="D6321" s="1" t="s">
        <v>18</v>
      </c>
      <c r="E6321" s="1" t="s">
        <v>44</v>
      </c>
      <c r="F6321" s="2" t="s">
        <v>998</v>
      </c>
      <c r="G6321" s="1">
        <v>34.08</v>
      </c>
      <c r="H6321" s="1">
        <v>6</v>
      </c>
      <c r="I6321" s="1">
        <v>15.336</v>
      </c>
    </row>
    <row r="6322" spans="1:9" x14ac:dyDescent="0.35">
      <c r="A6322" s="3" t="s">
        <v>3554</v>
      </c>
      <c r="B6322" s="1" t="s">
        <v>553</v>
      </c>
      <c r="C6322" s="1" t="s">
        <v>719</v>
      </c>
      <c r="D6322" s="1" t="s">
        <v>23</v>
      </c>
      <c r="E6322" s="1" t="s">
        <v>44</v>
      </c>
      <c r="F6322" s="2" t="s">
        <v>1033</v>
      </c>
      <c r="G6322" s="1">
        <v>10.368</v>
      </c>
      <c r="H6322" s="1">
        <v>2</v>
      </c>
      <c r="I6322" s="1">
        <v>3.6288</v>
      </c>
    </row>
    <row r="6323" spans="1:9" x14ac:dyDescent="0.35">
      <c r="A6323" s="3" t="s">
        <v>3662</v>
      </c>
      <c r="B6323" s="1" t="s">
        <v>989</v>
      </c>
      <c r="C6323" s="1" t="s">
        <v>1042</v>
      </c>
      <c r="D6323" s="1" t="s">
        <v>136</v>
      </c>
      <c r="E6323" s="1" t="s">
        <v>35</v>
      </c>
      <c r="F6323" s="2" t="s">
        <v>905</v>
      </c>
      <c r="G6323" s="1">
        <v>7.7519999999999998</v>
      </c>
      <c r="H6323" s="1">
        <v>3</v>
      </c>
      <c r="I6323" s="1">
        <v>2.8100999999999998</v>
      </c>
    </row>
    <row r="6324" spans="1:9" x14ac:dyDescent="0.35">
      <c r="A6324" s="3">
        <v>41704</v>
      </c>
      <c r="B6324" s="1" t="s">
        <v>714</v>
      </c>
      <c r="C6324" s="1" t="s">
        <v>2157</v>
      </c>
      <c r="D6324" s="1" t="s">
        <v>120</v>
      </c>
      <c r="E6324" s="1" t="s">
        <v>87</v>
      </c>
      <c r="F6324" s="2" t="s">
        <v>1159</v>
      </c>
      <c r="G6324" s="1">
        <v>15.28</v>
      </c>
      <c r="H6324" s="1">
        <v>2</v>
      </c>
      <c r="I6324" s="1">
        <v>7.4871999999999996</v>
      </c>
    </row>
    <row r="6325" spans="1:9" x14ac:dyDescent="0.35">
      <c r="A6325" s="3" t="s">
        <v>3714</v>
      </c>
      <c r="B6325" s="1" t="s">
        <v>1964</v>
      </c>
      <c r="C6325" s="1" t="s">
        <v>303</v>
      </c>
      <c r="D6325" s="1" t="s">
        <v>124</v>
      </c>
      <c r="E6325" s="1" t="s">
        <v>338</v>
      </c>
      <c r="F6325" s="2" t="s">
        <v>2890</v>
      </c>
      <c r="G6325" s="1">
        <v>65.97</v>
      </c>
      <c r="H6325" s="1">
        <v>3</v>
      </c>
      <c r="I6325" s="1">
        <v>31.0059</v>
      </c>
    </row>
    <row r="6326" spans="1:9" x14ac:dyDescent="0.35">
      <c r="A6326" s="3" t="s">
        <v>3715</v>
      </c>
      <c r="B6326" s="1" t="s">
        <v>930</v>
      </c>
      <c r="C6326" s="1" t="s">
        <v>64</v>
      </c>
      <c r="D6326" s="1" t="s">
        <v>18</v>
      </c>
      <c r="E6326" s="1" t="s">
        <v>44</v>
      </c>
      <c r="F6326" s="2" t="s">
        <v>865</v>
      </c>
      <c r="G6326" s="1">
        <v>33.4</v>
      </c>
      <c r="H6326" s="1">
        <v>5</v>
      </c>
      <c r="I6326" s="1">
        <v>16.032</v>
      </c>
    </row>
    <row r="6327" spans="1:9" x14ac:dyDescent="0.35">
      <c r="A6327" s="3" t="s">
        <v>3715</v>
      </c>
      <c r="B6327" s="1" t="s">
        <v>930</v>
      </c>
      <c r="C6327" s="1" t="s">
        <v>64</v>
      </c>
      <c r="D6327" s="1" t="s">
        <v>18</v>
      </c>
      <c r="E6327" s="1" t="s">
        <v>87</v>
      </c>
      <c r="F6327" s="2" t="s">
        <v>798</v>
      </c>
      <c r="G6327" s="1">
        <v>210.84</v>
      </c>
      <c r="H6327" s="1">
        <v>4</v>
      </c>
      <c r="I6327" s="1">
        <v>103.3116</v>
      </c>
    </row>
    <row r="6328" spans="1:9" x14ac:dyDescent="0.35">
      <c r="A6328" s="3" t="s">
        <v>3674</v>
      </c>
      <c r="B6328" s="1" t="s">
        <v>774</v>
      </c>
      <c r="C6328" s="1" t="s">
        <v>119</v>
      </c>
      <c r="D6328" s="1" t="s">
        <v>120</v>
      </c>
      <c r="E6328" s="1" t="s">
        <v>26</v>
      </c>
      <c r="F6328" s="2" t="s">
        <v>27</v>
      </c>
      <c r="G6328" s="1">
        <v>13.98</v>
      </c>
      <c r="H6328" s="1">
        <v>1</v>
      </c>
      <c r="I6328" s="1">
        <v>4.0541999999999998</v>
      </c>
    </row>
    <row r="6329" spans="1:9" x14ac:dyDescent="0.35">
      <c r="A6329" s="3" t="s">
        <v>3674</v>
      </c>
      <c r="B6329" s="1" t="s">
        <v>774</v>
      </c>
      <c r="C6329" s="1" t="s">
        <v>119</v>
      </c>
      <c r="D6329" s="1" t="s">
        <v>120</v>
      </c>
      <c r="E6329" s="1" t="s">
        <v>29</v>
      </c>
      <c r="F6329" s="2" t="s">
        <v>521</v>
      </c>
      <c r="G6329" s="1">
        <v>272.94</v>
      </c>
      <c r="H6329" s="1">
        <v>3</v>
      </c>
      <c r="I6329" s="1">
        <v>30.023399999999999</v>
      </c>
    </row>
    <row r="6330" spans="1:9" x14ac:dyDescent="0.35">
      <c r="A6330" s="3" t="s">
        <v>3674</v>
      </c>
      <c r="B6330" s="1" t="s">
        <v>774</v>
      </c>
      <c r="C6330" s="1" t="s">
        <v>119</v>
      </c>
      <c r="D6330" s="1" t="s">
        <v>120</v>
      </c>
      <c r="E6330" s="1" t="s">
        <v>35</v>
      </c>
      <c r="F6330" s="2" t="s">
        <v>953</v>
      </c>
      <c r="G6330" s="1">
        <v>19.05</v>
      </c>
      <c r="H6330" s="1">
        <v>5</v>
      </c>
      <c r="I6330" s="1">
        <v>8.9535</v>
      </c>
    </row>
    <row r="6331" spans="1:9" x14ac:dyDescent="0.35">
      <c r="A6331" s="3" t="s">
        <v>3674</v>
      </c>
      <c r="B6331" s="1" t="s">
        <v>774</v>
      </c>
      <c r="C6331" s="1" t="s">
        <v>119</v>
      </c>
      <c r="D6331" s="1" t="s">
        <v>120</v>
      </c>
      <c r="E6331" s="1" t="s">
        <v>37</v>
      </c>
      <c r="F6331" s="2" t="s">
        <v>53</v>
      </c>
      <c r="G6331" s="1">
        <v>247.71600000000001</v>
      </c>
      <c r="H6331" s="1">
        <v>4</v>
      </c>
      <c r="I6331" s="1">
        <v>93.581599999999995</v>
      </c>
    </row>
    <row r="6332" spans="1:9" x14ac:dyDescent="0.35">
      <c r="A6332" s="3" t="s">
        <v>3674</v>
      </c>
      <c r="B6332" s="1" t="s">
        <v>774</v>
      </c>
      <c r="C6332" s="1" t="s">
        <v>119</v>
      </c>
      <c r="D6332" s="1" t="s">
        <v>120</v>
      </c>
      <c r="E6332" s="1" t="s">
        <v>26</v>
      </c>
      <c r="F6332" s="2" t="s">
        <v>2144</v>
      </c>
      <c r="G6332" s="1">
        <v>66.58</v>
      </c>
      <c r="H6332" s="1">
        <v>2</v>
      </c>
      <c r="I6332" s="1">
        <v>15.979200000000001</v>
      </c>
    </row>
    <row r="6333" spans="1:9" x14ac:dyDescent="0.35">
      <c r="A6333" s="3" t="s">
        <v>3674</v>
      </c>
      <c r="B6333" s="1" t="s">
        <v>774</v>
      </c>
      <c r="C6333" s="1" t="s">
        <v>119</v>
      </c>
      <c r="D6333" s="1" t="s">
        <v>120</v>
      </c>
      <c r="E6333" s="1" t="s">
        <v>31</v>
      </c>
      <c r="F6333" s="2" t="s">
        <v>1785</v>
      </c>
      <c r="G6333" s="1">
        <v>43.92</v>
      </c>
      <c r="H6333" s="1">
        <v>3</v>
      </c>
      <c r="I6333" s="1">
        <v>12.736800000000001</v>
      </c>
    </row>
    <row r="6334" spans="1:9" x14ac:dyDescent="0.35">
      <c r="A6334" s="3" t="s">
        <v>3674</v>
      </c>
      <c r="B6334" s="1" t="s">
        <v>774</v>
      </c>
      <c r="C6334" s="1" t="s">
        <v>119</v>
      </c>
      <c r="D6334" s="1" t="s">
        <v>120</v>
      </c>
      <c r="E6334" s="1" t="s">
        <v>29</v>
      </c>
      <c r="F6334" s="2" t="s">
        <v>1477</v>
      </c>
      <c r="G6334" s="1">
        <v>14.73</v>
      </c>
      <c r="H6334" s="1">
        <v>3</v>
      </c>
      <c r="I6334" s="1">
        <v>4.8609</v>
      </c>
    </row>
    <row r="6335" spans="1:9" x14ac:dyDescent="0.35">
      <c r="A6335" s="3" t="s">
        <v>3674</v>
      </c>
      <c r="B6335" s="1" t="s">
        <v>774</v>
      </c>
      <c r="C6335" s="1" t="s">
        <v>119</v>
      </c>
      <c r="D6335" s="1" t="s">
        <v>120</v>
      </c>
      <c r="E6335" s="1" t="s">
        <v>35</v>
      </c>
      <c r="F6335" s="2" t="s">
        <v>578</v>
      </c>
      <c r="G6335" s="1">
        <v>29.7</v>
      </c>
      <c r="H6335" s="1">
        <v>5</v>
      </c>
      <c r="I6335" s="1">
        <v>13.365</v>
      </c>
    </row>
    <row r="6336" spans="1:9" x14ac:dyDescent="0.35">
      <c r="A6336" s="3">
        <v>41950</v>
      </c>
      <c r="B6336" s="1" t="s">
        <v>2567</v>
      </c>
      <c r="C6336" s="1" t="s">
        <v>135</v>
      </c>
      <c r="D6336" s="1" t="s">
        <v>136</v>
      </c>
      <c r="E6336" s="1" t="s">
        <v>44</v>
      </c>
      <c r="F6336" s="2" t="s">
        <v>595</v>
      </c>
      <c r="G6336" s="1">
        <v>49.12</v>
      </c>
      <c r="H6336" s="1">
        <v>4</v>
      </c>
      <c r="I6336" s="1">
        <v>23.086400000000001</v>
      </c>
    </row>
    <row r="6337" spans="1:9" x14ac:dyDescent="0.35">
      <c r="A6337" s="3">
        <v>41950</v>
      </c>
      <c r="B6337" s="1" t="s">
        <v>2567</v>
      </c>
      <c r="C6337" s="1" t="s">
        <v>135</v>
      </c>
      <c r="D6337" s="1" t="s">
        <v>136</v>
      </c>
      <c r="E6337" s="1" t="s">
        <v>35</v>
      </c>
      <c r="F6337" s="2" t="s">
        <v>1990</v>
      </c>
      <c r="G6337" s="1">
        <v>18.28</v>
      </c>
      <c r="H6337" s="1">
        <v>5</v>
      </c>
      <c r="I6337" s="1">
        <v>6.3979999999999997</v>
      </c>
    </row>
    <row r="6338" spans="1:9" x14ac:dyDescent="0.35">
      <c r="A6338" s="3" t="s">
        <v>3716</v>
      </c>
      <c r="B6338" s="1" t="s">
        <v>2521</v>
      </c>
      <c r="C6338" s="1" t="s">
        <v>17</v>
      </c>
      <c r="D6338" s="1" t="s">
        <v>18</v>
      </c>
      <c r="E6338" s="1" t="s">
        <v>29</v>
      </c>
      <c r="F6338" s="2" t="s">
        <v>2545</v>
      </c>
      <c r="G6338" s="1">
        <v>47.04</v>
      </c>
      <c r="H6338" s="1">
        <v>4</v>
      </c>
      <c r="I6338" s="1">
        <v>15.993600000000001</v>
      </c>
    </row>
    <row r="6339" spans="1:9" x14ac:dyDescent="0.35">
      <c r="A6339" s="3" t="s">
        <v>3716</v>
      </c>
      <c r="B6339" s="1" t="s">
        <v>2521</v>
      </c>
      <c r="C6339" s="1" t="s">
        <v>17</v>
      </c>
      <c r="D6339" s="1" t="s">
        <v>18</v>
      </c>
      <c r="E6339" s="1" t="s">
        <v>33</v>
      </c>
      <c r="F6339" s="2" t="s">
        <v>2487</v>
      </c>
      <c r="G6339" s="1">
        <v>339.96</v>
      </c>
      <c r="H6339" s="1">
        <v>5</v>
      </c>
      <c r="I6339" s="1">
        <v>42.494999999999997</v>
      </c>
    </row>
    <row r="6340" spans="1:9" x14ac:dyDescent="0.35">
      <c r="A6340" s="3">
        <v>42865</v>
      </c>
      <c r="B6340" s="1" t="s">
        <v>1705</v>
      </c>
      <c r="C6340" s="1" t="s">
        <v>135</v>
      </c>
      <c r="D6340" s="1" t="s">
        <v>136</v>
      </c>
      <c r="E6340" s="1" t="s">
        <v>33</v>
      </c>
      <c r="F6340" s="2" t="s">
        <v>2516</v>
      </c>
      <c r="G6340" s="1">
        <v>87.8</v>
      </c>
      <c r="H6340" s="1">
        <v>4</v>
      </c>
      <c r="I6340" s="1">
        <v>43.9</v>
      </c>
    </row>
    <row r="6341" spans="1:9" x14ac:dyDescent="0.35">
      <c r="A6341" s="3">
        <v>42865</v>
      </c>
      <c r="B6341" s="1" t="s">
        <v>1705</v>
      </c>
      <c r="C6341" s="1" t="s">
        <v>135</v>
      </c>
      <c r="D6341" s="1" t="s">
        <v>136</v>
      </c>
      <c r="E6341" s="1" t="s">
        <v>14</v>
      </c>
      <c r="F6341" s="2" t="s">
        <v>1386</v>
      </c>
      <c r="G6341" s="1">
        <v>221.38200000000001</v>
      </c>
      <c r="H6341" s="1">
        <v>2</v>
      </c>
      <c r="I6341" s="1">
        <v>2.4598</v>
      </c>
    </row>
    <row r="6342" spans="1:9" x14ac:dyDescent="0.35">
      <c r="A6342" s="3">
        <v>42865</v>
      </c>
      <c r="B6342" s="1" t="s">
        <v>1705</v>
      </c>
      <c r="C6342" s="1" t="s">
        <v>135</v>
      </c>
      <c r="D6342" s="1" t="s">
        <v>136</v>
      </c>
      <c r="E6342" s="1" t="s">
        <v>338</v>
      </c>
      <c r="F6342" s="2" t="s">
        <v>2740</v>
      </c>
      <c r="G6342" s="1">
        <v>5199.96</v>
      </c>
      <c r="H6342" s="1">
        <v>4</v>
      </c>
      <c r="I6342" s="1">
        <v>1351.9896000000001</v>
      </c>
    </row>
    <row r="6343" spans="1:9" x14ac:dyDescent="0.35">
      <c r="A6343" s="3" t="s">
        <v>3263</v>
      </c>
      <c r="B6343" s="1" t="s">
        <v>1964</v>
      </c>
      <c r="C6343" s="1" t="s">
        <v>1114</v>
      </c>
      <c r="D6343" s="1" t="s">
        <v>250</v>
      </c>
      <c r="E6343" s="1" t="s">
        <v>26</v>
      </c>
      <c r="F6343" s="2" t="s">
        <v>1939</v>
      </c>
      <c r="G6343" s="1">
        <v>156.512</v>
      </c>
      <c r="H6343" s="1">
        <v>4</v>
      </c>
      <c r="I6343" s="1">
        <v>-35.215200000000003</v>
      </c>
    </row>
    <row r="6344" spans="1:9" x14ac:dyDescent="0.35">
      <c r="A6344" s="3">
        <v>42188</v>
      </c>
      <c r="B6344" s="1" t="s">
        <v>2421</v>
      </c>
      <c r="C6344" s="1" t="s">
        <v>303</v>
      </c>
      <c r="D6344" s="1" t="s">
        <v>124</v>
      </c>
      <c r="E6344" s="1" t="s">
        <v>81</v>
      </c>
      <c r="F6344" s="2" t="s">
        <v>479</v>
      </c>
      <c r="G6344" s="1">
        <v>119.85</v>
      </c>
      <c r="H6344" s="1">
        <v>3</v>
      </c>
      <c r="I6344" s="1">
        <v>52.734000000000002</v>
      </c>
    </row>
    <row r="6345" spans="1:9" x14ac:dyDescent="0.35">
      <c r="A6345" s="3">
        <v>42188</v>
      </c>
      <c r="B6345" s="1" t="s">
        <v>2421</v>
      </c>
      <c r="C6345" s="1" t="s">
        <v>303</v>
      </c>
      <c r="D6345" s="1" t="s">
        <v>124</v>
      </c>
      <c r="E6345" s="1" t="s">
        <v>35</v>
      </c>
      <c r="F6345" s="2" t="s">
        <v>633</v>
      </c>
      <c r="G6345" s="1">
        <v>30.44</v>
      </c>
      <c r="H6345" s="1">
        <v>2</v>
      </c>
      <c r="I6345" s="1">
        <v>14.9156</v>
      </c>
    </row>
    <row r="6346" spans="1:9" x14ac:dyDescent="0.35">
      <c r="A6346" s="3">
        <v>42188</v>
      </c>
      <c r="B6346" s="1" t="s">
        <v>2421</v>
      </c>
      <c r="C6346" s="1" t="s">
        <v>303</v>
      </c>
      <c r="D6346" s="1" t="s">
        <v>124</v>
      </c>
      <c r="E6346" s="1" t="s">
        <v>35</v>
      </c>
      <c r="F6346" s="2" t="s">
        <v>1678</v>
      </c>
      <c r="G6346" s="1">
        <v>69.28</v>
      </c>
      <c r="H6346" s="1">
        <v>2</v>
      </c>
      <c r="I6346" s="1">
        <v>33.254399999999997</v>
      </c>
    </row>
    <row r="6347" spans="1:9" x14ac:dyDescent="0.35">
      <c r="A6347" s="3">
        <v>42188</v>
      </c>
      <c r="B6347" s="1" t="s">
        <v>2421</v>
      </c>
      <c r="C6347" s="1" t="s">
        <v>303</v>
      </c>
      <c r="D6347" s="1" t="s">
        <v>124</v>
      </c>
      <c r="E6347" s="1" t="s">
        <v>33</v>
      </c>
      <c r="F6347" s="2" t="s">
        <v>2669</v>
      </c>
      <c r="G6347" s="1">
        <v>587.97</v>
      </c>
      <c r="H6347" s="1">
        <v>3</v>
      </c>
      <c r="I6347" s="1">
        <v>170.51130000000001</v>
      </c>
    </row>
    <row r="6348" spans="1:9" x14ac:dyDescent="0.35">
      <c r="A6348" s="3" t="s">
        <v>3259</v>
      </c>
      <c r="B6348" s="1" t="s">
        <v>221</v>
      </c>
      <c r="C6348" s="1" t="s">
        <v>135</v>
      </c>
      <c r="D6348" s="1" t="s">
        <v>136</v>
      </c>
      <c r="E6348" s="1" t="s">
        <v>19</v>
      </c>
      <c r="F6348" s="2" t="s">
        <v>1872</v>
      </c>
      <c r="G6348" s="1">
        <v>24.55</v>
      </c>
      <c r="H6348" s="1">
        <v>5</v>
      </c>
      <c r="I6348" s="1">
        <v>12.029500000000001</v>
      </c>
    </row>
    <row r="6349" spans="1:9" x14ac:dyDescent="0.35">
      <c r="A6349" s="3">
        <v>42009</v>
      </c>
      <c r="B6349" s="1" t="s">
        <v>567</v>
      </c>
      <c r="C6349" s="1" t="s">
        <v>64</v>
      </c>
      <c r="D6349" s="1" t="s">
        <v>18</v>
      </c>
      <c r="E6349" s="1" t="s">
        <v>35</v>
      </c>
      <c r="F6349" s="2" t="s">
        <v>633</v>
      </c>
      <c r="G6349" s="1">
        <v>12.176</v>
      </c>
      <c r="H6349" s="1">
        <v>1</v>
      </c>
      <c r="I6349" s="1">
        <v>4.4138000000000002</v>
      </c>
    </row>
    <row r="6350" spans="1:9" x14ac:dyDescent="0.35">
      <c r="A6350" s="3">
        <v>42009</v>
      </c>
      <c r="B6350" s="1" t="s">
        <v>567</v>
      </c>
      <c r="C6350" s="1" t="s">
        <v>64</v>
      </c>
      <c r="D6350" s="1" t="s">
        <v>18</v>
      </c>
      <c r="E6350" s="1" t="s">
        <v>26</v>
      </c>
      <c r="F6350" s="2" t="s">
        <v>500</v>
      </c>
      <c r="G6350" s="1">
        <v>37.32</v>
      </c>
      <c r="H6350" s="1">
        <v>3</v>
      </c>
      <c r="I6350" s="1">
        <v>10.4496</v>
      </c>
    </row>
    <row r="6351" spans="1:9" x14ac:dyDescent="0.35">
      <c r="A6351" s="3">
        <v>42009</v>
      </c>
      <c r="B6351" s="1" t="s">
        <v>567</v>
      </c>
      <c r="C6351" s="1" t="s">
        <v>64</v>
      </c>
      <c r="D6351" s="1" t="s">
        <v>18</v>
      </c>
      <c r="E6351" s="1" t="s">
        <v>289</v>
      </c>
      <c r="F6351" s="2" t="s">
        <v>666</v>
      </c>
      <c r="G6351" s="1">
        <v>35.06</v>
      </c>
      <c r="H6351" s="1">
        <v>2</v>
      </c>
      <c r="I6351" s="1">
        <v>10.518000000000001</v>
      </c>
    </row>
    <row r="6352" spans="1:9" x14ac:dyDescent="0.35">
      <c r="A6352" s="3">
        <v>42803</v>
      </c>
      <c r="B6352" s="1" t="s">
        <v>620</v>
      </c>
      <c r="C6352" s="1" t="s">
        <v>399</v>
      </c>
      <c r="D6352" s="1" t="s">
        <v>52</v>
      </c>
      <c r="E6352" s="1" t="s">
        <v>29</v>
      </c>
      <c r="F6352" s="2" t="s">
        <v>1361</v>
      </c>
      <c r="G6352" s="1">
        <v>108.4</v>
      </c>
      <c r="H6352" s="1">
        <v>5</v>
      </c>
      <c r="I6352" s="1">
        <v>-105.69</v>
      </c>
    </row>
    <row r="6353" spans="1:9" x14ac:dyDescent="0.35">
      <c r="A6353" s="3">
        <v>42805</v>
      </c>
      <c r="B6353" s="1" t="s">
        <v>2400</v>
      </c>
      <c r="C6353" s="1" t="s">
        <v>672</v>
      </c>
      <c r="D6353" s="1" t="s">
        <v>23</v>
      </c>
      <c r="E6353" s="1" t="s">
        <v>33</v>
      </c>
      <c r="F6353" s="2" t="s">
        <v>1589</v>
      </c>
      <c r="G6353" s="1">
        <v>361.37599999999998</v>
      </c>
      <c r="H6353" s="1">
        <v>2</v>
      </c>
      <c r="I6353" s="1">
        <v>27.103200000000001</v>
      </c>
    </row>
    <row r="6354" spans="1:9" x14ac:dyDescent="0.35">
      <c r="A6354" s="3" t="s">
        <v>3620</v>
      </c>
      <c r="B6354" s="1" t="s">
        <v>2403</v>
      </c>
      <c r="C6354" s="1" t="s">
        <v>74</v>
      </c>
      <c r="D6354" s="1" t="s">
        <v>75</v>
      </c>
      <c r="E6354" s="1" t="s">
        <v>35</v>
      </c>
      <c r="F6354" s="2" t="s">
        <v>2032</v>
      </c>
      <c r="G6354" s="1">
        <v>2.4119999999999999</v>
      </c>
      <c r="H6354" s="1">
        <v>1</v>
      </c>
      <c r="I6354" s="1">
        <v>-2.0099999999999998</v>
      </c>
    </row>
    <row r="6355" spans="1:9" x14ac:dyDescent="0.35">
      <c r="A6355" s="3">
        <v>42164</v>
      </c>
      <c r="B6355" s="1" t="s">
        <v>156</v>
      </c>
      <c r="C6355" s="1" t="s">
        <v>135</v>
      </c>
      <c r="D6355" s="1" t="s">
        <v>136</v>
      </c>
      <c r="E6355" s="1" t="s">
        <v>37</v>
      </c>
      <c r="F6355" s="2" t="s">
        <v>2681</v>
      </c>
      <c r="G6355" s="1">
        <v>8.39</v>
      </c>
      <c r="H6355" s="1">
        <v>1</v>
      </c>
      <c r="I6355" s="1">
        <v>2.0975000000000001</v>
      </c>
    </row>
    <row r="6356" spans="1:9" x14ac:dyDescent="0.35">
      <c r="A6356" s="3">
        <v>42164</v>
      </c>
      <c r="B6356" s="1" t="s">
        <v>156</v>
      </c>
      <c r="C6356" s="1" t="s">
        <v>135</v>
      </c>
      <c r="D6356" s="1" t="s">
        <v>136</v>
      </c>
      <c r="E6356" s="1" t="s">
        <v>33</v>
      </c>
      <c r="F6356" s="2" t="s">
        <v>1647</v>
      </c>
      <c r="G6356" s="1">
        <v>337.98</v>
      </c>
      <c r="H6356" s="1">
        <v>2</v>
      </c>
      <c r="I6356" s="1">
        <v>101.39400000000001</v>
      </c>
    </row>
    <row r="6357" spans="1:9" x14ac:dyDescent="0.35">
      <c r="A6357" s="3">
        <v>41800</v>
      </c>
      <c r="B6357" s="1" t="s">
        <v>1994</v>
      </c>
      <c r="C6357" s="1" t="s">
        <v>74</v>
      </c>
      <c r="D6357" s="1" t="s">
        <v>75</v>
      </c>
      <c r="E6357" s="1" t="s">
        <v>26</v>
      </c>
      <c r="F6357" s="2" t="s">
        <v>407</v>
      </c>
      <c r="G6357" s="1">
        <v>83.92</v>
      </c>
      <c r="H6357" s="1">
        <v>5</v>
      </c>
      <c r="I6357" s="1">
        <v>-13.637</v>
      </c>
    </row>
    <row r="6358" spans="1:9" x14ac:dyDescent="0.35">
      <c r="A6358" s="3" t="s">
        <v>3717</v>
      </c>
      <c r="B6358" s="1" t="s">
        <v>1092</v>
      </c>
      <c r="C6358" s="1" t="s">
        <v>47</v>
      </c>
      <c r="D6358" s="1" t="s">
        <v>48</v>
      </c>
      <c r="E6358" s="1" t="s">
        <v>35</v>
      </c>
      <c r="F6358" s="2" t="s">
        <v>1962</v>
      </c>
      <c r="G6358" s="1">
        <v>19.68</v>
      </c>
      <c r="H6358" s="1">
        <v>5</v>
      </c>
      <c r="I6358" s="1">
        <v>6.8879999999999999</v>
      </c>
    </row>
    <row r="6359" spans="1:9" x14ac:dyDescent="0.35">
      <c r="A6359" s="3" t="s">
        <v>3717</v>
      </c>
      <c r="B6359" s="1" t="s">
        <v>1092</v>
      </c>
      <c r="C6359" s="1" t="s">
        <v>47</v>
      </c>
      <c r="D6359" s="1" t="s">
        <v>48</v>
      </c>
      <c r="E6359" s="1" t="s">
        <v>44</v>
      </c>
      <c r="F6359" s="2" t="s">
        <v>1289</v>
      </c>
      <c r="G6359" s="1">
        <v>25.92</v>
      </c>
      <c r="H6359" s="1">
        <v>4</v>
      </c>
      <c r="I6359" s="1">
        <v>12.441599999999999</v>
      </c>
    </row>
    <row r="6360" spans="1:9" x14ac:dyDescent="0.35">
      <c r="A6360" s="3" t="s">
        <v>3717</v>
      </c>
      <c r="B6360" s="1" t="s">
        <v>1092</v>
      </c>
      <c r="C6360" s="1" t="s">
        <v>47</v>
      </c>
      <c r="D6360" s="1" t="s">
        <v>48</v>
      </c>
      <c r="E6360" s="1" t="s">
        <v>44</v>
      </c>
      <c r="F6360" s="2" t="s">
        <v>1695</v>
      </c>
      <c r="G6360" s="1">
        <v>6.48</v>
      </c>
      <c r="H6360" s="1">
        <v>1</v>
      </c>
      <c r="I6360" s="1">
        <v>3.1103999999999998</v>
      </c>
    </row>
    <row r="6361" spans="1:9" x14ac:dyDescent="0.35">
      <c r="A6361" s="3" t="s">
        <v>3717</v>
      </c>
      <c r="B6361" s="1" t="s">
        <v>1092</v>
      </c>
      <c r="C6361" s="1" t="s">
        <v>47</v>
      </c>
      <c r="D6361" s="1" t="s">
        <v>48</v>
      </c>
      <c r="E6361" s="1" t="s">
        <v>33</v>
      </c>
      <c r="F6361" s="2" t="s">
        <v>2948</v>
      </c>
      <c r="G6361" s="1">
        <v>86.352000000000004</v>
      </c>
      <c r="H6361" s="1">
        <v>6</v>
      </c>
      <c r="I6361" s="1">
        <v>8.6351999999999993</v>
      </c>
    </row>
    <row r="6362" spans="1:9" x14ac:dyDescent="0.35">
      <c r="A6362" s="3">
        <v>42289</v>
      </c>
      <c r="B6362" s="1" t="s">
        <v>2901</v>
      </c>
      <c r="C6362" s="1" t="s">
        <v>17</v>
      </c>
      <c r="D6362" s="1" t="s">
        <v>18</v>
      </c>
      <c r="E6362" s="1" t="s">
        <v>31</v>
      </c>
      <c r="F6362" s="2" t="s">
        <v>2451</v>
      </c>
      <c r="G6362" s="1">
        <v>56.3</v>
      </c>
      <c r="H6362" s="1">
        <v>2</v>
      </c>
      <c r="I6362" s="1">
        <v>15.763999999999999</v>
      </c>
    </row>
    <row r="6363" spans="1:9" x14ac:dyDescent="0.35">
      <c r="A6363" s="3" t="s">
        <v>3211</v>
      </c>
      <c r="B6363" s="1" t="s">
        <v>1248</v>
      </c>
      <c r="C6363" s="1" t="s">
        <v>162</v>
      </c>
      <c r="D6363" s="1" t="s">
        <v>212</v>
      </c>
      <c r="E6363" s="1" t="s">
        <v>31</v>
      </c>
      <c r="F6363" s="2" t="s">
        <v>2638</v>
      </c>
      <c r="G6363" s="1">
        <v>51.015999999999998</v>
      </c>
      <c r="H6363" s="1">
        <v>7</v>
      </c>
      <c r="I6363" s="1">
        <v>8.2901000000000007</v>
      </c>
    </row>
    <row r="6364" spans="1:9" x14ac:dyDescent="0.35">
      <c r="A6364" s="3" t="s">
        <v>3486</v>
      </c>
      <c r="B6364" s="1" t="s">
        <v>921</v>
      </c>
      <c r="C6364" s="1" t="s">
        <v>2993</v>
      </c>
      <c r="D6364" s="1" t="s">
        <v>48</v>
      </c>
      <c r="E6364" s="1" t="s">
        <v>35</v>
      </c>
      <c r="F6364" s="2" t="s">
        <v>805</v>
      </c>
      <c r="G6364" s="1">
        <v>150.80000000000001</v>
      </c>
      <c r="H6364" s="1">
        <v>5</v>
      </c>
      <c r="I6364" s="1">
        <v>56.55</v>
      </c>
    </row>
    <row r="6365" spans="1:9" x14ac:dyDescent="0.35">
      <c r="A6365" s="3" t="s">
        <v>3486</v>
      </c>
      <c r="B6365" s="1" t="s">
        <v>921</v>
      </c>
      <c r="C6365" s="1" t="s">
        <v>2993</v>
      </c>
      <c r="D6365" s="1" t="s">
        <v>48</v>
      </c>
      <c r="E6365" s="1" t="s">
        <v>338</v>
      </c>
      <c r="F6365" s="2" t="s">
        <v>2994</v>
      </c>
      <c r="G6365" s="1">
        <v>1039.992</v>
      </c>
      <c r="H6365" s="1">
        <v>1</v>
      </c>
      <c r="I6365" s="1">
        <v>103.9992</v>
      </c>
    </row>
    <row r="6366" spans="1:9" x14ac:dyDescent="0.35">
      <c r="A6366" s="3" t="s">
        <v>3486</v>
      </c>
      <c r="B6366" s="1" t="s">
        <v>921</v>
      </c>
      <c r="C6366" s="1" t="s">
        <v>2993</v>
      </c>
      <c r="D6366" s="1" t="s">
        <v>48</v>
      </c>
      <c r="E6366" s="1" t="s">
        <v>44</v>
      </c>
      <c r="F6366" s="2" t="s">
        <v>2869</v>
      </c>
      <c r="G6366" s="1">
        <v>51.84</v>
      </c>
      <c r="H6366" s="1">
        <v>8</v>
      </c>
      <c r="I6366" s="1">
        <v>24.883199999999999</v>
      </c>
    </row>
    <row r="6367" spans="1:9" x14ac:dyDescent="0.35">
      <c r="A6367" s="3">
        <v>42829</v>
      </c>
      <c r="B6367" s="1" t="s">
        <v>1065</v>
      </c>
      <c r="C6367" s="1" t="s">
        <v>135</v>
      </c>
      <c r="D6367" s="1" t="s">
        <v>136</v>
      </c>
      <c r="E6367" s="1" t="s">
        <v>33</v>
      </c>
      <c r="F6367" s="2" t="s">
        <v>2995</v>
      </c>
      <c r="G6367" s="1">
        <v>41.22</v>
      </c>
      <c r="H6367" s="1">
        <v>1</v>
      </c>
      <c r="I6367" s="1">
        <v>11.1294</v>
      </c>
    </row>
    <row r="6368" spans="1:9" x14ac:dyDescent="0.35">
      <c r="A6368" s="3">
        <v>42829</v>
      </c>
      <c r="B6368" s="1" t="s">
        <v>1065</v>
      </c>
      <c r="C6368" s="1" t="s">
        <v>135</v>
      </c>
      <c r="D6368" s="1" t="s">
        <v>136</v>
      </c>
      <c r="E6368" s="1" t="s">
        <v>289</v>
      </c>
      <c r="F6368" s="2" t="s">
        <v>511</v>
      </c>
      <c r="G6368" s="1">
        <v>240.37</v>
      </c>
      <c r="H6368" s="1">
        <v>1</v>
      </c>
      <c r="I6368" s="1">
        <v>7.2111000000000001</v>
      </c>
    </row>
    <row r="6369" spans="1:9" x14ac:dyDescent="0.35">
      <c r="A6369" s="3">
        <v>42829</v>
      </c>
      <c r="B6369" s="1" t="s">
        <v>1065</v>
      </c>
      <c r="C6369" s="1" t="s">
        <v>135</v>
      </c>
      <c r="D6369" s="1" t="s">
        <v>136</v>
      </c>
      <c r="E6369" s="1" t="s">
        <v>33</v>
      </c>
      <c r="F6369" s="2" t="s">
        <v>860</v>
      </c>
      <c r="G6369" s="1">
        <v>119.02</v>
      </c>
      <c r="H6369" s="1">
        <v>2</v>
      </c>
      <c r="I6369" s="1">
        <v>33.325600000000001</v>
      </c>
    </row>
    <row r="6370" spans="1:9" x14ac:dyDescent="0.35">
      <c r="A6370" s="3" t="s">
        <v>3279</v>
      </c>
      <c r="B6370" s="1" t="s">
        <v>782</v>
      </c>
      <c r="C6370" s="1" t="s">
        <v>314</v>
      </c>
      <c r="D6370" s="1" t="s">
        <v>18</v>
      </c>
      <c r="E6370" s="1" t="s">
        <v>35</v>
      </c>
      <c r="F6370" s="2" t="s">
        <v>1983</v>
      </c>
      <c r="G6370" s="1">
        <v>133.12</v>
      </c>
      <c r="H6370" s="1">
        <v>5</v>
      </c>
      <c r="I6370" s="1">
        <v>49.92</v>
      </c>
    </row>
    <row r="6371" spans="1:9" x14ac:dyDescent="0.35">
      <c r="A6371" s="3">
        <v>42439</v>
      </c>
      <c r="B6371" s="1" t="s">
        <v>2714</v>
      </c>
      <c r="C6371" s="1" t="s">
        <v>373</v>
      </c>
      <c r="D6371" s="1" t="s">
        <v>52</v>
      </c>
      <c r="E6371" s="1" t="s">
        <v>29</v>
      </c>
      <c r="F6371" s="2" t="s">
        <v>545</v>
      </c>
      <c r="G6371" s="1">
        <v>38.08</v>
      </c>
      <c r="H6371" s="1">
        <v>5</v>
      </c>
      <c r="I6371" s="1">
        <v>-29.512</v>
      </c>
    </row>
    <row r="6372" spans="1:9" x14ac:dyDescent="0.35">
      <c r="A6372" s="3" t="s">
        <v>3323</v>
      </c>
      <c r="B6372" s="1" t="s">
        <v>1625</v>
      </c>
      <c r="C6372" s="1" t="s">
        <v>135</v>
      </c>
      <c r="D6372" s="1" t="s">
        <v>136</v>
      </c>
      <c r="E6372" s="1" t="s">
        <v>12</v>
      </c>
      <c r="F6372" s="2" t="s">
        <v>2548</v>
      </c>
      <c r="G6372" s="1">
        <v>113.568</v>
      </c>
      <c r="H6372" s="1">
        <v>2</v>
      </c>
      <c r="I6372" s="1">
        <v>12.776400000000001</v>
      </c>
    </row>
    <row r="6373" spans="1:9" x14ac:dyDescent="0.35">
      <c r="A6373" s="3">
        <v>42804</v>
      </c>
      <c r="B6373" s="1" t="s">
        <v>975</v>
      </c>
      <c r="C6373" s="1" t="s">
        <v>135</v>
      </c>
      <c r="D6373" s="1" t="s">
        <v>136</v>
      </c>
      <c r="E6373" s="1" t="s">
        <v>29</v>
      </c>
      <c r="F6373" s="2" t="s">
        <v>242</v>
      </c>
      <c r="G6373" s="1">
        <v>83.92</v>
      </c>
      <c r="H6373" s="1">
        <v>4</v>
      </c>
      <c r="I6373" s="1">
        <v>21.819199999999999</v>
      </c>
    </row>
    <row r="6374" spans="1:9" x14ac:dyDescent="0.35">
      <c r="A6374" s="3">
        <v>42804</v>
      </c>
      <c r="B6374" s="1" t="s">
        <v>975</v>
      </c>
      <c r="C6374" s="1" t="s">
        <v>135</v>
      </c>
      <c r="D6374" s="1" t="s">
        <v>136</v>
      </c>
      <c r="E6374" s="1" t="s">
        <v>31</v>
      </c>
      <c r="F6374" s="2" t="s">
        <v>1352</v>
      </c>
      <c r="G6374" s="1">
        <v>6.63</v>
      </c>
      <c r="H6374" s="1">
        <v>3</v>
      </c>
      <c r="I6374" s="1">
        <v>3.1160999999999999</v>
      </c>
    </row>
    <row r="6375" spans="1:9" x14ac:dyDescent="0.35">
      <c r="A6375" s="3">
        <v>42804</v>
      </c>
      <c r="B6375" s="1" t="s">
        <v>975</v>
      </c>
      <c r="C6375" s="1" t="s">
        <v>135</v>
      </c>
      <c r="D6375" s="1" t="s">
        <v>136</v>
      </c>
      <c r="E6375" s="1" t="s">
        <v>81</v>
      </c>
      <c r="F6375" s="2" t="s">
        <v>1207</v>
      </c>
      <c r="G6375" s="1">
        <v>371.97</v>
      </c>
      <c r="H6375" s="1">
        <v>3</v>
      </c>
      <c r="I6375" s="1">
        <v>66.954599999999999</v>
      </c>
    </row>
    <row r="6376" spans="1:9" x14ac:dyDescent="0.35">
      <c r="A6376" s="3" t="s">
        <v>3292</v>
      </c>
      <c r="B6376" s="1" t="s">
        <v>637</v>
      </c>
      <c r="C6376" s="1" t="s">
        <v>170</v>
      </c>
      <c r="D6376" s="1" t="s">
        <v>171</v>
      </c>
      <c r="E6376" s="1" t="s">
        <v>14</v>
      </c>
      <c r="F6376" s="2" t="s">
        <v>1150</v>
      </c>
      <c r="G6376" s="1">
        <v>561.58399999999995</v>
      </c>
      <c r="H6376" s="1">
        <v>2</v>
      </c>
      <c r="I6376" s="1">
        <v>70.197999999999993</v>
      </c>
    </row>
    <row r="6377" spans="1:9" x14ac:dyDescent="0.35">
      <c r="A6377" s="3" t="s">
        <v>3292</v>
      </c>
      <c r="B6377" s="1" t="s">
        <v>637</v>
      </c>
      <c r="C6377" s="1" t="s">
        <v>170</v>
      </c>
      <c r="D6377" s="1" t="s">
        <v>171</v>
      </c>
      <c r="E6377" s="1" t="s">
        <v>26</v>
      </c>
      <c r="F6377" s="2" t="s">
        <v>664</v>
      </c>
      <c r="G6377" s="1">
        <v>99.92</v>
      </c>
      <c r="H6377" s="1">
        <v>5</v>
      </c>
      <c r="I6377" s="1">
        <v>-1.2490000000000001</v>
      </c>
    </row>
    <row r="6378" spans="1:9" x14ac:dyDescent="0.35">
      <c r="A6378" s="3">
        <v>42561</v>
      </c>
      <c r="B6378" s="1" t="s">
        <v>2104</v>
      </c>
      <c r="C6378" s="1" t="s">
        <v>74</v>
      </c>
      <c r="D6378" s="1" t="s">
        <v>75</v>
      </c>
      <c r="E6378" s="1" t="s">
        <v>19</v>
      </c>
      <c r="F6378" s="2" t="s">
        <v>199</v>
      </c>
      <c r="G6378" s="1">
        <v>4.9279999999999999</v>
      </c>
      <c r="H6378" s="1">
        <v>2</v>
      </c>
      <c r="I6378" s="1">
        <v>1.7248000000000001</v>
      </c>
    </row>
    <row r="6379" spans="1:9" x14ac:dyDescent="0.35">
      <c r="A6379" s="3" t="s">
        <v>3718</v>
      </c>
      <c r="B6379" s="1" t="s">
        <v>1943</v>
      </c>
      <c r="C6379" s="1" t="s">
        <v>17</v>
      </c>
      <c r="D6379" s="1" t="s">
        <v>18</v>
      </c>
      <c r="E6379" s="1" t="s">
        <v>29</v>
      </c>
      <c r="F6379" s="2" t="s">
        <v>2074</v>
      </c>
      <c r="G6379" s="1">
        <v>14.76</v>
      </c>
      <c r="H6379" s="1">
        <v>2</v>
      </c>
      <c r="I6379" s="1">
        <v>4.2804000000000002</v>
      </c>
    </row>
    <row r="6380" spans="1:9" x14ac:dyDescent="0.35">
      <c r="A6380" s="3">
        <v>43012</v>
      </c>
      <c r="B6380" s="1" t="s">
        <v>2808</v>
      </c>
      <c r="C6380" s="1" t="s">
        <v>2814</v>
      </c>
      <c r="D6380" s="1" t="s">
        <v>368</v>
      </c>
      <c r="E6380" s="1" t="s">
        <v>81</v>
      </c>
      <c r="F6380" s="2" t="s">
        <v>748</v>
      </c>
      <c r="G6380" s="1">
        <v>99.99</v>
      </c>
      <c r="H6380" s="1">
        <v>1</v>
      </c>
      <c r="I6380" s="1">
        <v>41.995800000000003</v>
      </c>
    </row>
    <row r="6381" spans="1:9" x14ac:dyDescent="0.35">
      <c r="A6381" s="3">
        <v>43012</v>
      </c>
      <c r="B6381" s="1" t="s">
        <v>2808</v>
      </c>
      <c r="C6381" s="1" t="s">
        <v>2814</v>
      </c>
      <c r="D6381" s="1" t="s">
        <v>368</v>
      </c>
      <c r="E6381" s="1" t="s">
        <v>26</v>
      </c>
      <c r="F6381" s="2" t="s">
        <v>2120</v>
      </c>
      <c r="G6381" s="1">
        <v>286.14999999999998</v>
      </c>
      <c r="H6381" s="1">
        <v>5</v>
      </c>
      <c r="I6381" s="1">
        <v>71.537499999999994</v>
      </c>
    </row>
    <row r="6382" spans="1:9" x14ac:dyDescent="0.35">
      <c r="A6382" s="3">
        <v>41855</v>
      </c>
      <c r="B6382" s="1" t="s">
        <v>1713</v>
      </c>
      <c r="C6382" s="1" t="s">
        <v>2870</v>
      </c>
      <c r="D6382" s="1" t="s">
        <v>158</v>
      </c>
      <c r="E6382" s="1" t="s">
        <v>137</v>
      </c>
      <c r="F6382" s="2" t="s">
        <v>2504</v>
      </c>
      <c r="G6382" s="1">
        <v>49.792000000000002</v>
      </c>
      <c r="H6382" s="1">
        <v>8</v>
      </c>
      <c r="I6382" s="1">
        <v>-11.8256</v>
      </c>
    </row>
    <row r="6383" spans="1:9" x14ac:dyDescent="0.35">
      <c r="A6383" s="3" t="s">
        <v>3415</v>
      </c>
      <c r="B6383" s="1" t="s">
        <v>731</v>
      </c>
      <c r="C6383" s="1" t="s">
        <v>162</v>
      </c>
      <c r="D6383" s="1" t="s">
        <v>250</v>
      </c>
      <c r="E6383" s="1" t="s">
        <v>12</v>
      </c>
      <c r="F6383" s="2" t="s">
        <v>1015</v>
      </c>
      <c r="G6383" s="1">
        <v>299.97500000000002</v>
      </c>
      <c r="H6383" s="1">
        <v>5</v>
      </c>
      <c r="I6383" s="1">
        <v>-167.98599999999999</v>
      </c>
    </row>
    <row r="6384" spans="1:9" x14ac:dyDescent="0.35">
      <c r="A6384" s="3" t="s">
        <v>3415</v>
      </c>
      <c r="B6384" s="1" t="s">
        <v>731</v>
      </c>
      <c r="C6384" s="1" t="s">
        <v>162</v>
      </c>
      <c r="D6384" s="1" t="s">
        <v>250</v>
      </c>
      <c r="E6384" s="1" t="s">
        <v>33</v>
      </c>
      <c r="F6384" s="2" t="s">
        <v>2196</v>
      </c>
      <c r="G6384" s="1">
        <v>158.376</v>
      </c>
      <c r="H6384" s="1">
        <v>4</v>
      </c>
      <c r="I6384" s="1">
        <v>-36.9544</v>
      </c>
    </row>
    <row r="6385" spans="1:9" x14ac:dyDescent="0.35">
      <c r="A6385" s="3" t="s">
        <v>3250</v>
      </c>
      <c r="B6385" s="1" t="s">
        <v>2241</v>
      </c>
      <c r="C6385" s="1" t="s">
        <v>588</v>
      </c>
      <c r="D6385" s="1" t="s">
        <v>52</v>
      </c>
      <c r="E6385" s="1" t="s">
        <v>35</v>
      </c>
      <c r="F6385" s="2" t="s">
        <v>1364</v>
      </c>
      <c r="G6385" s="1">
        <v>32.783999999999999</v>
      </c>
      <c r="H6385" s="1">
        <v>4</v>
      </c>
      <c r="I6385" s="1">
        <v>-52.4544</v>
      </c>
    </row>
    <row r="6386" spans="1:9" x14ac:dyDescent="0.35">
      <c r="A6386" s="3" t="s">
        <v>3250</v>
      </c>
      <c r="B6386" s="1" t="s">
        <v>2241</v>
      </c>
      <c r="C6386" s="1" t="s">
        <v>588</v>
      </c>
      <c r="D6386" s="1" t="s">
        <v>52</v>
      </c>
      <c r="E6386" s="1" t="s">
        <v>81</v>
      </c>
      <c r="F6386" s="2" t="s">
        <v>490</v>
      </c>
      <c r="G6386" s="1">
        <v>47.984000000000002</v>
      </c>
      <c r="H6386" s="1">
        <v>2</v>
      </c>
      <c r="I6386" s="1">
        <v>14.395200000000001</v>
      </c>
    </row>
    <row r="6387" spans="1:9" x14ac:dyDescent="0.35">
      <c r="A6387" s="3" t="s">
        <v>3250</v>
      </c>
      <c r="B6387" s="1" t="s">
        <v>2241</v>
      </c>
      <c r="C6387" s="1" t="s">
        <v>588</v>
      </c>
      <c r="D6387" s="1" t="s">
        <v>52</v>
      </c>
      <c r="E6387" s="1" t="s">
        <v>81</v>
      </c>
      <c r="F6387" s="2" t="s">
        <v>2663</v>
      </c>
      <c r="G6387" s="1">
        <v>62.591999999999999</v>
      </c>
      <c r="H6387" s="1">
        <v>8</v>
      </c>
      <c r="I6387" s="1">
        <v>13.300800000000001</v>
      </c>
    </row>
    <row r="6388" spans="1:9" x14ac:dyDescent="0.35">
      <c r="A6388" s="3" t="s">
        <v>3250</v>
      </c>
      <c r="B6388" s="1" t="s">
        <v>2241</v>
      </c>
      <c r="C6388" s="1" t="s">
        <v>588</v>
      </c>
      <c r="D6388" s="1" t="s">
        <v>52</v>
      </c>
      <c r="E6388" s="1" t="s">
        <v>35</v>
      </c>
      <c r="F6388" s="2" t="s">
        <v>749</v>
      </c>
      <c r="G6388" s="1">
        <v>4.2759999999999998</v>
      </c>
      <c r="H6388" s="1">
        <v>1</v>
      </c>
      <c r="I6388" s="1">
        <v>-6.6277999999999997</v>
      </c>
    </row>
    <row r="6389" spans="1:9" x14ac:dyDescent="0.35">
      <c r="A6389" s="3" t="s">
        <v>3719</v>
      </c>
      <c r="B6389" s="1" t="s">
        <v>648</v>
      </c>
      <c r="C6389" s="1" t="s">
        <v>429</v>
      </c>
      <c r="D6389" s="1" t="s">
        <v>120</v>
      </c>
      <c r="E6389" s="1" t="s">
        <v>44</v>
      </c>
      <c r="F6389" s="2" t="s">
        <v>933</v>
      </c>
      <c r="G6389" s="1">
        <v>10.56</v>
      </c>
      <c r="H6389" s="1">
        <v>2</v>
      </c>
      <c r="I6389" s="1">
        <v>4.7519999999999998</v>
      </c>
    </row>
    <row r="6390" spans="1:9" x14ac:dyDescent="0.35">
      <c r="A6390" s="3" t="s">
        <v>3719</v>
      </c>
      <c r="B6390" s="1" t="s">
        <v>648</v>
      </c>
      <c r="C6390" s="1" t="s">
        <v>429</v>
      </c>
      <c r="D6390" s="1" t="s">
        <v>120</v>
      </c>
      <c r="E6390" s="1" t="s">
        <v>26</v>
      </c>
      <c r="F6390" s="2" t="s">
        <v>340</v>
      </c>
      <c r="G6390" s="1">
        <v>229.94</v>
      </c>
      <c r="H6390" s="1">
        <v>2</v>
      </c>
      <c r="I6390" s="1">
        <v>6.8982000000000001</v>
      </c>
    </row>
    <row r="6391" spans="1:9" x14ac:dyDescent="0.35">
      <c r="A6391" s="3">
        <v>42187</v>
      </c>
      <c r="B6391" s="1" t="s">
        <v>1652</v>
      </c>
      <c r="C6391" s="1" t="s">
        <v>162</v>
      </c>
      <c r="D6391" s="1" t="s">
        <v>163</v>
      </c>
      <c r="E6391" s="1" t="s">
        <v>87</v>
      </c>
      <c r="F6391" s="2" t="s">
        <v>1113</v>
      </c>
      <c r="G6391" s="1">
        <v>311.14999999999998</v>
      </c>
      <c r="H6391" s="1">
        <v>5</v>
      </c>
      <c r="I6391" s="1">
        <v>146.2405</v>
      </c>
    </row>
    <row r="6392" spans="1:9" x14ac:dyDescent="0.35">
      <c r="A6392" s="3">
        <v>42187</v>
      </c>
      <c r="B6392" s="1" t="s">
        <v>1652</v>
      </c>
      <c r="C6392" s="1" t="s">
        <v>162</v>
      </c>
      <c r="D6392" s="1" t="s">
        <v>163</v>
      </c>
      <c r="E6392" s="1" t="s">
        <v>44</v>
      </c>
      <c r="F6392" s="2" t="s">
        <v>447</v>
      </c>
      <c r="G6392" s="1">
        <v>12.96</v>
      </c>
      <c r="H6392" s="1">
        <v>2</v>
      </c>
      <c r="I6392" s="1">
        <v>6.3503999999999996</v>
      </c>
    </row>
    <row r="6393" spans="1:9" x14ac:dyDescent="0.35">
      <c r="A6393" s="3" t="s">
        <v>3400</v>
      </c>
      <c r="B6393" s="1" t="s">
        <v>55</v>
      </c>
      <c r="C6393" s="1" t="s">
        <v>135</v>
      </c>
      <c r="D6393" s="1" t="s">
        <v>136</v>
      </c>
      <c r="E6393" s="1" t="s">
        <v>44</v>
      </c>
      <c r="F6393" s="2" t="s">
        <v>2479</v>
      </c>
      <c r="G6393" s="1">
        <v>14.62</v>
      </c>
      <c r="H6393" s="1">
        <v>2</v>
      </c>
      <c r="I6393" s="1">
        <v>6.7252000000000001</v>
      </c>
    </row>
    <row r="6394" spans="1:9" x14ac:dyDescent="0.35">
      <c r="A6394" s="3" t="s">
        <v>3400</v>
      </c>
      <c r="B6394" s="1" t="s">
        <v>55</v>
      </c>
      <c r="C6394" s="1" t="s">
        <v>135</v>
      </c>
      <c r="D6394" s="1" t="s">
        <v>136</v>
      </c>
      <c r="E6394" s="1" t="s">
        <v>19</v>
      </c>
      <c r="F6394" s="2" t="s">
        <v>1968</v>
      </c>
      <c r="G6394" s="1">
        <v>5.76</v>
      </c>
      <c r="H6394" s="1">
        <v>2</v>
      </c>
      <c r="I6394" s="1">
        <v>2.8224</v>
      </c>
    </row>
    <row r="6395" spans="1:9" x14ac:dyDescent="0.35">
      <c r="A6395" s="3" t="s">
        <v>3400</v>
      </c>
      <c r="B6395" s="1" t="s">
        <v>55</v>
      </c>
      <c r="C6395" s="1" t="s">
        <v>135</v>
      </c>
      <c r="D6395" s="1" t="s">
        <v>136</v>
      </c>
      <c r="E6395" s="1" t="s">
        <v>137</v>
      </c>
      <c r="F6395" s="2" t="s">
        <v>251</v>
      </c>
      <c r="G6395" s="1">
        <v>21.48</v>
      </c>
      <c r="H6395" s="1">
        <v>6</v>
      </c>
      <c r="I6395" s="1">
        <v>10.5252</v>
      </c>
    </row>
    <row r="6396" spans="1:9" x14ac:dyDescent="0.35">
      <c r="A6396" s="3" t="s">
        <v>3400</v>
      </c>
      <c r="B6396" s="1" t="s">
        <v>55</v>
      </c>
      <c r="C6396" s="1" t="s">
        <v>135</v>
      </c>
      <c r="D6396" s="1" t="s">
        <v>136</v>
      </c>
      <c r="E6396" s="1" t="s">
        <v>29</v>
      </c>
      <c r="F6396" s="2" t="s">
        <v>1794</v>
      </c>
      <c r="G6396" s="1">
        <v>396.92</v>
      </c>
      <c r="H6396" s="1">
        <v>4</v>
      </c>
      <c r="I6396" s="1">
        <v>198.46</v>
      </c>
    </row>
    <row r="6397" spans="1:9" x14ac:dyDescent="0.35">
      <c r="A6397" s="3" t="s">
        <v>3400</v>
      </c>
      <c r="B6397" s="1" t="s">
        <v>55</v>
      </c>
      <c r="C6397" s="1" t="s">
        <v>135</v>
      </c>
      <c r="D6397" s="1" t="s">
        <v>136</v>
      </c>
      <c r="E6397" s="1" t="s">
        <v>26</v>
      </c>
      <c r="F6397" s="2" t="s">
        <v>825</v>
      </c>
      <c r="G6397" s="1">
        <v>17.149999999999999</v>
      </c>
      <c r="H6397" s="1">
        <v>1</v>
      </c>
      <c r="I6397" s="1">
        <v>4.6304999999999996</v>
      </c>
    </row>
    <row r="6398" spans="1:9" x14ac:dyDescent="0.35">
      <c r="A6398" s="3" t="s">
        <v>3400</v>
      </c>
      <c r="B6398" s="1" t="s">
        <v>55</v>
      </c>
      <c r="C6398" s="1" t="s">
        <v>135</v>
      </c>
      <c r="D6398" s="1" t="s">
        <v>136</v>
      </c>
      <c r="E6398" s="1" t="s">
        <v>35</v>
      </c>
      <c r="F6398" s="2" t="s">
        <v>2996</v>
      </c>
      <c r="G6398" s="1">
        <v>23.12</v>
      </c>
      <c r="H6398" s="1">
        <v>2</v>
      </c>
      <c r="I6398" s="1">
        <v>7.8029999999999999</v>
      </c>
    </row>
    <row r="6399" spans="1:9" x14ac:dyDescent="0.35">
      <c r="A6399" s="3" t="s">
        <v>3720</v>
      </c>
      <c r="B6399" s="1" t="s">
        <v>2052</v>
      </c>
      <c r="C6399" s="1" t="s">
        <v>399</v>
      </c>
      <c r="D6399" s="1" t="s">
        <v>52</v>
      </c>
      <c r="E6399" s="1" t="s">
        <v>31</v>
      </c>
      <c r="F6399" s="2" t="s">
        <v>534</v>
      </c>
      <c r="G6399" s="1">
        <v>5.2480000000000002</v>
      </c>
      <c r="H6399" s="1">
        <v>2</v>
      </c>
      <c r="I6399" s="1">
        <v>0.59040000000000004</v>
      </c>
    </row>
    <row r="6400" spans="1:9" x14ac:dyDescent="0.35">
      <c r="A6400" s="3">
        <v>42894</v>
      </c>
      <c r="B6400" s="1" t="s">
        <v>200</v>
      </c>
      <c r="C6400" s="1" t="s">
        <v>42</v>
      </c>
      <c r="D6400" s="1" t="s">
        <v>1203</v>
      </c>
      <c r="E6400" s="1" t="s">
        <v>33</v>
      </c>
      <c r="F6400" s="2" t="s">
        <v>2329</v>
      </c>
      <c r="G6400" s="1">
        <v>824.95</v>
      </c>
      <c r="H6400" s="1">
        <v>5</v>
      </c>
      <c r="I6400" s="1">
        <v>247.48500000000001</v>
      </c>
    </row>
    <row r="6401" spans="1:9" x14ac:dyDescent="0.35">
      <c r="A6401" s="3">
        <v>42894</v>
      </c>
      <c r="B6401" s="1" t="s">
        <v>200</v>
      </c>
      <c r="C6401" s="1" t="s">
        <v>42</v>
      </c>
      <c r="D6401" s="1" t="s">
        <v>1203</v>
      </c>
      <c r="E6401" s="1" t="s">
        <v>19</v>
      </c>
      <c r="F6401" s="2" t="s">
        <v>1746</v>
      </c>
      <c r="G6401" s="1">
        <v>24.64</v>
      </c>
      <c r="H6401" s="1">
        <v>8</v>
      </c>
      <c r="I6401" s="1">
        <v>11.827199999999999</v>
      </c>
    </row>
    <row r="6402" spans="1:9" x14ac:dyDescent="0.35">
      <c r="A6402" s="3">
        <v>42894</v>
      </c>
      <c r="B6402" s="1" t="s">
        <v>200</v>
      </c>
      <c r="C6402" s="1" t="s">
        <v>42</v>
      </c>
      <c r="D6402" s="1" t="s">
        <v>1203</v>
      </c>
      <c r="E6402" s="1" t="s">
        <v>31</v>
      </c>
      <c r="F6402" s="2" t="s">
        <v>246</v>
      </c>
      <c r="G6402" s="1">
        <v>227.88</v>
      </c>
      <c r="H6402" s="1">
        <v>6</v>
      </c>
      <c r="I6402" s="1">
        <v>68.364000000000004</v>
      </c>
    </row>
    <row r="6403" spans="1:9" x14ac:dyDescent="0.35">
      <c r="A6403" s="3" t="s">
        <v>3721</v>
      </c>
      <c r="B6403" s="1" t="s">
        <v>906</v>
      </c>
      <c r="C6403" s="1" t="s">
        <v>1799</v>
      </c>
      <c r="D6403" s="1" t="s">
        <v>362</v>
      </c>
      <c r="E6403" s="1" t="s">
        <v>12</v>
      </c>
      <c r="F6403" s="2" t="s">
        <v>1867</v>
      </c>
      <c r="G6403" s="1">
        <v>241.96</v>
      </c>
      <c r="H6403" s="1">
        <v>2</v>
      </c>
      <c r="I6403" s="1">
        <v>33.874400000000001</v>
      </c>
    </row>
    <row r="6404" spans="1:9" x14ac:dyDescent="0.35">
      <c r="A6404" s="3" t="s">
        <v>3721</v>
      </c>
      <c r="B6404" s="1" t="s">
        <v>906</v>
      </c>
      <c r="C6404" s="1" t="s">
        <v>1799</v>
      </c>
      <c r="D6404" s="1" t="s">
        <v>362</v>
      </c>
      <c r="E6404" s="1" t="s">
        <v>35</v>
      </c>
      <c r="F6404" s="2" t="s">
        <v>1786</v>
      </c>
      <c r="G6404" s="1">
        <v>3.89</v>
      </c>
      <c r="H6404" s="1">
        <v>1</v>
      </c>
      <c r="I6404" s="1">
        <v>1.8672</v>
      </c>
    </row>
    <row r="6405" spans="1:9" x14ac:dyDescent="0.35">
      <c r="A6405" s="3" t="s">
        <v>3721</v>
      </c>
      <c r="B6405" s="1" t="s">
        <v>906</v>
      </c>
      <c r="C6405" s="1" t="s">
        <v>1799</v>
      </c>
      <c r="D6405" s="1" t="s">
        <v>362</v>
      </c>
      <c r="E6405" s="1" t="s">
        <v>29</v>
      </c>
      <c r="F6405" s="2" t="s">
        <v>2609</v>
      </c>
      <c r="G6405" s="1">
        <v>8.01</v>
      </c>
      <c r="H6405" s="1">
        <v>3</v>
      </c>
      <c r="I6405" s="1">
        <v>3.0438000000000001</v>
      </c>
    </row>
    <row r="6406" spans="1:9" x14ac:dyDescent="0.35">
      <c r="A6406" s="3" t="s">
        <v>3301</v>
      </c>
      <c r="B6406" s="1" t="s">
        <v>1866</v>
      </c>
      <c r="C6406" s="1" t="s">
        <v>1912</v>
      </c>
      <c r="D6406" s="1" t="s">
        <v>43</v>
      </c>
      <c r="E6406" s="1" t="s">
        <v>33</v>
      </c>
      <c r="F6406" s="2" t="s">
        <v>1976</v>
      </c>
      <c r="G6406" s="1">
        <v>177.48</v>
      </c>
      <c r="H6406" s="1">
        <v>3</v>
      </c>
      <c r="I6406" s="1">
        <v>19.9665</v>
      </c>
    </row>
    <row r="6407" spans="1:9" x14ac:dyDescent="0.35">
      <c r="A6407" s="3" t="s">
        <v>3268</v>
      </c>
      <c r="B6407" s="1" t="s">
        <v>1146</v>
      </c>
      <c r="C6407" s="1" t="s">
        <v>1944</v>
      </c>
      <c r="D6407" s="1" t="s">
        <v>48</v>
      </c>
      <c r="E6407" s="1" t="s">
        <v>14</v>
      </c>
      <c r="F6407" s="2" t="s">
        <v>746</v>
      </c>
      <c r="G6407" s="1">
        <v>569.56799999999998</v>
      </c>
      <c r="H6407" s="1">
        <v>2</v>
      </c>
      <c r="I6407" s="1">
        <v>7.1196000000000002</v>
      </c>
    </row>
    <row r="6408" spans="1:9" x14ac:dyDescent="0.35">
      <c r="A6408" s="3" t="s">
        <v>3268</v>
      </c>
      <c r="B6408" s="1" t="s">
        <v>1146</v>
      </c>
      <c r="C6408" s="1" t="s">
        <v>1944</v>
      </c>
      <c r="D6408" s="1" t="s">
        <v>48</v>
      </c>
      <c r="E6408" s="1" t="s">
        <v>26</v>
      </c>
      <c r="F6408" s="2" t="s">
        <v>187</v>
      </c>
      <c r="G6408" s="1">
        <v>149.72999999999999</v>
      </c>
      <c r="H6408" s="1">
        <v>7</v>
      </c>
      <c r="I6408" s="1">
        <v>43.421700000000001</v>
      </c>
    </row>
    <row r="6409" spans="1:9" x14ac:dyDescent="0.35">
      <c r="A6409" s="3" t="s">
        <v>3510</v>
      </c>
      <c r="B6409" s="1" t="s">
        <v>869</v>
      </c>
      <c r="C6409" s="1" t="s">
        <v>93</v>
      </c>
      <c r="D6409" s="1" t="s">
        <v>52</v>
      </c>
      <c r="E6409" s="1" t="s">
        <v>14</v>
      </c>
      <c r="F6409" s="2" t="s">
        <v>1972</v>
      </c>
      <c r="G6409" s="1">
        <v>899.43</v>
      </c>
      <c r="H6409" s="1">
        <v>5</v>
      </c>
      <c r="I6409" s="1">
        <v>-12.849</v>
      </c>
    </row>
    <row r="6410" spans="1:9" x14ac:dyDescent="0.35">
      <c r="A6410" s="3" t="s">
        <v>3510</v>
      </c>
      <c r="B6410" s="1" t="s">
        <v>869</v>
      </c>
      <c r="C6410" s="1" t="s">
        <v>93</v>
      </c>
      <c r="D6410" s="1" t="s">
        <v>52</v>
      </c>
      <c r="E6410" s="1" t="s">
        <v>31</v>
      </c>
      <c r="F6410" s="2" t="s">
        <v>1954</v>
      </c>
      <c r="G6410" s="1">
        <v>46.2</v>
      </c>
      <c r="H6410" s="1">
        <v>5</v>
      </c>
      <c r="I6410" s="1">
        <v>5.7750000000000004</v>
      </c>
    </row>
    <row r="6411" spans="1:9" x14ac:dyDescent="0.35">
      <c r="A6411" s="3" t="s">
        <v>3510</v>
      </c>
      <c r="B6411" s="1" t="s">
        <v>869</v>
      </c>
      <c r="C6411" s="1" t="s">
        <v>93</v>
      </c>
      <c r="D6411" s="1" t="s">
        <v>52</v>
      </c>
      <c r="E6411" s="1" t="s">
        <v>44</v>
      </c>
      <c r="F6411" s="2" t="s">
        <v>2997</v>
      </c>
      <c r="G6411" s="1">
        <v>47.951999999999998</v>
      </c>
      <c r="H6411" s="1">
        <v>3</v>
      </c>
      <c r="I6411" s="1">
        <v>16.183800000000002</v>
      </c>
    </row>
    <row r="6412" spans="1:9" x14ac:dyDescent="0.35">
      <c r="A6412" s="3" t="s">
        <v>3510</v>
      </c>
      <c r="B6412" s="1" t="s">
        <v>869</v>
      </c>
      <c r="C6412" s="1" t="s">
        <v>93</v>
      </c>
      <c r="D6412" s="1" t="s">
        <v>52</v>
      </c>
      <c r="E6412" s="1" t="s">
        <v>33</v>
      </c>
      <c r="F6412" s="2" t="s">
        <v>2597</v>
      </c>
      <c r="G6412" s="1">
        <v>7.992</v>
      </c>
      <c r="H6412" s="1">
        <v>1</v>
      </c>
      <c r="I6412" s="1">
        <v>0.69930000000000003</v>
      </c>
    </row>
    <row r="6413" spans="1:9" x14ac:dyDescent="0.35">
      <c r="A6413" s="3" t="s">
        <v>3510</v>
      </c>
      <c r="B6413" s="1" t="s">
        <v>869</v>
      </c>
      <c r="C6413" s="1" t="s">
        <v>93</v>
      </c>
      <c r="D6413" s="1" t="s">
        <v>52</v>
      </c>
      <c r="E6413" s="1" t="s">
        <v>44</v>
      </c>
      <c r="F6413" s="2" t="s">
        <v>2803</v>
      </c>
      <c r="G6413" s="1">
        <v>76.864000000000004</v>
      </c>
      <c r="H6413" s="1">
        <v>2</v>
      </c>
      <c r="I6413" s="1">
        <v>26.9024</v>
      </c>
    </row>
    <row r="6414" spans="1:9" x14ac:dyDescent="0.35">
      <c r="A6414" s="3" t="s">
        <v>3722</v>
      </c>
      <c r="B6414" s="1" t="s">
        <v>2052</v>
      </c>
      <c r="C6414" s="1" t="s">
        <v>697</v>
      </c>
      <c r="D6414" s="1" t="s">
        <v>11</v>
      </c>
      <c r="E6414" s="1" t="s">
        <v>35</v>
      </c>
      <c r="F6414" s="2" t="s">
        <v>309</v>
      </c>
      <c r="G6414" s="1">
        <v>102.93</v>
      </c>
      <c r="H6414" s="1">
        <v>3</v>
      </c>
      <c r="I6414" s="1">
        <v>48.377099999999999</v>
      </c>
    </row>
    <row r="6415" spans="1:9" x14ac:dyDescent="0.35">
      <c r="A6415" s="3" t="s">
        <v>3722</v>
      </c>
      <c r="B6415" s="1" t="s">
        <v>2052</v>
      </c>
      <c r="C6415" s="1" t="s">
        <v>697</v>
      </c>
      <c r="D6415" s="1" t="s">
        <v>11</v>
      </c>
      <c r="E6415" s="1" t="s">
        <v>81</v>
      </c>
      <c r="F6415" s="2" t="s">
        <v>1615</v>
      </c>
      <c r="G6415" s="1">
        <v>98.16</v>
      </c>
      <c r="H6415" s="1">
        <v>6</v>
      </c>
      <c r="I6415" s="1">
        <v>9.8160000000000007</v>
      </c>
    </row>
    <row r="6416" spans="1:9" x14ac:dyDescent="0.35">
      <c r="A6416" s="3">
        <v>43019</v>
      </c>
      <c r="B6416" s="1" t="s">
        <v>2383</v>
      </c>
      <c r="C6416" s="1" t="s">
        <v>2709</v>
      </c>
      <c r="D6416" s="1" t="s">
        <v>23</v>
      </c>
      <c r="E6416" s="1" t="s">
        <v>35</v>
      </c>
      <c r="F6416" s="2" t="s">
        <v>2897</v>
      </c>
      <c r="G6416" s="1">
        <v>11.52</v>
      </c>
      <c r="H6416" s="1">
        <v>5</v>
      </c>
      <c r="I6416" s="1">
        <v>-7.68</v>
      </c>
    </row>
    <row r="6417" spans="1:9" x14ac:dyDescent="0.35">
      <c r="A6417" s="3" t="s">
        <v>3374</v>
      </c>
      <c r="B6417" s="1" t="s">
        <v>1414</v>
      </c>
      <c r="C6417" s="1" t="s">
        <v>2870</v>
      </c>
      <c r="D6417" s="1" t="s">
        <v>158</v>
      </c>
      <c r="E6417" s="1" t="s">
        <v>44</v>
      </c>
      <c r="F6417" s="2" t="s">
        <v>1152</v>
      </c>
      <c r="G6417" s="1">
        <v>83.88</v>
      </c>
      <c r="H6417" s="1">
        <v>1</v>
      </c>
      <c r="I6417" s="1">
        <v>29.358000000000001</v>
      </c>
    </row>
    <row r="6418" spans="1:9" x14ac:dyDescent="0.35">
      <c r="A6418" s="3">
        <v>42585</v>
      </c>
      <c r="B6418" s="1" t="s">
        <v>1371</v>
      </c>
      <c r="C6418" s="1" t="s">
        <v>74</v>
      </c>
      <c r="D6418" s="1" t="s">
        <v>75</v>
      </c>
      <c r="E6418" s="1" t="s">
        <v>33</v>
      </c>
      <c r="F6418" s="2" t="s">
        <v>2334</v>
      </c>
      <c r="G6418" s="1">
        <v>108.57599999999999</v>
      </c>
      <c r="H6418" s="1">
        <v>4</v>
      </c>
      <c r="I6418" s="1">
        <v>-25.334399999999999</v>
      </c>
    </row>
    <row r="6419" spans="1:9" x14ac:dyDescent="0.35">
      <c r="A6419" s="3">
        <v>42585</v>
      </c>
      <c r="B6419" s="1" t="s">
        <v>1371</v>
      </c>
      <c r="C6419" s="1" t="s">
        <v>74</v>
      </c>
      <c r="D6419" s="1" t="s">
        <v>75</v>
      </c>
      <c r="E6419" s="1" t="s">
        <v>137</v>
      </c>
      <c r="F6419" s="2" t="s">
        <v>1728</v>
      </c>
      <c r="G6419" s="1">
        <v>5.984</v>
      </c>
      <c r="H6419" s="1">
        <v>2</v>
      </c>
      <c r="I6419" s="1">
        <v>-1.3464</v>
      </c>
    </row>
    <row r="6420" spans="1:9" x14ac:dyDescent="0.35">
      <c r="A6420" s="3" t="s">
        <v>3452</v>
      </c>
      <c r="B6420" s="1" t="s">
        <v>1129</v>
      </c>
      <c r="C6420" s="1" t="s">
        <v>1897</v>
      </c>
      <c r="D6420" s="1" t="s">
        <v>322</v>
      </c>
      <c r="E6420" s="1" t="s">
        <v>289</v>
      </c>
      <c r="F6420" s="2" t="s">
        <v>290</v>
      </c>
      <c r="G6420" s="1">
        <v>21.96</v>
      </c>
      <c r="H6420" s="1">
        <v>2</v>
      </c>
      <c r="I6420" s="1">
        <v>6.1487999999999996</v>
      </c>
    </row>
    <row r="6421" spans="1:9" x14ac:dyDescent="0.35">
      <c r="A6421" s="3" t="s">
        <v>3452</v>
      </c>
      <c r="B6421" s="1" t="s">
        <v>1129</v>
      </c>
      <c r="C6421" s="1" t="s">
        <v>1897</v>
      </c>
      <c r="D6421" s="1" t="s">
        <v>322</v>
      </c>
      <c r="E6421" s="1" t="s">
        <v>14</v>
      </c>
      <c r="F6421" s="2" t="s">
        <v>2095</v>
      </c>
      <c r="G6421" s="1">
        <v>368.97</v>
      </c>
      <c r="H6421" s="1">
        <v>3</v>
      </c>
      <c r="I6421" s="1">
        <v>81.173400000000001</v>
      </c>
    </row>
    <row r="6422" spans="1:9" x14ac:dyDescent="0.35">
      <c r="A6422" s="3" t="s">
        <v>3452</v>
      </c>
      <c r="B6422" s="1" t="s">
        <v>1129</v>
      </c>
      <c r="C6422" s="1" t="s">
        <v>1897</v>
      </c>
      <c r="D6422" s="1" t="s">
        <v>322</v>
      </c>
      <c r="E6422" s="1" t="s">
        <v>31</v>
      </c>
      <c r="F6422" s="2" t="s">
        <v>2602</v>
      </c>
      <c r="G6422" s="1">
        <v>12.39</v>
      </c>
      <c r="H6422" s="1">
        <v>3</v>
      </c>
      <c r="I6422" s="1">
        <v>3.4691999999999998</v>
      </c>
    </row>
    <row r="6423" spans="1:9" x14ac:dyDescent="0.35">
      <c r="A6423" s="3" t="s">
        <v>3452</v>
      </c>
      <c r="B6423" s="1" t="s">
        <v>1129</v>
      </c>
      <c r="C6423" s="1" t="s">
        <v>1897</v>
      </c>
      <c r="D6423" s="1" t="s">
        <v>322</v>
      </c>
      <c r="E6423" s="1" t="s">
        <v>26</v>
      </c>
      <c r="F6423" s="2" t="s">
        <v>2388</v>
      </c>
      <c r="G6423" s="1">
        <v>332.94</v>
      </c>
      <c r="H6423" s="1">
        <v>3</v>
      </c>
      <c r="I6423" s="1">
        <v>9.9882000000000009</v>
      </c>
    </row>
    <row r="6424" spans="1:9" x14ac:dyDescent="0.35">
      <c r="A6424" s="3" t="s">
        <v>3460</v>
      </c>
      <c r="B6424" s="1" t="s">
        <v>2561</v>
      </c>
      <c r="C6424" s="1" t="s">
        <v>2917</v>
      </c>
      <c r="D6424" s="1" t="s">
        <v>61</v>
      </c>
      <c r="E6424" s="1" t="s">
        <v>81</v>
      </c>
      <c r="F6424" s="2" t="s">
        <v>1842</v>
      </c>
      <c r="G6424" s="1">
        <v>111.93</v>
      </c>
      <c r="H6424" s="1">
        <v>7</v>
      </c>
      <c r="I6424" s="1">
        <v>34.698300000000003</v>
      </c>
    </row>
    <row r="6425" spans="1:9" x14ac:dyDescent="0.35">
      <c r="A6425" s="3" t="s">
        <v>3640</v>
      </c>
      <c r="B6425" s="1" t="s">
        <v>1347</v>
      </c>
      <c r="C6425" s="1" t="s">
        <v>1391</v>
      </c>
      <c r="D6425" s="1" t="s">
        <v>18</v>
      </c>
      <c r="E6425" s="1" t="s">
        <v>14</v>
      </c>
      <c r="F6425" s="2" t="s">
        <v>685</v>
      </c>
      <c r="G6425" s="1">
        <v>454.27199999999999</v>
      </c>
      <c r="H6425" s="1">
        <v>8</v>
      </c>
      <c r="I6425" s="1">
        <v>-73.819199999999995</v>
      </c>
    </row>
    <row r="6426" spans="1:9" x14ac:dyDescent="0.35">
      <c r="A6426" s="3" t="s">
        <v>3547</v>
      </c>
      <c r="B6426" s="1" t="s">
        <v>2947</v>
      </c>
      <c r="C6426" s="1" t="s">
        <v>700</v>
      </c>
      <c r="D6426" s="1" t="s">
        <v>592</v>
      </c>
      <c r="E6426" s="1" t="s">
        <v>44</v>
      </c>
      <c r="F6426" s="2" t="s">
        <v>2588</v>
      </c>
      <c r="G6426" s="1">
        <v>19.440000000000001</v>
      </c>
      <c r="H6426" s="1">
        <v>3</v>
      </c>
      <c r="I6426" s="1">
        <v>9.3312000000000008</v>
      </c>
    </row>
    <row r="6427" spans="1:9" x14ac:dyDescent="0.35">
      <c r="A6427" s="3" t="s">
        <v>3723</v>
      </c>
      <c r="B6427" s="1" t="s">
        <v>2396</v>
      </c>
      <c r="C6427" s="1" t="s">
        <v>74</v>
      </c>
      <c r="D6427" s="1" t="s">
        <v>75</v>
      </c>
      <c r="E6427" s="1" t="s">
        <v>579</v>
      </c>
      <c r="F6427" s="2" t="s">
        <v>2301</v>
      </c>
      <c r="G6427" s="1">
        <v>8399.9760000000006</v>
      </c>
      <c r="H6427" s="1">
        <v>4</v>
      </c>
      <c r="I6427" s="1">
        <v>1119.9967999999999</v>
      </c>
    </row>
    <row r="6428" spans="1:9" x14ac:dyDescent="0.35">
      <c r="A6428" s="3" t="s">
        <v>3723</v>
      </c>
      <c r="B6428" s="1" t="s">
        <v>2396</v>
      </c>
      <c r="C6428" s="1" t="s">
        <v>74</v>
      </c>
      <c r="D6428" s="1" t="s">
        <v>75</v>
      </c>
      <c r="E6428" s="1" t="s">
        <v>35</v>
      </c>
      <c r="F6428" s="2" t="s">
        <v>2998</v>
      </c>
      <c r="G6428" s="1">
        <v>6.2939999999999996</v>
      </c>
      <c r="H6428" s="1">
        <v>1</v>
      </c>
      <c r="I6428" s="1">
        <v>-4.1959999999999997</v>
      </c>
    </row>
    <row r="6429" spans="1:9" x14ac:dyDescent="0.35">
      <c r="A6429" s="3" t="s">
        <v>3723</v>
      </c>
      <c r="B6429" s="1" t="s">
        <v>2396</v>
      </c>
      <c r="C6429" s="1" t="s">
        <v>74</v>
      </c>
      <c r="D6429" s="1" t="s">
        <v>75</v>
      </c>
      <c r="E6429" s="1" t="s">
        <v>44</v>
      </c>
      <c r="F6429" s="2" t="s">
        <v>1389</v>
      </c>
      <c r="G6429" s="1">
        <v>10.368</v>
      </c>
      <c r="H6429" s="1">
        <v>2</v>
      </c>
      <c r="I6429" s="1">
        <v>3.6288</v>
      </c>
    </row>
    <row r="6430" spans="1:9" x14ac:dyDescent="0.35">
      <c r="A6430" s="3" t="s">
        <v>3723</v>
      </c>
      <c r="B6430" s="1" t="s">
        <v>2396</v>
      </c>
      <c r="C6430" s="1" t="s">
        <v>74</v>
      </c>
      <c r="D6430" s="1" t="s">
        <v>75</v>
      </c>
      <c r="E6430" s="1" t="s">
        <v>33</v>
      </c>
      <c r="F6430" s="2" t="s">
        <v>2999</v>
      </c>
      <c r="G6430" s="1">
        <v>122.38200000000001</v>
      </c>
      <c r="H6430" s="1">
        <v>3</v>
      </c>
      <c r="I6430" s="1">
        <v>-24.476400000000002</v>
      </c>
    </row>
    <row r="6431" spans="1:9" x14ac:dyDescent="0.35">
      <c r="A6431" s="3">
        <v>41709</v>
      </c>
      <c r="B6431" s="1" t="s">
        <v>539</v>
      </c>
      <c r="C6431" s="1" t="s">
        <v>719</v>
      </c>
      <c r="D6431" s="1" t="s">
        <v>43</v>
      </c>
      <c r="E6431" s="1" t="s">
        <v>26</v>
      </c>
      <c r="F6431" s="2" t="s">
        <v>1246</v>
      </c>
      <c r="G6431" s="1">
        <v>25.984000000000002</v>
      </c>
      <c r="H6431" s="1">
        <v>2</v>
      </c>
      <c r="I6431" s="1">
        <v>-1.6240000000000001</v>
      </c>
    </row>
    <row r="6432" spans="1:9" x14ac:dyDescent="0.35">
      <c r="A6432" s="3">
        <v>41709</v>
      </c>
      <c r="B6432" s="1" t="s">
        <v>539</v>
      </c>
      <c r="C6432" s="1" t="s">
        <v>719</v>
      </c>
      <c r="D6432" s="1" t="s">
        <v>43</v>
      </c>
      <c r="E6432" s="1" t="s">
        <v>24</v>
      </c>
      <c r="F6432" s="2" t="s">
        <v>256</v>
      </c>
      <c r="G6432" s="1">
        <v>945.03599999999994</v>
      </c>
      <c r="H6432" s="1">
        <v>6</v>
      </c>
      <c r="I6432" s="1">
        <v>-299.26139999999998</v>
      </c>
    </row>
    <row r="6433" spans="1:9" x14ac:dyDescent="0.35">
      <c r="A6433" s="3">
        <v>41709</v>
      </c>
      <c r="B6433" s="1" t="s">
        <v>539</v>
      </c>
      <c r="C6433" s="1" t="s">
        <v>719</v>
      </c>
      <c r="D6433" s="1" t="s">
        <v>43</v>
      </c>
      <c r="E6433" s="1" t="s">
        <v>35</v>
      </c>
      <c r="F6433" s="2" t="s">
        <v>2127</v>
      </c>
      <c r="G6433" s="1">
        <v>14.301</v>
      </c>
      <c r="H6433" s="1">
        <v>7</v>
      </c>
      <c r="I6433" s="1">
        <v>-10.487399999999999</v>
      </c>
    </row>
    <row r="6434" spans="1:9" x14ac:dyDescent="0.35">
      <c r="A6434" s="3">
        <v>41709</v>
      </c>
      <c r="B6434" s="1" t="s">
        <v>539</v>
      </c>
      <c r="C6434" s="1" t="s">
        <v>719</v>
      </c>
      <c r="D6434" s="1" t="s">
        <v>43</v>
      </c>
      <c r="E6434" s="1" t="s">
        <v>29</v>
      </c>
      <c r="F6434" s="2" t="s">
        <v>2169</v>
      </c>
      <c r="G6434" s="1">
        <v>410.35199999999998</v>
      </c>
      <c r="H6434" s="1">
        <v>3</v>
      </c>
      <c r="I6434" s="1">
        <v>-51.293999999999997</v>
      </c>
    </row>
    <row r="6435" spans="1:9" x14ac:dyDescent="0.35">
      <c r="A6435" s="3" t="s">
        <v>3724</v>
      </c>
      <c r="B6435" s="1" t="s">
        <v>2590</v>
      </c>
      <c r="C6435" s="1" t="s">
        <v>154</v>
      </c>
      <c r="D6435" s="1" t="s">
        <v>106</v>
      </c>
      <c r="E6435" s="1" t="s">
        <v>44</v>
      </c>
      <c r="F6435" s="2" t="s">
        <v>1706</v>
      </c>
      <c r="G6435" s="1">
        <v>23.52</v>
      </c>
      <c r="H6435" s="1">
        <v>5</v>
      </c>
      <c r="I6435" s="1">
        <v>8.5259999999999998</v>
      </c>
    </row>
    <row r="6436" spans="1:9" x14ac:dyDescent="0.35">
      <c r="A6436" s="3" t="s">
        <v>3724</v>
      </c>
      <c r="B6436" s="1" t="s">
        <v>2590</v>
      </c>
      <c r="C6436" s="1" t="s">
        <v>154</v>
      </c>
      <c r="D6436" s="1" t="s">
        <v>106</v>
      </c>
      <c r="E6436" s="1" t="s">
        <v>33</v>
      </c>
      <c r="F6436" s="2" t="s">
        <v>2334</v>
      </c>
      <c r="G6436" s="1">
        <v>180.96</v>
      </c>
      <c r="H6436" s="1">
        <v>5</v>
      </c>
      <c r="I6436" s="1">
        <v>13.571999999999999</v>
      </c>
    </row>
    <row r="6437" spans="1:9" x14ac:dyDescent="0.35">
      <c r="A6437" s="3" t="s">
        <v>3333</v>
      </c>
      <c r="B6437" s="1" t="s">
        <v>1796</v>
      </c>
      <c r="C6437" s="1" t="s">
        <v>2934</v>
      </c>
      <c r="D6437" s="1" t="s">
        <v>2459</v>
      </c>
      <c r="E6437" s="1" t="s">
        <v>29</v>
      </c>
      <c r="F6437" s="2" t="s">
        <v>2419</v>
      </c>
      <c r="G6437" s="1">
        <v>35</v>
      </c>
      <c r="H6437" s="1">
        <v>4</v>
      </c>
      <c r="I6437" s="1">
        <v>14.7</v>
      </c>
    </row>
    <row r="6438" spans="1:9" x14ac:dyDescent="0.35">
      <c r="A6438" s="3" t="s">
        <v>3333</v>
      </c>
      <c r="B6438" s="1" t="s">
        <v>1796</v>
      </c>
      <c r="C6438" s="1" t="s">
        <v>2934</v>
      </c>
      <c r="D6438" s="1" t="s">
        <v>2459</v>
      </c>
      <c r="E6438" s="1" t="s">
        <v>26</v>
      </c>
      <c r="F6438" s="2" t="s">
        <v>1097</v>
      </c>
      <c r="G6438" s="1">
        <v>477.15</v>
      </c>
      <c r="H6438" s="1">
        <v>5</v>
      </c>
      <c r="I6438" s="1">
        <v>28.629000000000001</v>
      </c>
    </row>
    <row r="6439" spans="1:9" x14ac:dyDescent="0.35">
      <c r="A6439" s="3" t="s">
        <v>3333</v>
      </c>
      <c r="B6439" s="1" t="s">
        <v>1796</v>
      </c>
      <c r="C6439" s="1" t="s">
        <v>2934</v>
      </c>
      <c r="D6439" s="1" t="s">
        <v>2459</v>
      </c>
      <c r="E6439" s="1" t="s">
        <v>33</v>
      </c>
      <c r="F6439" s="2" t="s">
        <v>2397</v>
      </c>
      <c r="G6439" s="1">
        <v>302.37599999999998</v>
      </c>
      <c r="H6439" s="1">
        <v>3</v>
      </c>
      <c r="I6439" s="1">
        <v>22.6782</v>
      </c>
    </row>
    <row r="6440" spans="1:9" x14ac:dyDescent="0.35">
      <c r="A6440" s="3" t="s">
        <v>3305</v>
      </c>
      <c r="B6440" s="1" t="s">
        <v>282</v>
      </c>
      <c r="C6440" s="1" t="s">
        <v>1830</v>
      </c>
      <c r="D6440" s="1" t="s">
        <v>52</v>
      </c>
      <c r="E6440" s="1" t="s">
        <v>24</v>
      </c>
      <c r="F6440" s="2" t="s">
        <v>25</v>
      </c>
      <c r="G6440" s="1">
        <v>974.98800000000006</v>
      </c>
      <c r="H6440" s="1">
        <v>4</v>
      </c>
      <c r="I6440" s="1">
        <v>-97.498800000000003</v>
      </c>
    </row>
    <row r="6441" spans="1:9" x14ac:dyDescent="0.35">
      <c r="A6441" s="3">
        <v>41739</v>
      </c>
      <c r="B6441" s="1" t="s">
        <v>1524</v>
      </c>
      <c r="C6441" s="1" t="s">
        <v>135</v>
      </c>
      <c r="D6441" s="1" t="s">
        <v>136</v>
      </c>
      <c r="E6441" s="1" t="s">
        <v>14</v>
      </c>
      <c r="F6441" s="2" t="s">
        <v>2641</v>
      </c>
      <c r="G6441" s="1">
        <v>589.41</v>
      </c>
      <c r="H6441" s="1">
        <v>5</v>
      </c>
      <c r="I6441" s="1">
        <v>-6.5490000000000004</v>
      </c>
    </row>
    <row r="6442" spans="1:9" x14ac:dyDescent="0.35">
      <c r="A6442" s="3" t="s">
        <v>3178</v>
      </c>
      <c r="B6442" s="1" t="s">
        <v>1146</v>
      </c>
      <c r="C6442" s="1" t="s">
        <v>135</v>
      </c>
      <c r="D6442" s="1" t="s">
        <v>136</v>
      </c>
      <c r="E6442" s="1" t="s">
        <v>31</v>
      </c>
      <c r="F6442" s="2" t="s">
        <v>1547</v>
      </c>
      <c r="G6442" s="1">
        <v>34.700000000000003</v>
      </c>
      <c r="H6442" s="1">
        <v>5</v>
      </c>
      <c r="I6442" s="1">
        <v>12.492000000000001</v>
      </c>
    </row>
    <row r="6443" spans="1:9" x14ac:dyDescent="0.35">
      <c r="A6443" s="3" t="s">
        <v>3178</v>
      </c>
      <c r="B6443" s="1" t="s">
        <v>1146</v>
      </c>
      <c r="C6443" s="1" t="s">
        <v>135</v>
      </c>
      <c r="D6443" s="1" t="s">
        <v>136</v>
      </c>
      <c r="E6443" s="1" t="s">
        <v>26</v>
      </c>
      <c r="F6443" s="2" t="s">
        <v>2144</v>
      </c>
      <c r="G6443" s="1">
        <v>99.87</v>
      </c>
      <c r="H6443" s="1">
        <v>3</v>
      </c>
      <c r="I6443" s="1">
        <v>23.968800000000002</v>
      </c>
    </row>
    <row r="6444" spans="1:9" x14ac:dyDescent="0.35">
      <c r="A6444" s="3" t="s">
        <v>3178</v>
      </c>
      <c r="B6444" s="1" t="s">
        <v>1146</v>
      </c>
      <c r="C6444" s="1" t="s">
        <v>135</v>
      </c>
      <c r="D6444" s="1" t="s">
        <v>136</v>
      </c>
      <c r="E6444" s="1" t="s">
        <v>44</v>
      </c>
      <c r="F6444" s="2" t="s">
        <v>2041</v>
      </c>
      <c r="G6444" s="1">
        <v>37.94</v>
      </c>
      <c r="H6444" s="1">
        <v>2</v>
      </c>
      <c r="I6444" s="1">
        <v>18.211200000000002</v>
      </c>
    </row>
    <row r="6445" spans="1:9" x14ac:dyDescent="0.35">
      <c r="A6445" s="3" t="s">
        <v>3178</v>
      </c>
      <c r="B6445" s="1" t="s">
        <v>1146</v>
      </c>
      <c r="C6445" s="1" t="s">
        <v>135</v>
      </c>
      <c r="D6445" s="1" t="s">
        <v>136</v>
      </c>
      <c r="E6445" s="1" t="s">
        <v>19</v>
      </c>
      <c r="F6445" s="2" t="s">
        <v>2507</v>
      </c>
      <c r="G6445" s="1">
        <v>24.9</v>
      </c>
      <c r="H6445" s="1">
        <v>5</v>
      </c>
      <c r="I6445" s="1">
        <v>11.454000000000001</v>
      </c>
    </row>
    <row r="6446" spans="1:9" x14ac:dyDescent="0.35">
      <c r="A6446" s="3" t="s">
        <v>3178</v>
      </c>
      <c r="B6446" s="1" t="s">
        <v>1146</v>
      </c>
      <c r="C6446" s="1" t="s">
        <v>135</v>
      </c>
      <c r="D6446" s="1" t="s">
        <v>136</v>
      </c>
      <c r="E6446" s="1" t="s">
        <v>29</v>
      </c>
      <c r="F6446" s="2" t="s">
        <v>1518</v>
      </c>
      <c r="G6446" s="1">
        <v>82.26</v>
      </c>
      <c r="H6446" s="1">
        <v>3</v>
      </c>
      <c r="I6446" s="1">
        <v>33.726599999999998</v>
      </c>
    </row>
    <row r="6447" spans="1:9" x14ac:dyDescent="0.35">
      <c r="A6447" s="3">
        <v>42127</v>
      </c>
      <c r="B6447" s="1" t="s">
        <v>1343</v>
      </c>
      <c r="C6447" s="1" t="s">
        <v>154</v>
      </c>
      <c r="D6447" s="1" t="s">
        <v>106</v>
      </c>
      <c r="E6447" s="1" t="s">
        <v>137</v>
      </c>
      <c r="F6447" s="2" t="s">
        <v>1818</v>
      </c>
      <c r="G6447" s="1">
        <v>7.1040000000000001</v>
      </c>
      <c r="H6447" s="1">
        <v>6</v>
      </c>
      <c r="I6447" s="1">
        <v>2.4864000000000002</v>
      </c>
    </row>
    <row r="6448" spans="1:9" x14ac:dyDescent="0.35">
      <c r="A6448" s="3">
        <v>42828</v>
      </c>
      <c r="B6448" s="1" t="s">
        <v>1768</v>
      </c>
      <c r="C6448" s="1" t="s">
        <v>93</v>
      </c>
      <c r="D6448" s="1" t="s">
        <v>52</v>
      </c>
      <c r="E6448" s="1" t="s">
        <v>29</v>
      </c>
      <c r="F6448" s="2" t="s">
        <v>86</v>
      </c>
      <c r="G6448" s="1">
        <v>103.5</v>
      </c>
      <c r="H6448" s="1">
        <v>5</v>
      </c>
      <c r="I6448" s="1">
        <v>-77.625</v>
      </c>
    </row>
    <row r="6449" spans="1:9" x14ac:dyDescent="0.35">
      <c r="A6449" s="3">
        <v>42828</v>
      </c>
      <c r="B6449" s="1" t="s">
        <v>1768</v>
      </c>
      <c r="C6449" s="1" t="s">
        <v>93</v>
      </c>
      <c r="D6449" s="1" t="s">
        <v>52</v>
      </c>
      <c r="E6449" s="1" t="s">
        <v>19</v>
      </c>
      <c r="F6449" s="2" t="s">
        <v>1843</v>
      </c>
      <c r="G6449" s="1">
        <v>2.464</v>
      </c>
      <c r="H6449" s="1">
        <v>1</v>
      </c>
      <c r="I6449" s="1">
        <v>0.86240000000000006</v>
      </c>
    </row>
    <row r="6450" spans="1:9" x14ac:dyDescent="0.35">
      <c r="A6450" s="3">
        <v>42828</v>
      </c>
      <c r="B6450" s="1" t="s">
        <v>1768</v>
      </c>
      <c r="C6450" s="1" t="s">
        <v>93</v>
      </c>
      <c r="D6450" s="1" t="s">
        <v>52</v>
      </c>
      <c r="E6450" s="1" t="s">
        <v>26</v>
      </c>
      <c r="F6450" s="2" t="s">
        <v>702</v>
      </c>
      <c r="G6450" s="1">
        <v>8.7200000000000006</v>
      </c>
      <c r="H6450" s="1">
        <v>1</v>
      </c>
      <c r="I6450" s="1">
        <v>0.65400000000000003</v>
      </c>
    </row>
    <row r="6451" spans="1:9" x14ac:dyDescent="0.35">
      <c r="A6451" s="3" t="s">
        <v>3149</v>
      </c>
      <c r="B6451" s="1" t="s">
        <v>1967</v>
      </c>
      <c r="C6451" s="1" t="s">
        <v>1920</v>
      </c>
      <c r="D6451" s="1" t="s">
        <v>368</v>
      </c>
      <c r="E6451" s="1" t="s">
        <v>35</v>
      </c>
      <c r="F6451" s="2" t="s">
        <v>1635</v>
      </c>
      <c r="G6451" s="1">
        <v>10.76</v>
      </c>
      <c r="H6451" s="1">
        <v>2</v>
      </c>
      <c r="I6451" s="1">
        <v>5.1647999999999996</v>
      </c>
    </row>
    <row r="6452" spans="1:9" x14ac:dyDescent="0.35">
      <c r="A6452" s="3" t="s">
        <v>3149</v>
      </c>
      <c r="B6452" s="1" t="s">
        <v>1967</v>
      </c>
      <c r="C6452" s="1" t="s">
        <v>1920</v>
      </c>
      <c r="D6452" s="1" t="s">
        <v>368</v>
      </c>
      <c r="E6452" s="1" t="s">
        <v>44</v>
      </c>
      <c r="F6452" s="2" t="s">
        <v>728</v>
      </c>
      <c r="G6452" s="1">
        <v>45.68</v>
      </c>
      <c r="H6452" s="1">
        <v>2</v>
      </c>
      <c r="I6452" s="1">
        <v>21.012799999999999</v>
      </c>
    </row>
    <row r="6453" spans="1:9" x14ac:dyDescent="0.35">
      <c r="A6453" s="3" t="s">
        <v>3149</v>
      </c>
      <c r="B6453" s="1" t="s">
        <v>1967</v>
      </c>
      <c r="C6453" s="1" t="s">
        <v>1920</v>
      </c>
      <c r="D6453" s="1" t="s">
        <v>368</v>
      </c>
      <c r="E6453" s="1" t="s">
        <v>31</v>
      </c>
      <c r="F6453" s="2" t="s">
        <v>203</v>
      </c>
      <c r="G6453" s="1">
        <v>6.7</v>
      </c>
      <c r="H6453" s="1">
        <v>1</v>
      </c>
      <c r="I6453" s="1">
        <v>2.2109999999999999</v>
      </c>
    </row>
    <row r="6454" spans="1:9" x14ac:dyDescent="0.35">
      <c r="A6454" s="3" t="s">
        <v>3498</v>
      </c>
      <c r="B6454" s="1" t="s">
        <v>2538</v>
      </c>
      <c r="C6454" s="1" t="s">
        <v>3000</v>
      </c>
      <c r="D6454" s="1" t="s">
        <v>106</v>
      </c>
      <c r="E6454" s="1" t="s">
        <v>33</v>
      </c>
      <c r="F6454" s="2" t="s">
        <v>1651</v>
      </c>
      <c r="G6454" s="1">
        <v>158.376</v>
      </c>
      <c r="H6454" s="1">
        <v>3</v>
      </c>
      <c r="I6454" s="1">
        <v>13.857900000000001</v>
      </c>
    </row>
    <row r="6455" spans="1:9" x14ac:dyDescent="0.35">
      <c r="A6455" s="3">
        <v>42226</v>
      </c>
      <c r="B6455" s="1" t="s">
        <v>1901</v>
      </c>
      <c r="C6455" s="1" t="s">
        <v>93</v>
      </c>
      <c r="D6455" s="1" t="s">
        <v>52</v>
      </c>
      <c r="E6455" s="1" t="s">
        <v>31</v>
      </c>
      <c r="F6455" s="2" t="s">
        <v>2564</v>
      </c>
      <c r="G6455" s="1">
        <v>3.44</v>
      </c>
      <c r="H6455" s="1">
        <v>2</v>
      </c>
      <c r="I6455" s="1">
        <v>0.55900000000000005</v>
      </c>
    </row>
    <row r="6456" spans="1:9" x14ac:dyDescent="0.35">
      <c r="A6456" s="3" t="s">
        <v>3450</v>
      </c>
      <c r="B6456" s="1" t="s">
        <v>2477</v>
      </c>
      <c r="C6456" s="1" t="s">
        <v>64</v>
      </c>
      <c r="D6456" s="1" t="s">
        <v>18</v>
      </c>
      <c r="E6456" s="1" t="s">
        <v>26</v>
      </c>
      <c r="F6456" s="2" t="s">
        <v>201</v>
      </c>
      <c r="G6456" s="1">
        <v>56.56</v>
      </c>
      <c r="H6456" s="1">
        <v>2</v>
      </c>
      <c r="I6456" s="1">
        <v>15.2712</v>
      </c>
    </row>
    <row r="6457" spans="1:9" x14ac:dyDescent="0.35">
      <c r="A6457" s="3" t="s">
        <v>3450</v>
      </c>
      <c r="B6457" s="1" t="s">
        <v>2477</v>
      </c>
      <c r="C6457" s="1" t="s">
        <v>64</v>
      </c>
      <c r="D6457" s="1" t="s">
        <v>18</v>
      </c>
      <c r="E6457" s="1" t="s">
        <v>29</v>
      </c>
      <c r="F6457" s="2" t="s">
        <v>2027</v>
      </c>
      <c r="G6457" s="1">
        <v>36.96</v>
      </c>
      <c r="H6457" s="1">
        <v>7</v>
      </c>
      <c r="I6457" s="1">
        <v>11.457599999999999</v>
      </c>
    </row>
    <row r="6458" spans="1:9" x14ac:dyDescent="0.35">
      <c r="A6458" s="3">
        <v>41767</v>
      </c>
      <c r="B6458" s="1" t="s">
        <v>313</v>
      </c>
      <c r="C6458" s="1" t="s">
        <v>135</v>
      </c>
      <c r="D6458" s="1" t="s">
        <v>136</v>
      </c>
      <c r="E6458" s="1" t="s">
        <v>33</v>
      </c>
      <c r="F6458" s="2" t="s">
        <v>2039</v>
      </c>
      <c r="G6458" s="1">
        <v>135.99</v>
      </c>
      <c r="H6458" s="1">
        <v>1</v>
      </c>
      <c r="I6458" s="1">
        <v>36.717300000000002</v>
      </c>
    </row>
    <row r="6459" spans="1:9" x14ac:dyDescent="0.35">
      <c r="A6459" s="3">
        <v>41767</v>
      </c>
      <c r="B6459" s="1" t="s">
        <v>313</v>
      </c>
      <c r="C6459" s="1" t="s">
        <v>135</v>
      </c>
      <c r="D6459" s="1" t="s">
        <v>136</v>
      </c>
      <c r="E6459" s="1" t="s">
        <v>31</v>
      </c>
      <c r="F6459" s="2" t="s">
        <v>2672</v>
      </c>
      <c r="G6459" s="1">
        <v>15.96</v>
      </c>
      <c r="H6459" s="1">
        <v>7</v>
      </c>
      <c r="I6459" s="1">
        <v>7.0224000000000002</v>
      </c>
    </row>
    <row r="6460" spans="1:9" x14ac:dyDescent="0.35">
      <c r="A6460" s="3" t="s">
        <v>3510</v>
      </c>
      <c r="B6460" s="1" t="s">
        <v>1197</v>
      </c>
      <c r="C6460" s="1" t="s">
        <v>1875</v>
      </c>
      <c r="D6460" s="1" t="s">
        <v>1217</v>
      </c>
      <c r="E6460" s="1" t="s">
        <v>31</v>
      </c>
      <c r="F6460" s="2" t="s">
        <v>1467</v>
      </c>
      <c r="G6460" s="1">
        <v>3.76</v>
      </c>
      <c r="H6460" s="1">
        <v>2</v>
      </c>
      <c r="I6460" s="1">
        <v>1.0904</v>
      </c>
    </row>
    <row r="6461" spans="1:9" x14ac:dyDescent="0.35">
      <c r="A6461" s="3" t="s">
        <v>3510</v>
      </c>
      <c r="B6461" s="1" t="s">
        <v>1197</v>
      </c>
      <c r="C6461" s="1" t="s">
        <v>1875</v>
      </c>
      <c r="D6461" s="1" t="s">
        <v>1217</v>
      </c>
      <c r="E6461" s="1" t="s">
        <v>31</v>
      </c>
      <c r="F6461" s="2" t="s">
        <v>772</v>
      </c>
      <c r="G6461" s="1">
        <v>14.7</v>
      </c>
      <c r="H6461" s="1">
        <v>5</v>
      </c>
      <c r="I6461" s="1">
        <v>6.6150000000000002</v>
      </c>
    </row>
    <row r="6462" spans="1:9" x14ac:dyDescent="0.35">
      <c r="A6462" s="3" t="s">
        <v>3510</v>
      </c>
      <c r="B6462" s="1" t="s">
        <v>1197</v>
      </c>
      <c r="C6462" s="1" t="s">
        <v>1875</v>
      </c>
      <c r="D6462" s="1" t="s">
        <v>1217</v>
      </c>
      <c r="E6462" s="1" t="s">
        <v>31</v>
      </c>
      <c r="F6462" s="2" t="s">
        <v>2413</v>
      </c>
      <c r="G6462" s="1">
        <v>37.200000000000003</v>
      </c>
      <c r="H6462" s="1">
        <v>5</v>
      </c>
      <c r="I6462" s="1">
        <v>9.3000000000000007</v>
      </c>
    </row>
    <row r="6463" spans="1:9" x14ac:dyDescent="0.35">
      <c r="A6463" s="3" t="s">
        <v>3510</v>
      </c>
      <c r="B6463" s="1" t="s">
        <v>1197</v>
      </c>
      <c r="C6463" s="1" t="s">
        <v>1875</v>
      </c>
      <c r="D6463" s="1" t="s">
        <v>1217</v>
      </c>
      <c r="E6463" s="1" t="s">
        <v>81</v>
      </c>
      <c r="F6463" s="2" t="s">
        <v>1764</v>
      </c>
      <c r="G6463" s="1">
        <v>89.97</v>
      </c>
      <c r="H6463" s="1">
        <v>3</v>
      </c>
      <c r="I6463" s="1">
        <v>18.893699999999999</v>
      </c>
    </row>
    <row r="6464" spans="1:9" x14ac:dyDescent="0.35">
      <c r="A6464" s="3" t="s">
        <v>3510</v>
      </c>
      <c r="B6464" s="1" t="s">
        <v>1197</v>
      </c>
      <c r="C6464" s="1" t="s">
        <v>1875</v>
      </c>
      <c r="D6464" s="1" t="s">
        <v>1217</v>
      </c>
      <c r="E6464" s="1" t="s">
        <v>14</v>
      </c>
      <c r="F6464" s="2" t="s">
        <v>2641</v>
      </c>
      <c r="G6464" s="1">
        <v>261.95999999999998</v>
      </c>
      <c r="H6464" s="1">
        <v>2</v>
      </c>
      <c r="I6464" s="1">
        <v>23.5764</v>
      </c>
    </row>
    <row r="6465" spans="1:9" x14ac:dyDescent="0.35">
      <c r="A6465" s="3" t="s">
        <v>3510</v>
      </c>
      <c r="B6465" s="1" t="s">
        <v>1197</v>
      </c>
      <c r="C6465" s="1" t="s">
        <v>1875</v>
      </c>
      <c r="D6465" s="1" t="s">
        <v>1217</v>
      </c>
      <c r="E6465" s="1" t="s">
        <v>19</v>
      </c>
      <c r="F6465" s="2" t="s">
        <v>415</v>
      </c>
      <c r="G6465" s="1">
        <v>74</v>
      </c>
      <c r="H6465" s="1">
        <v>5</v>
      </c>
      <c r="I6465" s="1">
        <v>37</v>
      </c>
    </row>
    <row r="6466" spans="1:9" x14ac:dyDescent="0.35">
      <c r="A6466" s="3" t="s">
        <v>3423</v>
      </c>
      <c r="B6466" s="1" t="s">
        <v>1298</v>
      </c>
      <c r="C6466" s="1" t="s">
        <v>697</v>
      </c>
      <c r="D6466" s="1" t="s">
        <v>11</v>
      </c>
      <c r="E6466" s="1" t="s">
        <v>29</v>
      </c>
      <c r="F6466" s="2" t="s">
        <v>2486</v>
      </c>
      <c r="G6466" s="1">
        <v>13.28</v>
      </c>
      <c r="H6466" s="1">
        <v>2</v>
      </c>
      <c r="I6466" s="1">
        <v>6.3743999999999996</v>
      </c>
    </row>
    <row r="6467" spans="1:9" x14ac:dyDescent="0.35">
      <c r="A6467" s="3" t="s">
        <v>3171</v>
      </c>
      <c r="B6467" s="1" t="s">
        <v>848</v>
      </c>
      <c r="C6467" s="1" t="s">
        <v>2973</v>
      </c>
      <c r="D6467" s="1" t="s">
        <v>171</v>
      </c>
      <c r="E6467" s="1" t="s">
        <v>26</v>
      </c>
      <c r="F6467" s="2" t="s">
        <v>2926</v>
      </c>
      <c r="G6467" s="1">
        <v>84.96</v>
      </c>
      <c r="H6467" s="1">
        <v>6</v>
      </c>
      <c r="I6467" s="1">
        <v>6.3719999999999999</v>
      </c>
    </row>
    <row r="6468" spans="1:9" x14ac:dyDescent="0.35">
      <c r="A6468" s="3" t="s">
        <v>3659</v>
      </c>
      <c r="B6468" s="1" t="s">
        <v>79</v>
      </c>
      <c r="C6468" s="1" t="s">
        <v>17</v>
      </c>
      <c r="D6468" s="1" t="s">
        <v>18</v>
      </c>
      <c r="E6468" s="1" t="s">
        <v>81</v>
      </c>
      <c r="F6468" s="2" t="s">
        <v>2663</v>
      </c>
      <c r="G6468" s="1">
        <v>68.459999999999994</v>
      </c>
      <c r="H6468" s="1">
        <v>7</v>
      </c>
      <c r="I6468" s="1">
        <v>25.330200000000001</v>
      </c>
    </row>
    <row r="6469" spans="1:9" x14ac:dyDescent="0.35">
      <c r="A6469" s="3">
        <v>42412</v>
      </c>
      <c r="B6469" s="1" t="s">
        <v>1740</v>
      </c>
      <c r="C6469" s="1" t="s">
        <v>1544</v>
      </c>
      <c r="D6469" s="1" t="s">
        <v>663</v>
      </c>
      <c r="E6469" s="1" t="s">
        <v>26</v>
      </c>
      <c r="F6469" s="2" t="s">
        <v>741</v>
      </c>
      <c r="G6469" s="1">
        <v>2079.4</v>
      </c>
      <c r="H6469" s="1">
        <v>5</v>
      </c>
      <c r="I6469" s="1">
        <v>582.23199999999997</v>
      </c>
    </row>
    <row r="6470" spans="1:9" x14ac:dyDescent="0.35">
      <c r="A6470" s="3">
        <v>42412</v>
      </c>
      <c r="B6470" s="1" t="s">
        <v>1740</v>
      </c>
      <c r="C6470" s="1" t="s">
        <v>1544</v>
      </c>
      <c r="D6470" s="1" t="s">
        <v>663</v>
      </c>
      <c r="E6470" s="1" t="s">
        <v>33</v>
      </c>
      <c r="F6470" s="2" t="s">
        <v>1788</v>
      </c>
      <c r="G6470" s="1">
        <v>629.95000000000005</v>
      </c>
      <c r="H6470" s="1">
        <v>5</v>
      </c>
      <c r="I6470" s="1">
        <v>176.386</v>
      </c>
    </row>
    <row r="6471" spans="1:9" x14ac:dyDescent="0.35">
      <c r="A6471" s="3">
        <v>42412</v>
      </c>
      <c r="B6471" s="1" t="s">
        <v>1740</v>
      </c>
      <c r="C6471" s="1" t="s">
        <v>1544</v>
      </c>
      <c r="D6471" s="1" t="s">
        <v>663</v>
      </c>
      <c r="E6471" s="1" t="s">
        <v>29</v>
      </c>
      <c r="F6471" s="2" t="s">
        <v>2884</v>
      </c>
      <c r="G6471" s="1">
        <v>72.42</v>
      </c>
      <c r="H6471" s="1">
        <v>6</v>
      </c>
      <c r="I6471" s="1">
        <v>23.898599999999998</v>
      </c>
    </row>
    <row r="6472" spans="1:9" x14ac:dyDescent="0.35">
      <c r="A6472" s="3" t="s">
        <v>3725</v>
      </c>
      <c r="B6472" s="1" t="s">
        <v>1381</v>
      </c>
      <c r="C6472" s="1" t="s">
        <v>429</v>
      </c>
      <c r="D6472" s="1" t="s">
        <v>120</v>
      </c>
      <c r="E6472" s="1" t="s">
        <v>33</v>
      </c>
      <c r="F6472" s="2" t="s">
        <v>1651</v>
      </c>
      <c r="G6472" s="1">
        <v>131.97999999999999</v>
      </c>
      <c r="H6472" s="1">
        <v>2</v>
      </c>
      <c r="I6472" s="1">
        <v>35.634599999999999</v>
      </c>
    </row>
    <row r="6473" spans="1:9" x14ac:dyDescent="0.35">
      <c r="A6473" s="3" t="s">
        <v>3725</v>
      </c>
      <c r="B6473" s="1" t="s">
        <v>1381</v>
      </c>
      <c r="C6473" s="1" t="s">
        <v>429</v>
      </c>
      <c r="D6473" s="1" t="s">
        <v>120</v>
      </c>
      <c r="E6473" s="1" t="s">
        <v>81</v>
      </c>
      <c r="F6473" s="2" t="s">
        <v>1615</v>
      </c>
      <c r="G6473" s="1">
        <v>114.52</v>
      </c>
      <c r="H6473" s="1">
        <v>7</v>
      </c>
      <c r="I6473" s="1">
        <v>11.452</v>
      </c>
    </row>
    <row r="6474" spans="1:9" x14ac:dyDescent="0.35">
      <c r="A6474" s="3">
        <v>41796</v>
      </c>
      <c r="B6474" s="1" t="s">
        <v>2667</v>
      </c>
      <c r="C6474" s="1" t="s">
        <v>93</v>
      </c>
      <c r="D6474" s="1" t="s">
        <v>52</v>
      </c>
      <c r="E6474" s="1" t="s">
        <v>19</v>
      </c>
      <c r="F6474" s="2" t="s">
        <v>571</v>
      </c>
      <c r="G6474" s="1">
        <v>100.24</v>
      </c>
      <c r="H6474" s="1">
        <v>10</v>
      </c>
      <c r="I6474" s="1">
        <v>33.831000000000003</v>
      </c>
    </row>
    <row r="6475" spans="1:9" x14ac:dyDescent="0.35">
      <c r="A6475" s="3" t="s">
        <v>3726</v>
      </c>
      <c r="B6475" s="1" t="s">
        <v>320</v>
      </c>
      <c r="C6475" s="1" t="s">
        <v>193</v>
      </c>
      <c r="D6475" s="1" t="s">
        <v>171</v>
      </c>
      <c r="E6475" s="1" t="s">
        <v>37</v>
      </c>
      <c r="F6475" s="2" t="s">
        <v>1620</v>
      </c>
      <c r="G6475" s="1">
        <v>871.8</v>
      </c>
      <c r="H6475" s="1">
        <v>3</v>
      </c>
      <c r="I6475" s="1">
        <v>87.18</v>
      </c>
    </row>
    <row r="6476" spans="1:9" x14ac:dyDescent="0.35">
      <c r="A6476" s="3" t="s">
        <v>3727</v>
      </c>
      <c r="B6476" s="1" t="s">
        <v>156</v>
      </c>
      <c r="C6476" s="1" t="s">
        <v>74</v>
      </c>
      <c r="D6476" s="1" t="s">
        <v>75</v>
      </c>
      <c r="E6476" s="1" t="s">
        <v>12</v>
      </c>
      <c r="F6476" s="2" t="s">
        <v>1556</v>
      </c>
      <c r="G6476" s="1">
        <v>61.96</v>
      </c>
      <c r="H6476" s="1">
        <v>4</v>
      </c>
      <c r="I6476" s="1">
        <v>-53.285600000000002</v>
      </c>
    </row>
    <row r="6477" spans="1:9" x14ac:dyDescent="0.35">
      <c r="A6477" s="3">
        <v>42800</v>
      </c>
      <c r="B6477" s="1" t="s">
        <v>2816</v>
      </c>
      <c r="C6477" s="1" t="s">
        <v>640</v>
      </c>
      <c r="D6477" s="1" t="s">
        <v>23</v>
      </c>
      <c r="E6477" s="1" t="s">
        <v>35</v>
      </c>
      <c r="F6477" s="2" t="s">
        <v>1486</v>
      </c>
      <c r="G6477" s="1">
        <v>4.5540000000000003</v>
      </c>
      <c r="H6477" s="1">
        <v>3</v>
      </c>
      <c r="I6477" s="1">
        <v>-3.4914000000000001</v>
      </c>
    </row>
    <row r="6478" spans="1:9" x14ac:dyDescent="0.35">
      <c r="A6478" s="3">
        <v>42800</v>
      </c>
      <c r="B6478" s="1" t="s">
        <v>2816</v>
      </c>
      <c r="C6478" s="1" t="s">
        <v>640</v>
      </c>
      <c r="D6478" s="1" t="s">
        <v>23</v>
      </c>
      <c r="E6478" s="1" t="s">
        <v>37</v>
      </c>
      <c r="F6478" s="2" t="s">
        <v>397</v>
      </c>
      <c r="G6478" s="1">
        <v>5.2</v>
      </c>
      <c r="H6478" s="1">
        <v>2</v>
      </c>
      <c r="I6478" s="1">
        <v>0.58499999999999996</v>
      </c>
    </row>
    <row r="6479" spans="1:9" x14ac:dyDescent="0.35">
      <c r="A6479" s="3">
        <v>42800</v>
      </c>
      <c r="B6479" s="1" t="s">
        <v>2816</v>
      </c>
      <c r="C6479" s="1" t="s">
        <v>640</v>
      </c>
      <c r="D6479" s="1" t="s">
        <v>23</v>
      </c>
      <c r="E6479" s="1" t="s">
        <v>81</v>
      </c>
      <c r="F6479" s="2" t="s">
        <v>442</v>
      </c>
      <c r="G6479" s="1">
        <v>205.99199999999999</v>
      </c>
      <c r="H6479" s="1">
        <v>1</v>
      </c>
      <c r="I6479" s="1">
        <v>-2.5749</v>
      </c>
    </row>
    <row r="6480" spans="1:9" x14ac:dyDescent="0.35">
      <c r="A6480" s="3">
        <v>42800</v>
      </c>
      <c r="B6480" s="1" t="s">
        <v>2816</v>
      </c>
      <c r="C6480" s="1" t="s">
        <v>640</v>
      </c>
      <c r="D6480" s="1" t="s">
        <v>23</v>
      </c>
      <c r="E6480" s="1" t="s">
        <v>44</v>
      </c>
      <c r="F6480" s="2" t="s">
        <v>1909</v>
      </c>
      <c r="G6480" s="1">
        <v>15.552</v>
      </c>
      <c r="H6480" s="1">
        <v>3</v>
      </c>
      <c r="I6480" s="1">
        <v>5.4432</v>
      </c>
    </row>
    <row r="6481" spans="1:9" x14ac:dyDescent="0.35">
      <c r="A6481" s="3">
        <v>42800</v>
      </c>
      <c r="B6481" s="1" t="s">
        <v>2816</v>
      </c>
      <c r="C6481" s="1" t="s">
        <v>640</v>
      </c>
      <c r="D6481" s="1" t="s">
        <v>23</v>
      </c>
      <c r="E6481" s="1" t="s">
        <v>33</v>
      </c>
      <c r="F6481" s="2" t="s">
        <v>1788</v>
      </c>
      <c r="G6481" s="1">
        <v>503.96</v>
      </c>
      <c r="H6481" s="1">
        <v>5</v>
      </c>
      <c r="I6481" s="1">
        <v>50.396000000000001</v>
      </c>
    </row>
    <row r="6482" spans="1:9" x14ac:dyDescent="0.35">
      <c r="A6482" s="3">
        <v>42800</v>
      </c>
      <c r="B6482" s="1" t="s">
        <v>2816</v>
      </c>
      <c r="C6482" s="1" t="s">
        <v>640</v>
      </c>
      <c r="D6482" s="1" t="s">
        <v>23</v>
      </c>
      <c r="E6482" s="1" t="s">
        <v>37</v>
      </c>
      <c r="F6482" s="2" t="s">
        <v>2153</v>
      </c>
      <c r="G6482" s="1">
        <v>24.472000000000001</v>
      </c>
      <c r="H6482" s="1">
        <v>7</v>
      </c>
      <c r="I6482" s="1">
        <v>1.8353999999999999</v>
      </c>
    </row>
    <row r="6483" spans="1:9" x14ac:dyDescent="0.35">
      <c r="A6483" s="3">
        <v>42800</v>
      </c>
      <c r="B6483" s="1" t="s">
        <v>2816</v>
      </c>
      <c r="C6483" s="1" t="s">
        <v>640</v>
      </c>
      <c r="D6483" s="1" t="s">
        <v>23</v>
      </c>
      <c r="E6483" s="1" t="s">
        <v>12</v>
      </c>
      <c r="F6483" s="2" t="s">
        <v>758</v>
      </c>
      <c r="G6483" s="1">
        <v>241.56800000000001</v>
      </c>
      <c r="H6483" s="1">
        <v>2</v>
      </c>
      <c r="I6483" s="1">
        <v>0</v>
      </c>
    </row>
    <row r="6484" spans="1:9" x14ac:dyDescent="0.35">
      <c r="A6484" s="3">
        <v>42800</v>
      </c>
      <c r="B6484" s="1" t="s">
        <v>2816</v>
      </c>
      <c r="C6484" s="1" t="s">
        <v>640</v>
      </c>
      <c r="D6484" s="1" t="s">
        <v>23</v>
      </c>
      <c r="E6484" s="1" t="s">
        <v>81</v>
      </c>
      <c r="F6484" s="2" t="s">
        <v>2687</v>
      </c>
      <c r="G6484" s="1">
        <v>110.4</v>
      </c>
      <c r="H6484" s="1">
        <v>2</v>
      </c>
      <c r="I6484" s="1">
        <v>-4.1399999999999997</v>
      </c>
    </row>
    <row r="6485" spans="1:9" x14ac:dyDescent="0.35">
      <c r="A6485" s="3">
        <v>42800</v>
      </c>
      <c r="B6485" s="1" t="s">
        <v>1686</v>
      </c>
      <c r="C6485" s="1" t="s">
        <v>135</v>
      </c>
      <c r="D6485" s="1" t="s">
        <v>136</v>
      </c>
      <c r="E6485" s="1" t="s">
        <v>24</v>
      </c>
      <c r="F6485" s="2" t="s">
        <v>1444</v>
      </c>
      <c r="G6485" s="1">
        <v>384.76799999999997</v>
      </c>
      <c r="H6485" s="1">
        <v>2</v>
      </c>
      <c r="I6485" s="1">
        <v>-115.43040000000001</v>
      </c>
    </row>
    <row r="6486" spans="1:9" x14ac:dyDescent="0.35">
      <c r="A6486" s="3">
        <v>42800</v>
      </c>
      <c r="B6486" s="1" t="s">
        <v>1686</v>
      </c>
      <c r="C6486" s="1" t="s">
        <v>135</v>
      </c>
      <c r="D6486" s="1" t="s">
        <v>136</v>
      </c>
      <c r="E6486" s="1" t="s">
        <v>338</v>
      </c>
      <c r="F6486" s="2" t="s">
        <v>2880</v>
      </c>
      <c r="G6486" s="1">
        <v>78.66</v>
      </c>
      <c r="H6486" s="1">
        <v>6</v>
      </c>
      <c r="I6486" s="1">
        <v>36.183599999999998</v>
      </c>
    </row>
    <row r="6487" spans="1:9" x14ac:dyDescent="0.35">
      <c r="A6487" s="3">
        <v>42800</v>
      </c>
      <c r="B6487" s="1" t="s">
        <v>1686</v>
      </c>
      <c r="C6487" s="1" t="s">
        <v>135</v>
      </c>
      <c r="D6487" s="1" t="s">
        <v>136</v>
      </c>
      <c r="E6487" s="1" t="s">
        <v>44</v>
      </c>
      <c r="F6487" s="2" t="s">
        <v>1294</v>
      </c>
      <c r="G6487" s="1">
        <v>45.36</v>
      </c>
      <c r="H6487" s="1">
        <v>4</v>
      </c>
      <c r="I6487" s="1">
        <v>22.226400000000002</v>
      </c>
    </row>
    <row r="6488" spans="1:9" x14ac:dyDescent="0.35">
      <c r="A6488" s="3" t="s">
        <v>3728</v>
      </c>
      <c r="B6488" s="1" t="s">
        <v>1751</v>
      </c>
      <c r="C6488" s="1" t="s">
        <v>719</v>
      </c>
      <c r="D6488" s="1" t="s">
        <v>43</v>
      </c>
      <c r="E6488" s="1" t="s">
        <v>37</v>
      </c>
      <c r="F6488" s="2" t="s">
        <v>457</v>
      </c>
      <c r="G6488" s="1">
        <v>962.08</v>
      </c>
      <c r="H6488" s="1">
        <v>4</v>
      </c>
      <c r="I6488" s="1">
        <v>156.33799999999999</v>
      </c>
    </row>
    <row r="6489" spans="1:9" x14ac:dyDescent="0.35">
      <c r="A6489" s="3" t="s">
        <v>3728</v>
      </c>
      <c r="B6489" s="1" t="s">
        <v>1751</v>
      </c>
      <c r="C6489" s="1" t="s">
        <v>719</v>
      </c>
      <c r="D6489" s="1" t="s">
        <v>43</v>
      </c>
      <c r="E6489" s="1" t="s">
        <v>35</v>
      </c>
      <c r="F6489" s="2" t="s">
        <v>2313</v>
      </c>
      <c r="G6489" s="1">
        <v>12.843</v>
      </c>
      <c r="H6489" s="1">
        <v>3</v>
      </c>
      <c r="I6489" s="1">
        <v>-9.8462999999999994</v>
      </c>
    </row>
    <row r="6490" spans="1:9" x14ac:dyDescent="0.35">
      <c r="A6490" s="3" t="s">
        <v>3728</v>
      </c>
      <c r="B6490" s="1" t="s">
        <v>1751</v>
      </c>
      <c r="C6490" s="1" t="s">
        <v>719</v>
      </c>
      <c r="D6490" s="1" t="s">
        <v>43</v>
      </c>
      <c r="E6490" s="1" t="s">
        <v>44</v>
      </c>
      <c r="F6490" s="2" t="s">
        <v>316</v>
      </c>
      <c r="G6490" s="1">
        <v>295.45600000000002</v>
      </c>
      <c r="H6490" s="1">
        <v>14</v>
      </c>
      <c r="I6490" s="1">
        <v>96.023200000000003</v>
      </c>
    </row>
    <row r="6491" spans="1:9" x14ac:dyDescent="0.35">
      <c r="A6491" s="3" t="s">
        <v>3154</v>
      </c>
      <c r="B6491" s="1" t="s">
        <v>1253</v>
      </c>
      <c r="C6491" s="1" t="s">
        <v>135</v>
      </c>
      <c r="D6491" s="1" t="s">
        <v>136</v>
      </c>
      <c r="E6491" s="1" t="s">
        <v>44</v>
      </c>
      <c r="F6491" s="2" t="s">
        <v>2381</v>
      </c>
      <c r="G6491" s="1">
        <v>32.4</v>
      </c>
      <c r="H6491" s="1">
        <v>5</v>
      </c>
      <c r="I6491" s="1">
        <v>15.552</v>
      </c>
    </row>
    <row r="6492" spans="1:9" x14ac:dyDescent="0.35">
      <c r="A6492" s="3" t="s">
        <v>3729</v>
      </c>
      <c r="B6492" s="1" t="s">
        <v>2828</v>
      </c>
      <c r="C6492" s="1" t="s">
        <v>74</v>
      </c>
      <c r="D6492" s="1" t="s">
        <v>75</v>
      </c>
      <c r="E6492" s="1" t="s">
        <v>29</v>
      </c>
      <c r="F6492" s="2" t="s">
        <v>1053</v>
      </c>
      <c r="G6492" s="1">
        <v>103.93600000000001</v>
      </c>
      <c r="H6492" s="1">
        <v>4</v>
      </c>
      <c r="I6492" s="1">
        <v>16.889600000000002</v>
      </c>
    </row>
    <row r="6493" spans="1:9" x14ac:dyDescent="0.35">
      <c r="A6493" s="3" t="s">
        <v>3355</v>
      </c>
      <c r="B6493" s="1" t="s">
        <v>558</v>
      </c>
      <c r="C6493" s="1" t="s">
        <v>2398</v>
      </c>
      <c r="D6493" s="1" t="s">
        <v>23</v>
      </c>
      <c r="E6493" s="1" t="s">
        <v>12</v>
      </c>
      <c r="F6493" s="2" t="s">
        <v>416</v>
      </c>
      <c r="G6493" s="1">
        <v>289.56799999999998</v>
      </c>
      <c r="H6493" s="1">
        <v>2</v>
      </c>
      <c r="I6493" s="1">
        <v>10.8588</v>
      </c>
    </row>
    <row r="6494" spans="1:9" x14ac:dyDescent="0.35">
      <c r="A6494" s="3" t="s">
        <v>3355</v>
      </c>
      <c r="B6494" s="1" t="s">
        <v>558</v>
      </c>
      <c r="C6494" s="1" t="s">
        <v>2398</v>
      </c>
      <c r="D6494" s="1" t="s">
        <v>23</v>
      </c>
      <c r="E6494" s="1" t="s">
        <v>26</v>
      </c>
      <c r="F6494" s="2" t="s">
        <v>632</v>
      </c>
      <c r="G6494" s="1">
        <v>39.72</v>
      </c>
      <c r="H6494" s="1">
        <v>5</v>
      </c>
      <c r="I6494" s="1">
        <v>4.4684999999999997</v>
      </c>
    </row>
    <row r="6495" spans="1:9" x14ac:dyDescent="0.35">
      <c r="A6495" s="3" t="s">
        <v>3355</v>
      </c>
      <c r="B6495" s="1" t="s">
        <v>558</v>
      </c>
      <c r="C6495" s="1" t="s">
        <v>2398</v>
      </c>
      <c r="D6495" s="1" t="s">
        <v>23</v>
      </c>
      <c r="E6495" s="1" t="s">
        <v>33</v>
      </c>
      <c r="F6495" s="2" t="s">
        <v>1813</v>
      </c>
      <c r="G6495" s="1">
        <v>244.768</v>
      </c>
      <c r="H6495" s="1">
        <v>4</v>
      </c>
      <c r="I6495" s="1">
        <v>24.476800000000001</v>
      </c>
    </row>
    <row r="6496" spans="1:9" x14ac:dyDescent="0.35">
      <c r="A6496" s="3" t="s">
        <v>3524</v>
      </c>
      <c r="B6496" s="1" t="s">
        <v>677</v>
      </c>
      <c r="C6496" s="1" t="s">
        <v>93</v>
      </c>
      <c r="D6496" s="1" t="s">
        <v>52</v>
      </c>
      <c r="E6496" s="1" t="s">
        <v>81</v>
      </c>
      <c r="F6496" s="2" t="s">
        <v>125</v>
      </c>
      <c r="G6496" s="1">
        <v>24</v>
      </c>
      <c r="H6496" s="1">
        <v>2</v>
      </c>
      <c r="I6496" s="1">
        <v>-2.7</v>
      </c>
    </row>
    <row r="6497" spans="1:9" x14ac:dyDescent="0.35">
      <c r="A6497" s="3" t="s">
        <v>3524</v>
      </c>
      <c r="B6497" s="1" t="s">
        <v>677</v>
      </c>
      <c r="C6497" s="1" t="s">
        <v>93</v>
      </c>
      <c r="D6497" s="1" t="s">
        <v>52</v>
      </c>
      <c r="E6497" s="1" t="s">
        <v>44</v>
      </c>
      <c r="F6497" s="2" t="s">
        <v>552</v>
      </c>
      <c r="G6497" s="1">
        <v>15.552</v>
      </c>
      <c r="H6497" s="1">
        <v>3</v>
      </c>
      <c r="I6497" s="1">
        <v>5.4432</v>
      </c>
    </row>
    <row r="6498" spans="1:9" x14ac:dyDescent="0.35">
      <c r="A6498" s="3" t="s">
        <v>3524</v>
      </c>
      <c r="B6498" s="1" t="s">
        <v>677</v>
      </c>
      <c r="C6498" s="1" t="s">
        <v>93</v>
      </c>
      <c r="D6498" s="1" t="s">
        <v>52</v>
      </c>
      <c r="E6498" s="1" t="s">
        <v>81</v>
      </c>
      <c r="F6498" s="2" t="s">
        <v>1615</v>
      </c>
      <c r="G6498" s="1">
        <v>26.175999999999998</v>
      </c>
      <c r="H6498" s="1">
        <v>2</v>
      </c>
      <c r="I6498" s="1">
        <v>-3.2719999999999998</v>
      </c>
    </row>
    <row r="6499" spans="1:9" x14ac:dyDescent="0.35">
      <c r="A6499" s="3" t="s">
        <v>3730</v>
      </c>
      <c r="B6499" s="1" t="s">
        <v>3001</v>
      </c>
      <c r="C6499" s="1" t="s">
        <v>697</v>
      </c>
      <c r="D6499" s="1" t="s">
        <v>11</v>
      </c>
      <c r="E6499" s="1" t="s">
        <v>29</v>
      </c>
      <c r="F6499" s="2" t="s">
        <v>30</v>
      </c>
      <c r="G6499" s="1">
        <v>20.94</v>
      </c>
      <c r="H6499" s="1">
        <v>3</v>
      </c>
      <c r="I6499" s="1">
        <v>6.0726000000000004</v>
      </c>
    </row>
    <row r="6500" spans="1:9" x14ac:dyDescent="0.35">
      <c r="A6500" s="3" t="s">
        <v>3730</v>
      </c>
      <c r="B6500" s="1" t="s">
        <v>3001</v>
      </c>
      <c r="C6500" s="1" t="s">
        <v>697</v>
      </c>
      <c r="D6500" s="1" t="s">
        <v>11</v>
      </c>
      <c r="E6500" s="1" t="s">
        <v>35</v>
      </c>
      <c r="F6500" s="2" t="s">
        <v>880</v>
      </c>
      <c r="G6500" s="1">
        <v>135.09</v>
      </c>
      <c r="H6500" s="1">
        <v>9</v>
      </c>
      <c r="I6500" s="1">
        <v>62.141399999999997</v>
      </c>
    </row>
    <row r="6501" spans="1:9" x14ac:dyDescent="0.35">
      <c r="A6501" s="3" t="s">
        <v>3730</v>
      </c>
      <c r="B6501" s="1" t="s">
        <v>3001</v>
      </c>
      <c r="C6501" s="1" t="s">
        <v>697</v>
      </c>
      <c r="D6501" s="1" t="s">
        <v>11</v>
      </c>
      <c r="E6501" s="1" t="s">
        <v>81</v>
      </c>
      <c r="F6501" s="2" t="s">
        <v>2038</v>
      </c>
      <c r="G6501" s="1">
        <v>279.86</v>
      </c>
      <c r="H6501" s="1">
        <v>14</v>
      </c>
      <c r="I6501" s="1">
        <v>64.367800000000003</v>
      </c>
    </row>
    <row r="6502" spans="1:9" x14ac:dyDescent="0.35">
      <c r="A6502" s="3" t="s">
        <v>3730</v>
      </c>
      <c r="B6502" s="1" t="s">
        <v>3001</v>
      </c>
      <c r="C6502" s="1" t="s">
        <v>697</v>
      </c>
      <c r="D6502" s="1" t="s">
        <v>11</v>
      </c>
      <c r="E6502" s="1" t="s">
        <v>35</v>
      </c>
      <c r="F6502" s="2" t="s">
        <v>880</v>
      </c>
      <c r="G6502" s="1">
        <v>90.06</v>
      </c>
      <c r="H6502" s="1">
        <v>6</v>
      </c>
      <c r="I6502" s="1">
        <v>41.427599999999998</v>
      </c>
    </row>
    <row r="6503" spans="1:9" x14ac:dyDescent="0.35">
      <c r="A6503" s="3">
        <v>41681</v>
      </c>
      <c r="B6503" s="1" t="s">
        <v>2547</v>
      </c>
      <c r="C6503" s="1" t="s">
        <v>414</v>
      </c>
      <c r="D6503" s="1" t="s">
        <v>250</v>
      </c>
      <c r="E6503" s="1" t="s">
        <v>33</v>
      </c>
      <c r="F6503" s="2" t="s">
        <v>2497</v>
      </c>
      <c r="G6503" s="1">
        <v>539.96400000000006</v>
      </c>
      <c r="H6503" s="1">
        <v>6</v>
      </c>
      <c r="I6503" s="1">
        <v>-107.9928</v>
      </c>
    </row>
    <row r="6504" spans="1:9" x14ac:dyDescent="0.35">
      <c r="A6504" s="3">
        <v>41681</v>
      </c>
      <c r="B6504" s="1" t="s">
        <v>2547</v>
      </c>
      <c r="C6504" s="1" t="s">
        <v>414</v>
      </c>
      <c r="D6504" s="1" t="s">
        <v>250</v>
      </c>
      <c r="E6504" s="1" t="s">
        <v>33</v>
      </c>
      <c r="F6504" s="2" t="s">
        <v>377</v>
      </c>
      <c r="G6504" s="1">
        <v>50.231999999999999</v>
      </c>
      <c r="H6504" s="1">
        <v>7</v>
      </c>
      <c r="I6504" s="1">
        <v>-10.0464</v>
      </c>
    </row>
    <row r="6505" spans="1:9" x14ac:dyDescent="0.35">
      <c r="A6505" s="3">
        <v>41681</v>
      </c>
      <c r="B6505" s="1" t="s">
        <v>2547</v>
      </c>
      <c r="C6505" s="1" t="s">
        <v>414</v>
      </c>
      <c r="D6505" s="1" t="s">
        <v>250</v>
      </c>
      <c r="E6505" s="1" t="s">
        <v>35</v>
      </c>
      <c r="F6505" s="2" t="s">
        <v>749</v>
      </c>
      <c r="G6505" s="1">
        <v>19.242000000000001</v>
      </c>
      <c r="H6505" s="1">
        <v>3</v>
      </c>
      <c r="I6505" s="1">
        <v>-13.4694</v>
      </c>
    </row>
    <row r="6506" spans="1:9" x14ac:dyDescent="0.35">
      <c r="A6506" s="3" t="s">
        <v>3272</v>
      </c>
      <c r="B6506" s="1" t="s">
        <v>413</v>
      </c>
      <c r="C6506" s="1" t="s">
        <v>135</v>
      </c>
      <c r="D6506" s="1" t="s">
        <v>136</v>
      </c>
      <c r="E6506" s="1" t="s">
        <v>26</v>
      </c>
      <c r="F6506" s="2" t="s">
        <v>741</v>
      </c>
      <c r="G6506" s="1">
        <v>1247.6400000000001</v>
      </c>
      <c r="H6506" s="1">
        <v>3</v>
      </c>
      <c r="I6506" s="1">
        <v>349.33920000000001</v>
      </c>
    </row>
    <row r="6507" spans="1:9" x14ac:dyDescent="0.35">
      <c r="A6507" s="3" t="s">
        <v>3479</v>
      </c>
      <c r="B6507" s="1" t="s">
        <v>3002</v>
      </c>
      <c r="C6507" s="1" t="s">
        <v>154</v>
      </c>
      <c r="D6507" s="1" t="s">
        <v>106</v>
      </c>
      <c r="E6507" s="1" t="s">
        <v>31</v>
      </c>
      <c r="F6507" s="2" t="s">
        <v>319</v>
      </c>
      <c r="G6507" s="1">
        <v>5.3040000000000003</v>
      </c>
      <c r="H6507" s="1">
        <v>3</v>
      </c>
      <c r="I6507" s="1">
        <v>0.46410000000000001</v>
      </c>
    </row>
    <row r="6508" spans="1:9" x14ac:dyDescent="0.35">
      <c r="A6508" s="3">
        <v>42623</v>
      </c>
      <c r="B6508" s="1" t="s">
        <v>989</v>
      </c>
      <c r="C6508" s="1" t="s">
        <v>74</v>
      </c>
      <c r="D6508" s="1" t="s">
        <v>75</v>
      </c>
      <c r="E6508" s="1" t="s">
        <v>44</v>
      </c>
      <c r="F6508" s="2" t="s">
        <v>2971</v>
      </c>
      <c r="G6508" s="1">
        <v>19.135999999999999</v>
      </c>
      <c r="H6508" s="1">
        <v>4</v>
      </c>
      <c r="I6508" s="1">
        <v>5.98</v>
      </c>
    </row>
    <row r="6509" spans="1:9" x14ac:dyDescent="0.35">
      <c r="A6509" s="3">
        <v>42623</v>
      </c>
      <c r="B6509" s="1" t="s">
        <v>989</v>
      </c>
      <c r="C6509" s="1" t="s">
        <v>74</v>
      </c>
      <c r="D6509" s="1" t="s">
        <v>75</v>
      </c>
      <c r="E6509" s="1" t="s">
        <v>29</v>
      </c>
      <c r="F6509" s="2" t="s">
        <v>1018</v>
      </c>
      <c r="G6509" s="1">
        <v>332.83199999999999</v>
      </c>
      <c r="H6509" s="1">
        <v>4</v>
      </c>
      <c r="I6509" s="1">
        <v>-24.962399999999999</v>
      </c>
    </row>
    <row r="6510" spans="1:9" x14ac:dyDescent="0.35">
      <c r="A6510" s="3" t="s">
        <v>3731</v>
      </c>
      <c r="B6510" s="1" t="s">
        <v>358</v>
      </c>
      <c r="C6510" s="1" t="s">
        <v>135</v>
      </c>
      <c r="D6510" s="1" t="s">
        <v>136</v>
      </c>
      <c r="E6510" s="1" t="s">
        <v>44</v>
      </c>
      <c r="F6510" s="2" t="s">
        <v>683</v>
      </c>
      <c r="G6510" s="1">
        <v>279.89999999999998</v>
      </c>
      <c r="H6510" s="1">
        <v>5</v>
      </c>
      <c r="I6510" s="1">
        <v>137.15100000000001</v>
      </c>
    </row>
    <row r="6511" spans="1:9" x14ac:dyDescent="0.35">
      <c r="A6511" s="3" t="s">
        <v>3731</v>
      </c>
      <c r="B6511" s="1" t="s">
        <v>358</v>
      </c>
      <c r="C6511" s="1" t="s">
        <v>135</v>
      </c>
      <c r="D6511" s="1" t="s">
        <v>136</v>
      </c>
      <c r="E6511" s="1" t="s">
        <v>35</v>
      </c>
      <c r="F6511" s="2" t="s">
        <v>572</v>
      </c>
      <c r="G6511" s="1">
        <v>50.351999999999997</v>
      </c>
      <c r="H6511" s="1">
        <v>3</v>
      </c>
      <c r="I6511" s="1">
        <v>17.623200000000001</v>
      </c>
    </row>
    <row r="6512" spans="1:9" x14ac:dyDescent="0.35">
      <c r="A6512" s="3" t="s">
        <v>3731</v>
      </c>
      <c r="B6512" s="1" t="s">
        <v>358</v>
      </c>
      <c r="C6512" s="1" t="s">
        <v>135</v>
      </c>
      <c r="D6512" s="1" t="s">
        <v>136</v>
      </c>
      <c r="E6512" s="1" t="s">
        <v>44</v>
      </c>
      <c r="F6512" s="2" t="s">
        <v>1294</v>
      </c>
      <c r="G6512" s="1">
        <v>34.020000000000003</v>
      </c>
      <c r="H6512" s="1">
        <v>3</v>
      </c>
      <c r="I6512" s="1">
        <v>16.669799999999999</v>
      </c>
    </row>
    <row r="6513" spans="1:9" x14ac:dyDescent="0.35">
      <c r="A6513" s="3">
        <v>42889</v>
      </c>
      <c r="B6513" s="1" t="s">
        <v>2901</v>
      </c>
      <c r="C6513" s="1" t="s">
        <v>64</v>
      </c>
      <c r="D6513" s="1" t="s">
        <v>18</v>
      </c>
      <c r="E6513" s="1" t="s">
        <v>31</v>
      </c>
      <c r="F6513" s="2" t="s">
        <v>1220</v>
      </c>
      <c r="G6513" s="1">
        <v>23.88</v>
      </c>
      <c r="H6513" s="1">
        <v>6</v>
      </c>
      <c r="I6513" s="1">
        <v>8.1191999999999993</v>
      </c>
    </row>
    <row r="6514" spans="1:9" x14ac:dyDescent="0.35">
      <c r="A6514" s="3">
        <v>42889</v>
      </c>
      <c r="B6514" s="1" t="s">
        <v>2901</v>
      </c>
      <c r="C6514" s="1" t="s">
        <v>64</v>
      </c>
      <c r="D6514" s="1" t="s">
        <v>18</v>
      </c>
      <c r="E6514" s="1" t="s">
        <v>19</v>
      </c>
      <c r="F6514" s="2" t="s">
        <v>2256</v>
      </c>
      <c r="G6514" s="1">
        <v>11.52</v>
      </c>
      <c r="H6514" s="1">
        <v>4</v>
      </c>
      <c r="I6514" s="1">
        <v>5.6448</v>
      </c>
    </row>
    <row r="6515" spans="1:9" x14ac:dyDescent="0.35">
      <c r="A6515" s="3">
        <v>42889</v>
      </c>
      <c r="B6515" s="1" t="s">
        <v>2901</v>
      </c>
      <c r="C6515" s="1" t="s">
        <v>64</v>
      </c>
      <c r="D6515" s="1" t="s">
        <v>18</v>
      </c>
      <c r="E6515" s="1" t="s">
        <v>44</v>
      </c>
      <c r="F6515" s="2" t="s">
        <v>2535</v>
      </c>
      <c r="G6515" s="1">
        <v>286.93</v>
      </c>
      <c r="H6515" s="1">
        <v>7</v>
      </c>
      <c r="I6515" s="1">
        <v>140.59569999999999</v>
      </c>
    </row>
    <row r="6516" spans="1:9" x14ac:dyDescent="0.35">
      <c r="A6516" s="3">
        <v>42889</v>
      </c>
      <c r="B6516" s="1" t="s">
        <v>2901</v>
      </c>
      <c r="C6516" s="1" t="s">
        <v>64</v>
      </c>
      <c r="D6516" s="1" t="s">
        <v>18</v>
      </c>
      <c r="E6516" s="1" t="s">
        <v>33</v>
      </c>
      <c r="F6516" s="2" t="s">
        <v>1609</v>
      </c>
      <c r="G6516" s="1">
        <v>206.38399999999999</v>
      </c>
      <c r="H6516" s="1">
        <v>2</v>
      </c>
      <c r="I6516" s="1">
        <v>23.2182</v>
      </c>
    </row>
    <row r="6517" spans="1:9" x14ac:dyDescent="0.35">
      <c r="A6517" s="3" t="s">
        <v>3687</v>
      </c>
      <c r="B6517" s="1" t="s">
        <v>1775</v>
      </c>
      <c r="C6517" s="1" t="s">
        <v>64</v>
      </c>
      <c r="D6517" s="1" t="s">
        <v>18</v>
      </c>
      <c r="E6517" s="1" t="s">
        <v>14</v>
      </c>
      <c r="F6517" s="2" t="s">
        <v>1606</v>
      </c>
      <c r="G6517" s="1">
        <v>218.352</v>
      </c>
      <c r="H6517" s="1">
        <v>3</v>
      </c>
      <c r="I6517" s="1">
        <v>0</v>
      </c>
    </row>
    <row r="6518" spans="1:9" x14ac:dyDescent="0.35">
      <c r="A6518" s="3" t="s">
        <v>3687</v>
      </c>
      <c r="B6518" s="1" t="s">
        <v>1775</v>
      </c>
      <c r="C6518" s="1" t="s">
        <v>64</v>
      </c>
      <c r="D6518" s="1" t="s">
        <v>18</v>
      </c>
      <c r="E6518" s="1" t="s">
        <v>29</v>
      </c>
      <c r="F6518" s="2" t="s">
        <v>1781</v>
      </c>
      <c r="G6518" s="1">
        <v>529.9</v>
      </c>
      <c r="H6518" s="1">
        <v>5</v>
      </c>
      <c r="I6518" s="1">
        <v>105.98</v>
      </c>
    </row>
    <row r="6519" spans="1:9" x14ac:dyDescent="0.35">
      <c r="A6519" s="3" t="s">
        <v>3687</v>
      </c>
      <c r="B6519" s="1" t="s">
        <v>1775</v>
      </c>
      <c r="C6519" s="1" t="s">
        <v>64</v>
      </c>
      <c r="D6519" s="1" t="s">
        <v>18</v>
      </c>
      <c r="E6519" s="1" t="s">
        <v>31</v>
      </c>
      <c r="F6519" s="2" t="s">
        <v>1790</v>
      </c>
      <c r="G6519" s="1">
        <v>99.3</v>
      </c>
      <c r="H6519" s="1">
        <v>10</v>
      </c>
      <c r="I6519" s="1">
        <v>41.706000000000003</v>
      </c>
    </row>
    <row r="6520" spans="1:9" x14ac:dyDescent="0.35">
      <c r="A6520" s="3" t="s">
        <v>3687</v>
      </c>
      <c r="B6520" s="1" t="s">
        <v>1775</v>
      </c>
      <c r="C6520" s="1" t="s">
        <v>64</v>
      </c>
      <c r="D6520" s="1" t="s">
        <v>18</v>
      </c>
      <c r="E6520" s="1" t="s">
        <v>37</v>
      </c>
      <c r="F6520" s="2" t="s">
        <v>2176</v>
      </c>
      <c r="G6520" s="1">
        <v>108.96</v>
      </c>
      <c r="H6520" s="1">
        <v>2</v>
      </c>
      <c r="I6520" s="1">
        <v>30.508800000000001</v>
      </c>
    </row>
    <row r="6521" spans="1:9" x14ac:dyDescent="0.35">
      <c r="A6521" s="3" t="s">
        <v>3687</v>
      </c>
      <c r="B6521" s="1" t="s">
        <v>1775</v>
      </c>
      <c r="C6521" s="1" t="s">
        <v>64</v>
      </c>
      <c r="D6521" s="1" t="s">
        <v>18</v>
      </c>
      <c r="E6521" s="1" t="s">
        <v>35</v>
      </c>
      <c r="F6521" s="2" t="s">
        <v>853</v>
      </c>
      <c r="G6521" s="1">
        <v>2.6880000000000002</v>
      </c>
      <c r="H6521" s="1">
        <v>1</v>
      </c>
      <c r="I6521" s="1">
        <v>0.84</v>
      </c>
    </row>
    <row r="6522" spans="1:9" x14ac:dyDescent="0.35">
      <c r="A6522" s="3" t="s">
        <v>3629</v>
      </c>
      <c r="B6522" s="1" t="s">
        <v>1715</v>
      </c>
      <c r="C6522" s="1" t="s">
        <v>167</v>
      </c>
      <c r="D6522" s="1" t="s">
        <v>120</v>
      </c>
      <c r="E6522" s="1" t="s">
        <v>35</v>
      </c>
      <c r="F6522" s="2" t="s">
        <v>597</v>
      </c>
      <c r="G6522" s="1">
        <v>5443.96</v>
      </c>
      <c r="H6522" s="1">
        <v>4</v>
      </c>
      <c r="I6522" s="1">
        <v>2504.2215999999999</v>
      </c>
    </row>
    <row r="6523" spans="1:9" x14ac:dyDescent="0.35">
      <c r="A6523" s="3" t="s">
        <v>3629</v>
      </c>
      <c r="B6523" s="1" t="s">
        <v>1715</v>
      </c>
      <c r="C6523" s="1" t="s">
        <v>167</v>
      </c>
      <c r="D6523" s="1" t="s">
        <v>120</v>
      </c>
      <c r="E6523" s="1" t="s">
        <v>14</v>
      </c>
      <c r="F6523" s="2" t="s">
        <v>2861</v>
      </c>
      <c r="G6523" s="1">
        <v>302.67</v>
      </c>
      <c r="H6523" s="1">
        <v>3</v>
      </c>
      <c r="I6523" s="1">
        <v>72.640799999999999</v>
      </c>
    </row>
    <row r="6524" spans="1:9" x14ac:dyDescent="0.35">
      <c r="A6524" s="3" t="s">
        <v>3629</v>
      </c>
      <c r="B6524" s="1" t="s">
        <v>1715</v>
      </c>
      <c r="C6524" s="1" t="s">
        <v>167</v>
      </c>
      <c r="D6524" s="1" t="s">
        <v>120</v>
      </c>
      <c r="E6524" s="1" t="s">
        <v>44</v>
      </c>
      <c r="F6524" s="2" t="s">
        <v>3003</v>
      </c>
      <c r="G6524" s="1">
        <v>56.07</v>
      </c>
      <c r="H6524" s="1">
        <v>7</v>
      </c>
      <c r="I6524" s="1">
        <v>25.2315</v>
      </c>
    </row>
    <row r="6525" spans="1:9" x14ac:dyDescent="0.35">
      <c r="A6525" s="3">
        <v>42558</v>
      </c>
      <c r="B6525" s="1" t="s">
        <v>1381</v>
      </c>
      <c r="C6525" s="1" t="s">
        <v>74</v>
      </c>
      <c r="D6525" s="1" t="s">
        <v>75</v>
      </c>
      <c r="E6525" s="1" t="s">
        <v>19</v>
      </c>
      <c r="F6525" s="2" t="s">
        <v>2698</v>
      </c>
      <c r="G6525" s="1">
        <v>10.08</v>
      </c>
      <c r="H6525" s="1">
        <v>2</v>
      </c>
      <c r="I6525" s="1">
        <v>3.2759999999999998</v>
      </c>
    </row>
    <row r="6526" spans="1:9" x14ac:dyDescent="0.35">
      <c r="A6526" s="3">
        <v>42558</v>
      </c>
      <c r="B6526" s="1" t="s">
        <v>1381</v>
      </c>
      <c r="C6526" s="1" t="s">
        <v>74</v>
      </c>
      <c r="D6526" s="1" t="s">
        <v>75</v>
      </c>
      <c r="E6526" s="1" t="s">
        <v>33</v>
      </c>
      <c r="F6526" s="2" t="s">
        <v>1623</v>
      </c>
      <c r="G6526" s="1">
        <v>59.994</v>
      </c>
      <c r="H6526" s="1">
        <v>1</v>
      </c>
      <c r="I6526" s="1">
        <v>-12.998699999999999</v>
      </c>
    </row>
    <row r="6527" spans="1:9" x14ac:dyDescent="0.35">
      <c r="A6527" s="3">
        <v>42558</v>
      </c>
      <c r="B6527" s="1" t="s">
        <v>1381</v>
      </c>
      <c r="C6527" s="1" t="s">
        <v>74</v>
      </c>
      <c r="D6527" s="1" t="s">
        <v>75</v>
      </c>
      <c r="E6527" s="1" t="s">
        <v>35</v>
      </c>
      <c r="F6527" s="2" t="s">
        <v>90</v>
      </c>
      <c r="G6527" s="1">
        <v>5.7149999999999999</v>
      </c>
      <c r="H6527" s="1">
        <v>5</v>
      </c>
      <c r="I6527" s="1">
        <v>-4.7625000000000002</v>
      </c>
    </row>
    <row r="6528" spans="1:9" x14ac:dyDescent="0.35">
      <c r="A6528" s="3">
        <v>42558</v>
      </c>
      <c r="B6528" s="1" t="s">
        <v>1381</v>
      </c>
      <c r="C6528" s="1" t="s">
        <v>74</v>
      </c>
      <c r="D6528" s="1" t="s">
        <v>75</v>
      </c>
      <c r="E6528" s="1" t="s">
        <v>35</v>
      </c>
      <c r="F6528" s="2" t="s">
        <v>2276</v>
      </c>
      <c r="G6528" s="1">
        <v>9.42</v>
      </c>
      <c r="H6528" s="1">
        <v>5</v>
      </c>
      <c r="I6528" s="1">
        <v>-7.85</v>
      </c>
    </row>
    <row r="6529" spans="1:9" x14ac:dyDescent="0.35">
      <c r="A6529" s="3" t="s">
        <v>3356</v>
      </c>
      <c r="B6529" s="1" t="s">
        <v>2389</v>
      </c>
      <c r="C6529" s="1" t="s">
        <v>662</v>
      </c>
      <c r="D6529" s="1" t="s">
        <v>663</v>
      </c>
      <c r="E6529" s="1" t="s">
        <v>579</v>
      </c>
      <c r="F6529" s="2" t="s">
        <v>1085</v>
      </c>
      <c r="G6529" s="1">
        <v>1999.96</v>
      </c>
      <c r="H6529" s="1">
        <v>4</v>
      </c>
      <c r="I6529" s="1">
        <v>899.98199999999997</v>
      </c>
    </row>
    <row r="6530" spans="1:9" x14ac:dyDescent="0.35">
      <c r="A6530" s="3" t="s">
        <v>3698</v>
      </c>
      <c r="B6530" s="1" t="s">
        <v>1472</v>
      </c>
      <c r="C6530" s="1" t="s">
        <v>135</v>
      </c>
      <c r="D6530" s="1" t="s">
        <v>136</v>
      </c>
      <c r="E6530" s="1" t="s">
        <v>26</v>
      </c>
      <c r="F6530" s="2" t="s">
        <v>3004</v>
      </c>
      <c r="G6530" s="1">
        <v>216.4</v>
      </c>
      <c r="H6530" s="1">
        <v>4</v>
      </c>
      <c r="I6530" s="1">
        <v>56.264000000000003</v>
      </c>
    </row>
    <row r="6531" spans="1:9" x14ac:dyDescent="0.35">
      <c r="A6531" s="3" t="s">
        <v>3732</v>
      </c>
      <c r="B6531" s="1" t="s">
        <v>2440</v>
      </c>
      <c r="C6531" s="1" t="s">
        <v>1766</v>
      </c>
      <c r="D6531" s="1" t="s">
        <v>52</v>
      </c>
      <c r="E6531" s="1" t="s">
        <v>19</v>
      </c>
      <c r="F6531" s="2" t="s">
        <v>1462</v>
      </c>
      <c r="G6531" s="1">
        <v>6.9359999999999999</v>
      </c>
      <c r="H6531" s="1">
        <v>3</v>
      </c>
      <c r="I6531" s="1">
        <v>2.3409</v>
      </c>
    </row>
    <row r="6532" spans="1:9" x14ac:dyDescent="0.35">
      <c r="A6532" s="3" t="s">
        <v>3732</v>
      </c>
      <c r="B6532" s="1" t="s">
        <v>2440</v>
      </c>
      <c r="C6532" s="1" t="s">
        <v>1766</v>
      </c>
      <c r="D6532" s="1" t="s">
        <v>52</v>
      </c>
      <c r="E6532" s="1" t="s">
        <v>35</v>
      </c>
      <c r="F6532" s="2" t="s">
        <v>1333</v>
      </c>
      <c r="G6532" s="1">
        <v>4.4279999999999999</v>
      </c>
      <c r="H6532" s="1">
        <v>3</v>
      </c>
      <c r="I6532" s="1">
        <v>-6.8634000000000004</v>
      </c>
    </row>
    <row r="6533" spans="1:9" x14ac:dyDescent="0.35">
      <c r="A6533" s="3">
        <v>42837</v>
      </c>
      <c r="B6533" s="1" t="s">
        <v>919</v>
      </c>
      <c r="C6533" s="1" t="s">
        <v>197</v>
      </c>
      <c r="D6533" s="1" t="s">
        <v>115</v>
      </c>
      <c r="E6533" s="1" t="s">
        <v>31</v>
      </c>
      <c r="F6533" s="2" t="s">
        <v>1749</v>
      </c>
      <c r="G6533" s="1">
        <v>8.8000000000000007</v>
      </c>
      <c r="H6533" s="1">
        <v>5</v>
      </c>
      <c r="I6533" s="1">
        <v>2.552</v>
      </c>
    </row>
    <row r="6534" spans="1:9" x14ac:dyDescent="0.35">
      <c r="A6534" s="3">
        <v>42837</v>
      </c>
      <c r="B6534" s="1" t="s">
        <v>919</v>
      </c>
      <c r="C6534" s="1" t="s">
        <v>197</v>
      </c>
      <c r="D6534" s="1" t="s">
        <v>115</v>
      </c>
      <c r="E6534" s="1" t="s">
        <v>81</v>
      </c>
      <c r="F6534" s="2" t="s">
        <v>2987</v>
      </c>
      <c r="G6534" s="1">
        <v>142.80000000000001</v>
      </c>
      <c r="H6534" s="1">
        <v>1</v>
      </c>
      <c r="I6534" s="1">
        <v>29.988</v>
      </c>
    </row>
    <row r="6535" spans="1:9" x14ac:dyDescent="0.35">
      <c r="A6535" s="3">
        <v>42837</v>
      </c>
      <c r="B6535" s="1" t="s">
        <v>919</v>
      </c>
      <c r="C6535" s="1" t="s">
        <v>197</v>
      </c>
      <c r="D6535" s="1" t="s">
        <v>115</v>
      </c>
      <c r="E6535" s="1" t="s">
        <v>81</v>
      </c>
      <c r="F6535" s="2" t="s">
        <v>2654</v>
      </c>
      <c r="G6535" s="1">
        <v>399.95</v>
      </c>
      <c r="H6535" s="1">
        <v>5</v>
      </c>
      <c r="I6535" s="1">
        <v>143.982</v>
      </c>
    </row>
    <row r="6536" spans="1:9" x14ac:dyDescent="0.35">
      <c r="A6536" s="3" t="s">
        <v>3330</v>
      </c>
      <c r="B6536" s="1" t="s">
        <v>869</v>
      </c>
      <c r="C6536" s="1" t="s">
        <v>1494</v>
      </c>
      <c r="D6536" s="1" t="s">
        <v>136</v>
      </c>
      <c r="E6536" s="1" t="s">
        <v>35</v>
      </c>
      <c r="F6536" s="2" t="s">
        <v>1956</v>
      </c>
      <c r="G6536" s="1">
        <v>2152.7759999999998</v>
      </c>
      <c r="H6536" s="1">
        <v>3</v>
      </c>
      <c r="I6536" s="1">
        <v>726.56190000000004</v>
      </c>
    </row>
    <row r="6537" spans="1:9" x14ac:dyDescent="0.35">
      <c r="A6537" s="3" t="s">
        <v>3330</v>
      </c>
      <c r="B6537" s="1" t="s">
        <v>869</v>
      </c>
      <c r="C6537" s="1" t="s">
        <v>1494</v>
      </c>
      <c r="D6537" s="1" t="s">
        <v>136</v>
      </c>
      <c r="E6537" s="1" t="s">
        <v>12</v>
      </c>
      <c r="F6537" s="2" t="s">
        <v>2059</v>
      </c>
      <c r="G6537" s="1">
        <v>4007.84</v>
      </c>
      <c r="H6537" s="1">
        <v>10</v>
      </c>
      <c r="I6537" s="1">
        <v>-50.097999999999999</v>
      </c>
    </row>
    <row r="6538" spans="1:9" x14ac:dyDescent="0.35">
      <c r="A6538" s="3" t="s">
        <v>3155</v>
      </c>
      <c r="B6538" s="1" t="s">
        <v>389</v>
      </c>
      <c r="C6538" s="1" t="s">
        <v>2099</v>
      </c>
      <c r="D6538" s="1" t="s">
        <v>171</v>
      </c>
      <c r="E6538" s="1" t="s">
        <v>24</v>
      </c>
      <c r="F6538" s="2" t="s">
        <v>1618</v>
      </c>
      <c r="G6538" s="1">
        <v>328.59</v>
      </c>
      <c r="H6538" s="1">
        <v>3</v>
      </c>
      <c r="I6538" s="1">
        <v>-147.8655</v>
      </c>
    </row>
    <row r="6539" spans="1:9" x14ac:dyDescent="0.35">
      <c r="A6539" s="3" t="s">
        <v>3155</v>
      </c>
      <c r="B6539" s="1" t="s">
        <v>389</v>
      </c>
      <c r="C6539" s="1" t="s">
        <v>2099</v>
      </c>
      <c r="D6539" s="1" t="s">
        <v>171</v>
      </c>
      <c r="E6539" s="1" t="s">
        <v>26</v>
      </c>
      <c r="F6539" s="2" t="s">
        <v>669</v>
      </c>
      <c r="G6539" s="1">
        <v>98.352000000000004</v>
      </c>
      <c r="H6539" s="1">
        <v>3</v>
      </c>
      <c r="I6539" s="1">
        <v>-24.588000000000001</v>
      </c>
    </row>
    <row r="6540" spans="1:9" x14ac:dyDescent="0.35">
      <c r="A6540" s="3" t="s">
        <v>3543</v>
      </c>
      <c r="B6540" s="1" t="s">
        <v>401</v>
      </c>
      <c r="C6540" s="1" t="s">
        <v>303</v>
      </c>
      <c r="D6540" s="1" t="s">
        <v>124</v>
      </c>
      <c r="E6540" s="1" t="s">
        <v>33</v>
      </c>
      <c r="F6540" s="2" t="s">
        <v>992</v>
      </c>
      <c r="G6540" s="1">
        <v>158.99</v>
      </c>
      <c r="H6540" s="1">
        <v>1</v>
      </c>
      <c r="I6540" s="1">
        <v>41.337400000000002</v>
      </c>
    </row>
    <row r="6541" spans="1:9" x14ac:dyDescent="0.35">
      <c r="A6541" s="3" t="s">
        <v>3543</v>
      </c>
      <c r="B6541" s="1" t="s">
        <v>401</v>
      </c>
      <c r="C6541" s="1" t="s">
        <v>303</v>
      </c>
      <c r="D6541" s="1" t="s">
        <v>124</v>
      </c>
      <c r="E6541" s="1" t="s">
        <v>14</v>
      </c>
      <c r="F6541" s="2" t="s">
        <v>2218</v>
      </c>
      <c r="G6541" s="1">
        <v>291.10000000000002</v>
      </c>
      <c r="H6541" s="1">
        <v>5</v>
      </c>
      <c r="I6541" s="1">
        <v>75.686000000000007</v>
      </c>
    </row>
    <row r="6542" spans="1:9" x14ac:dyDescent="0.35">
      <c r="A6542" s="3" t="s">
        <v>3283</v>
      </c>
      <c r="B6542" s="1" t="s">
        <v>1524</v>
      </c>
      <c r="C6542" s="1" t="s">
        <v>47</v>
      </c>
      <c r="D6542" s="1" t="s">
        <v>48</v>
      </c>
      <c r="E6542" s="1" t="s">
        <v>44</v>
      </c>
      <c r="F6542" s="2" t="s">
        <v>2727</v>
      </c>
      <c r="G6542" s="1">
        <v>73.680000000000007</v>
      </c>
      <c r="H6542" s="1">
        <v>6</v>
      </c>
      <c r="I6542" s="1">
        <v>34.629600000000003</v>
      </c>
    </row>
    <row r="6543" spans="1:9" x14ac:dyDescent="0.35">
      <c r="A6543" s="3" t="s">
        <v>3283</v>
      </c>
      <c r="B6543" s="1" t="s">
        <v>1524</v>
      </c>
      <c r="C6543" s="1" t="s">
        <v>47</v>
      </c>
      <c r="D6543" s="1" t="s">
        <v>48</v>
      </c>
      <c r="E6543" s="1" t="s">
        <v>29</v>
      </c>
      <c r="F6543" s="2" t="s">
        <v>1028</v>
      </c>
      <c r="G6543" s="1">
        <v>139.91999999999999</v>
      </c>
      <c r="H6543" s="1">
        <v>2</v>
      </c>
      <c r="I6543" s="1">
        <v>23.7864</v>
      </c>
    </row>
    <row r="6544" spans="1:9" x14ac:dyDescent="0.35">
      <c r="A6544" s="3" t="s">
        <v>3283</v>
      </c>
      <c r="B6544" s="1" t="s">
        <v>1524</v>
      </c>
      <c r="C6544" s="1" t="s">
        <v>47</v>
      </c>
      <c r="D6544" s="1" t="s">
        <v>48</v>
      </c>
      <c r="E6544" s="1" t="s">
        <v>33</v>
      </c>
      <c r="F6544" s="2" t="s">
        <v>2526</v>
      </c>
      <c r="G6544" s="1">
        <v>107.88</v>
      </c>
      <c r="H6544" s="1">
        <v>3</v>
      </c>
      <c r="I6544" s="1">
        <v>10.788</v>
      </c>
    </row>
    <row r="6545" spans="1:9" x14ac:dyDescent="0.35">
      <c r="A6545" s="3" t="s">
        <v>3283</v>
      </c>
      <c r="B6545" s="1" t="s">
        <v>1524</v>
      </c>
      <c r="C6545" s="1" t="s">
        <v>47</v>
      </c>
      <c r="D6545" s="1" t="s">
        <v>48</v>
      </c>
      <c r="E6545" s="1" t="s">
        <v>26</v>
      </c>
      <c r="F6545" s="2" t="s">
        <v>2144</v>
      </c>
      <c r="G6545" s="1">
        <v>33.29</v>
      </c>
      <c r="H6545" s="1">
        <v>1</v>
      </c>
      <c r="I6545" s="1">
        <v>7.9896000000000003</v>
      </c>
    </row>
    <row r="6546" spans="1:9" x14ac:dyDescent="0.35">
      <c r="A6546" s="3" t="s">
        <v>3510</v>
      </c>
      <c r="B6546" s="1" t="s">
        <v>127</v>
      </c>
      <c r="C6546" s="1" t="s">
        <v>994</v>
      </c>
      <c r="D6546" s="1" t="s">
        <v>250</v>
      </c>
      <c r="E6546" s="1" t="s">
        <v>35</v>
      </c>
      <c r="F6546" s="2" t="s">
        <v>2603</v>
      </c>
      <c r="G6546" s="1">
        <v>58.17</v>
      </c>
      <c r="H6546" s="1">
        <v>5</v>
      </c>
      <c r="I6546" s="1">
        <v>-46.536000000000001</v>
      </c>
    </row>
    <row r="6547" spans="1:9" x14ac:dyDescent="0.35">
      <c r="A6547" s="3" t="s">
        <v>3510</v>
      </c>
      <c r="B6547" s="1" t="s">
        <v>127</v>
      </c>
      <c r="C6547" s="1" t="s">
        <v>994</v>
      </c>
      <c r="D6547" s="1" t="s">
        <v>250</v>
      </c>
      <c r="E6547" s="1" t="s">
        <v>19</v>
      </c>
      <c r="F6547" s="2" t="s">
        <v>1423</v>
      </c>
      <c r="G6547" s="1">
        <v>5.04</v>
      </c>
      <c r="H6547" s="1">
        <v>2</v>
      </c>
      <c r="I6547" s="1">
        <v>1.764</v>
      </c>
    </row>
    <row r="6548" spans="1:9" x14ac:dyDescent="0.35">
      <c r="A6548" s="3" t="s">
        <v>3510</v>
      </c>
      <c r="B6548" s="1" t="s">
        <v>127</v>
      </c>
      <c r="C6548" s="1" t="s">
        <v>994</v>
      </c>
      <c r="D6548" s="1" t="s">
        <v>250</v>
      </c>
      <c r="E6548" s="1" t="s">
        <v>44</v>
      </c>
      <c r="F6548" s="2" t="s">
        <v>2815</v>
      </c>
      <c r="G6548" s="1">
        <v>24.783999999999999</v>
      </c>
      <c r="H6548" s="1">
        <v>1</v>
      </c>
      <c r="I6548" s="1">
        <v>7.7450000000000001</v>
      </c>
    </row>
    <row r="6549" spans="1:9" x14ac:dyDescent="0.35">
      <c r="A6549" s="3">
        <v>41642</v>
      </c>
      <c r="B6549" s="1" t="s">
        <v>2394</v>
      </c>
      <c r="C6549" s="1" t="s">
        <v>2213</v>
      </c>
      <c r="D6549" s="1" t="s">
        <v>106</v>
      </c>
      <c r="E6549" s="1" t="s">
        <v>14</v>
      </c>
      <c r="F6549" s="2" t="s">
        <v>195</v>
      </c>
      <c r="G6549" s="1">
        <v>634.11599999999999</v>
      </c>
      <c r="H6549" s="1">
        <v>6</v>
      </c>
      <c r="I6549" s="1">
        <v>-172.1172</v>
      </c>
    </row>
    <row r="6550" spans="1:9" x14ac:dyDescent="0.35">
      <c r="A6550" s="3">
        <v>41642</v>
      </c>
      <c r="B6550" s="1" t="s">
        <v>2394</v>
      </c>
      <c r="C6550" s="1" t="s">
        <v>2213</v>
      </c>
      <c r="D6550" s="1" t="s">
        <v>106</v>
      </c>
      <c r="E6550" s="1" t="s">
        <v>44</v>
      </c>
      <c r="F6550" s="2" t="s">
        <v>2920</v>
      </c>
      <c r="G6550" s="1">
        <v>17.472000000000001</v>
      </c>
      <c r="H6550" s="1">
        <v>3</v>
      </c>
      <c r="I6550" s="1">
        <v>5.6783999999999999</v>
      </c>
    </row>
    <row r="6551" spans="1:9" x14ac:dyDescent="0.35">
      <c r="A6551" s="3" t="s">
        <v>3733</v>
      </c>
      <c r="B6551" s="1" t="s">
        <v>2493</v>
      </c>
      <c r="C6551" s="1" t="s">
        <v>454</v>
      </c>
      <c r="D6551" s="1" t="s">
        <v>115</v>
      </c>
      <c r="E6551" s="1" t="s">
        <v>14</v>
      </c>
      <c r="F6551" s="2" t="s">
        <v>1355</v>
      </c>
      <c r="G6551" s="1">
        <v>155.88</v>
      </c>
      <c r="H6551" s="1">
        <v>6</v>
      </c>
      <c r="I6551" s="1">
        <v>38.97</v>
      </c>
    </row>
    <row r="6552" spans="1:9" x14ac:dyDescent="0.35">
      <c r="A6552" s="3">
        <v>42015</v>
      </c>
      <c r="B6552" s="1" t="s">
        <v>1550</v>
      </c>
      <c r="C6552" s="1" t="s">
        <v>135</v>
      </c>
      <c r="D6552" s="1" t="s">
        <v>136</v>
      </c>
      <c r="E6552" s="1" t="s">
        <v>14</v>
      </c>
      <c r="F6552" s="2" t="s">
        <v>2417</v>
      </c>
      <c r="G6552" s="1">
        <v>327.56400000000002</v>
      </c>
      <c r="H6552" s="1">
        <v>4</v>
      </c>
      <c r="I6552" s="1">
        <v>21.837599999999998</v>
      </c>
    </row>
    <row r="6553" spans="1:9" x14ac:dyDescent="0.35">
      <c r="A6553" s="3" t="s">
        <v>3309</v>
      </c>
      <c r="B6553" s="1" t="s">
        <v>221</v>
      </c>
      <c r="C6553" s="1" t="s">
        <v>17</v>
      </c>
      <c r="D6553" s="1" t="s">
        <v>18</v>
      </c>
      <c r="E6553" s="1" t="s">
        <v>44</v>
      </c>
      <c r="F6553" s="2" t="s">
        <v>865</v>
      </c>
      <c r="G6553" s="1">
        <v>13.36</v>
      </c>
      <c r="H6553" s="1">
        <v>2</v>
      </c>
      <c r="I6553" s="1">
        <v>6.4127999999999998</v>
      </c>
    </row>
    <row r="6554" spans="1:9" x14ac:dyDescent="0.35">
      <c r="A6554" s="3" t="s">
        <v>3309</v>
      </c>
      <c r="B6554" s="1" t="s">
        <v>221</v>
      </c>
      <c r="C6554" s="1" t="s">
        <v>17</v>
      </c>
      <c r="D6554" s="1" t="s">
        <v>18</v>
      </c>
      <c r="E6554" s="1" t="s">
        <v>26</v>
      </c>
      <c r="F6554" s="2" t="s">
        <v>1624</v>
      </c>
      <c r="G6554" s="1">
        <v>158.9</v>
      </c>
      <c r="H6554" s="1">
        <v>5</v>
      </c>
      <c r="I6554" s="1">
        <v>7.9450000000000003</v>
      </c>
    </row>
    <row r="6555" spans="1:9" x14ac:dyDescent="0.35">
      <c r="A6555" s="3" t="s">
        <v>3155</v>
      </c>
      <c r="B6555" s="1" t="s">
        <v>275</v>
      </c>
      <c r="C6555" s="1" t="s">
        <v>154</v>
      </c>
      <c r="D6555" s="1" t="s">
        <v>106</v>
      </c>
      <c r="E6555" s="1" t="s">
        <v>81</v>
      </c>
      <c r="F6555" s="2" t="s">
        <v>1044</v>
      </c>
      <c r="G6555" s="1">
        <v>319.96800000000002</v>
      </c>
      <c r="H6555" s="1">
        <v>4</v>
      </c>
      <c r="I6555" s="1">
        <v>71.992800000000003</v>
      </c>
    </row>
    <row r="6556" spans="1:9" x14ac:dyDescent="0.35">
      <c r="A6556" s="3" t="s">
        <v>3155</v>
      </c>
      <c r="B6556" s="1" t="s">
        <v>275</v>
      </c>
      <c r="C6556" s="1" t="s">
        <v>154</v>
      </c>
      <c r="D6556" s="1" t="s">
        <v>106</v>
      </c>
      <c r="E6556" s="1" t="s">
        <v>26</v>
      </c>
      <c r="F6556" s="2" t="s">
        <v>2784</v>
      </c>
      <c r="G6556" s="1">
        <v>505.32</v>
      </c>
      <c r="H6556" s="1">
        <v>3</v>
      </c>
      <c r="I6556" s="1">
        <v>31.5825</v>
      </c>
    </row>
    <row r="6557" spans="1:9" x14ac:dyDescent="0.35">
      <c r="A6557" s="3" t="s">
        <v>3155</v>
      </c>
      <c r="B6557" s="1" t="s">
        <v>275</v>
      </c>
      <c r="C6557" s="1" t="s">
        <v>154</v>
      </c>
      <c r="D6557" s="1" t="s">
        <v>106</v>
      </c>
      <c r="E6557" s="1" t="s">
        <v>44</v>
      </c>
      <c r="F6557" s="2" t="s">
        <v>3005</v>
      </c>
      <c r="G6557" s="1">
        <v>3.8079999999999998</v>
      </c>
      <c r="H6557" s="1">
        <v>1</v>
      </c>
      <c r="I6557" s="1">
        <v>1.2376</v>
      </c>
    </row>
    <row r="6558" spans="1:9" x14ac:dyDescent="0.35">
      <c r="A6558" s="3" t="s">
        <v>3155</v>
      </c>
      <c r="B6558" s="1" t="s">
        <v>275</v>
      </c>
      <c r="C6558" s="1" t="s">
        <v>154</v>
      </c>
      <c r="D6558" s="1" t="s">
        <v>106</v>
      </c>
      <c r="E6558" s="1" t="s">
        <v>35</v>
      </c>
      <c r="F6558" s="2" t="s">
        <v>2179</v>
      </c>
      <c r="G6558" s="1">
        <v>8.6820000000000004</v>
      </c>
      <c r="H6558" s="1">
        <v>1</v>
      </c>
      <c r="I6558" s="1">
        <v>-14.759399999999999</v>
      </c>
    </row>
    <row r="6559" spans="1:9" x14ac:dyDescent="0.35">
      <c r="A6559" s="3" t="s">
        <v>3155</v>
      </c>
      <c r="B6559" s="1" t="s">
        <v>275</v>
      </c>
      <c r="C6559" s="1" t="s">
        <v>154</v>
      </c>
      <c r="D6559" s="1" t="s">
        <v>106</v>
      </c>
      <c r="E6559" s="1" t="s">
        <v>19</v>
      </c>
      <c r="F6559" s="2" t="s">
        <v>1026</v>
      </c>
      <c r="G6559" s="1">
        <v>24.423999999999999</v>
      </c>
      <c r="H6559" s="1">
        <v>1</v>
      </c>
      <c r="I6559" s="1">
        <v>7.9378000000000002</v>
      </c>
    </row>
    <row r="6560" spans="1:9" x14ac:dyDescent="0.35">
      <c r="A6560" s="3">
        <v>42130</v>
      </c>
      <c r="B6560" s="1" t="s">
        <v>1753</v>
      </c>
      <c r="C6560" s="1" t="s">
        <v>1494</v>
      </c>
      <c r="D6560" s="1" t="s">
        <v>136</v>
      </c>
      <c r="E6560" s="1" t="s">
        <v>14</v>
      </c>
      <c r="F6560" s="2" t="s">
        <v>891</v>
      </c>
      <c r="G6560" s="1">
        <v>1522.6379999999999</v>
      </c>
      <c r="H6560" s="1">
        <v>9</v>
      </c>
      <c r="I6560" s="1">
        <v>169.18199999999999</v>
      </c>
    </row>
    <row r="6561" spans="1:9" x14ac:dyDescent="0.35">
      <c r="A6561" s="3" t="s">
        <v>3666</v>
      </c>
      <c r="B6561" s="1" t="s">
        <v>1652</v>
      </c>
      <c r="C6561" s="1" t="s">
        <v>283</v>
      </c>
      <c r="D6561" s="1" t="s">
        <v>18</v>
      </c>
      <c r="E6561" s="1" t="s">
        <v>87</v>
      </c>
      <c r="F6561" s="2" t="s">
        <v>1631</v>
      </c>
      <c r="G6561" s="1">
        <v>419.9</v>
      </c>
      <c r="H6561" s="1">
        <v>5</v>
      </c>
      <c r="I6561" s="1">
        <v>197.35300000000001</v>
      </c>
    </row>
    <row r="6562" spans="1:9" x14ac:dyDescent="0.35">
      <c r="A6562" s="3" t="s">
        <v>3666</v>
      </c>
      <c r="B6562" s="1" t="s">
        <v>1652</v>
      </c>
      <c r="C6562" s="1" t="s">
        <v>283</v>
      </c>
      <c r="D6562" s="1" t="s">
        <v>18</v>
      </c>
      <c r="E6562" s="1" t="s">
        <v>19</v>
      </c>
      <c r="F6562" s="2" t="s">
        <v>682</v>
      </c>
      <c r="G6562" s="1">
        <v>3.15</v>
      </c>
      <c r="H6562" s="1">
        <v>1</v>
      </c>
      <c r="I6562" s="1">
        <v>1.512</v>
      </c>
    </row>
    <row r="6563" spans="1:9" x14ac:dyDescent="0.35">
      <c r="A6563" s="3" t="s">
        <v>3335</v>
      </c>
      <c r="B6563" s="1" t="s">
        <v>2180</v>
      </c>
      <c r="C6563" s="1" t="s">
        <v>540</v>
      </c>
      <c r="D6563" s="1" t="s">
        <v>52</v>
      </c>
      <c r="E6563" s="1" t="s">
        <v>37</v>
      </c>
      <c r="F6563" s="2" t="s">
        <v>1265</v>
      </c>
      <c r="G6563" s="1">
        <v>33.619999999999997</v>
      </c>
      <c r="H6563" s="1">
        <v>5</v>
      </c>
      <c r="I6563" s="1">
        <v>-90.774000000000001</v>
      </c>
    </row>
    <row r="6564" spans="1:9" x14ac:dyDescent="0.35">
      <c r="A6564" s="3">
        <v>41825</v>
      </c>
      <c r="B6564" s="1" t="s">
        <v>2022</v>
      </c>
      <c r="C6564" s="1" t="s">
        <v>700</v>
      </c>
      <c r="D6564" s="1" t="s">
        <v>592</v>
      </c>
      <c r="E6564" s="1" t="s">
        <v>35</v>
      </c>
      <c r="F6564" s="2" t="s">
        <v>150</v>
      </c>
      <c r="G6564" s="1">
        <v>16.14</v>
      </c>
      <c r="H6564" s="1">
        <v>3</v>
      </c>
      <c r="I6564" s="1">
        <v>7.9085999999999999</v>
      </c>
    </row>
    <row r="6565" spans="1:9" x14ac:dyDescent="0.35">
      <c r="A6565" s="3">
        <v>41825</v>
      </c>
      <c r="B6565" s="1" t="s">
        <v>2022</v>
      </c>
      <c r="C6565" s="1" t="s">
        <v>700</v>
      </c>
      <c r="D6565" s="1" t="s">
        <v>592</v>
      </c>
      <c r="E6565" s="1" t="s">
        <v>24</v>
      </c>
      <c r="F6565" s="2" t="s">
        <v>2637</v>
      </c>
      <c r="G6565" s="1">
        <v>194.25</v>
      </c>
      <c r="H6565" s="1">
        <v>2</v>
      </c>
      <c r="I6565" s="1">
        <v>-38.85</v>
      </c>
    </row>
    <row r="6566" spans="1:9" x14ac:dyDescent="0.35">
      <c r="A6566" s="3">
        <v>41825</v>
      </c>
      <c r="B6566" s="1" t="s">
        <v>2022</v>
      </c>
      <c r="C6566" s="1" t="s">
        <v>700</v>
      </c>
      <c r="D6566" s="1" t="s">
        <v>592</v>
      </c>
      <c r="E6566" s="1" t="s">
        <v>31</v>
      </c>
      <c r="F6566" s="2" t="s">
        <v>1171</v>
      </c>
      <c r="G6566" s="1">
        <v>8.64</v>
      </c>
      <c r="H6566" s="1">
        <v>3</v>
      </c>
      <c r="I6566" s="1">
        <v>2.5055999999999998</v>
      </c>
    </row>
    <row r="6567" spans="1:9" x14ac:dyDescent="0.35">
      <c r="A6567" s="3">
        <v>41825</v>
      </c>
      <c r="B6567" s="1" t="s">
        <v>2022</v>
      </c>
      <c r="C6567" s="1" t="s">
        <v>700</v>
      </c>
      <c r="D6567" s="1" t="s">
        <v>592</v>
      </c>
      <c r="E6567" s="1" t="s">
        <v>14</v>
      </c>
      <c r="F6567" s="2" t="s">
        <v>1117</v>
      </c>
      <c r="G6567" s="1">
        <v>872.32</v>
      </c>
      <c r="H6567" s="1">
        <v>4</v>
      </c>
      <c r="I6567" s="1">
        <v>244.24959999999999</v>
      </c>
    </row>
    <row r="6568" spans="1:9" x14ac:dyDescent="0.35">
      <c r="A6568" s="3">
        <v>42857</v>
      </c>
      <c r="B6568" s="1" t="s">
        <v>382</v>
      </c>
      <c r="C6568" s="1" t="s">
        <v>2873</v>
      </c>
      <c r="D6568" s="1" t="s">
        <v>52</v>
      </c>
      <c r="E6568" s="1" t="s">
        <v>35</v>
      </c>
      <c r="F6568" s="2" t="s">
        <v>1007</v>
      </c>
      <c r="G6568" s="1">
        <v>243.99199999999999</v>
      </c>
      <c r="H6568" s="1">
        <v>4</v>
      </c>
      <c r="I6568" s="1">
        <v>-426.98599999999999</v>
      </c>
    </row>
    <row r="6569" spans="1:9" x14ac:dyDescent="0.35">
      <c r="A6569" s="3">
        <v>42857</v>
      </c>
      <c r="B6569" s="1" t="s">
        <v>382</v>
      </c>
      <c r="C6569" s="1" t="s">
        <v>2873</v>
      </c>
      <c r="D6569" s="1" t="s">
        <v>52</v>
      </c>
      <c r="E6569" s="1" t="s">
        <v>31</v>
      </c>
      <c r="F6569" s="2" t="s">
        <v>1329</v>
      </c>
      <c r="G6569" s="1">
        <v>7.12</v>
      </c>
      <c r="H6569" s="1">
        <v>5</v>
      </c>
      <c r="I6569" s="1">
        <v>0.71199999999999997</v>
      </c>
    </row>
    <row r="6570" spans="1:9" x14ac:dyDescent="0.35">
      <c r="A6570" s="3" t="s">
        <v>3413</v>
      </c>
      <c r="B6570" s="1" t="s">
        <v>148</v>
      </c>
      <c r="C6570" s="1" t="s">
        <v>93</v>
      </c>
      <c r="D6570" s="1" t="s">
        <v>52</v>
      </c>
      <c r="E6570" s="1" t="s">
        <v>31</v>
      </c>
      <c r="F6570" s="2" t="s">
        <v>147</v>
      </c>
      <c r="G6570" s="1">
        <v>2.6880000000000002</v>
      </c>
      <c r="H6570" s="1">
        <v>2</v>
      </c>
      <c r="I6570" s="1">
        <v>1.008</v>
      </c>
    </row>
    <row r="6571" spans="1:9" x14ac:dyDescent="0.35">
      <c r="A6571" s="3" t="s">
        <v>3413</v>
      </c>
      <c r="B6571" s="1" t="s">
        <v>148</v>
      </c>
      <c r="C6571" s="1" t="s">
        <v>93</v>
      </c>
      <c r="D6571" s="1" t="s">
        <v>52</v>
      </c>
      <c r="E6571" s="1" t="s">
        <v>14</v>
      </c>
      <c r="F6571" s="2" t="s">
        <v>556</v>
      </c>
      <c r="G6571" s="1">
        <v>317.05799999999999</v>
      </c>
      <c r="H6571" s="1">
        <v>3</v>
      </c>
      <c r="I6571" s="1">
        <v>-18.117599999999999</v>
      </c>
    </row>
    <row r="6572" spans="1:9" x14ac:dyDescent="0.35">
      <c r="A6572" s="3" t="s">
        <v>3413</v>
      </c>
      <c r="B6572" s="1" t="s">
        <v>148</v>
      </c>
      <c r="C6572" s="1" t="s">
        <v>93</v>
      </c>
      <c r="D6572" s="1" t="s">
        <v>52</v>
      </c>
      <c r="E6572" s="1" t="s">
        <v>87</v>
      </c>
      <c r="F6572" s="2" t="s">
        <v>1113</v>
      </c>
      <c r="G6572" s="1">
        <v>149.352</v>
      </c>
      <c r="H6572" s="1">
        <v>3</v>
      </c>
      <c r="I6572" s="1">
        <v>50.406300000000002</v>
      </c>
    </row>
    <row r="6573" spans="1:9" x14ac:dyDescent="0.35">
      <c r="A6573" s="3" t="s">
        <v>3413</v>
      </c>
      <c r="B6573" s="1" t="s">
        <v>148</v>
      </c>
      <c r="C6573" s="1" t="s">
        <v>93</v>
      </c>
      <c r="D6573" s="1" t="s">
        <v>52</v>
      </c>
      <c r="E6573" s="1" t="s">
        <v>81</v>
      </c>
      <c r="F6573" s="2" t="s">
        <v>2536</v>
      </c>
      <c r="G6573" s="1">
        <v>227.976</v>
      </c>
      <c r="H6573" s="1">
        <v>3</v>
      </c>
      <c r="I6573" s="1">
        <v>28.497</v>
      </c>
    </row>
    <row r="6574" spans="1:9" x14ac:dyDescent="0.35">
      <c r="A6574" s="3">
        <v>42648</v>
      </c>
      <c r="B6574" s="1" t="s">
        <v>2748</v>
      </c>
      <c r="C6574" s="1" t="s">
        <v>47</v>
      </c>
      <c r="D6574" s="1" t="s">
        <v>48</v>
      </c>
      <c r="E6574" s="1" t="s">
        <v>44</v>
      </c>
      <c r="F6574" s="2" t="s">
        <v>2151</v>
      </c>
      <c r="G6574" s="1">
        <v>11.96</v>
      </c>
      <c r="H6574" s="1">
        <v>2</v>
      </c>
      <c r="I6574" s="1">
        <v>5.8604000000000003</v>
      </c>
    </row>
    <row r="6575" spans="1:9" x14ac:dyDescent="0.35">
      <c r="A6575" s="3" t="s">
        <v>3399</v>
      </c>
      <c r="B6575" s="1" t="s">
        <v>2955</v>
      </c>
      <c r="C6575" s="1" t="s">
        <v>973</v>
      </c>
      <c r="D6575" s="1" t="s">
        <v>388</v>
      </c>
      <c r="E6575" s="1" t="s">
        <v>26</v>
      </c>
      <c r="F6575" s="2" t="s">
        <v>773</v>
      </c>
      <c r="G6575" s="1">
        <v>563.4</v>
      </c>
      <c r="H6575" s="1">
        <v>4</v>
      </c>
      <c r="I6575" s="1">
        <v>67.608000000000004</v>
      </c>
    </row>
    <row r="6576" spans="1:9" x14ac:dyDescent="0.35">
      <c r="A6576" s="3" t="s">
        <v>3399</v>
      </c>
      <c r="B6576" s="1" t="s">
        <v>2955</v>
      </c>
      <c r="C6576" s="1" t="s">
        <v>973</v>
      </c>
      <c r="D6576" s="1" t="s">
        <v>388</v>
      </c>
      <c r="E6576" s="1" t="s">
        <v>338</v>
      </c>
      <c r="F6576" s="2" t="s">
        <v>3006</v>
      </c>
      <c r="G6576" s="1">
        <v>319.92</v>
      </c>
      <c r="H6576" s="1">
        <v>8</v>
      </c>
      <c r="I6576" s="1">
        <v>118.3704</v>
      </c>
    </row>
    <row r="6577" spans="1:9" x14ac:dyDescent="0.35">
      <c r="A6577" s="3">
        <v>42797</v>
      </c>
      <c r="B6577" s="1" t="s">
        <v>2636</v>
      </c>
      <c r="C6577" s="1" t="s">
        <v>17</v>
      </c>
      <c r="D6577" s="1" t="s">
        <v>18</v>
      </c>
      <c r="E6577" s="1" t="s">
        <v>81</v>
      </c>
      <c r="F6577" s="2" t="s">
        <v>2575</v>
      </c>
      <c r="G6577" s="1">
        <v>1049.44</v>
      </c>
      <c r="H6577" s="1">
        <v>8</v>
      </c>
      <c r="I6577" s="1">
        <v>440.76479999999998</v>
      </c>
    </row>
    <row r="6578" spans="1:9" x14ac:dyDescent="0.35">
      <c r="A6578" s="3">
        <v>42797</v>
      </c>
      <c r="B6578" s="1" t="s">
        <v>2636</v>
      </c>
      <c r="C6578" s="1" t="s">
        <v>17</v>
      </c>
      <c r="D6578" s="1" t="s">
        <v>18</v>
      </c>
      <c r="E6578" s="1" t="s">
        <v>14</v>
      </c>
      <c r="F6578" s="2" t="s">
        <v>144</v>
      </c>
      <c r="G6578" s="1">
        <v>170.352</v>
      </c>
      <c r="H6578" s="1">
        <v>3</v>
      </c>
      <c r="I6578" s="1">
        <v>-17.0352</v>
      </c>
    </row>
    <row r="6579" spans="1:9" x14ac:dyDescent="0.35">
      <c r="A6579" s="3">
        <v>42167</v>
      </c>
      <c r="B6579" s="1" t="s">
        <v>793</v>
      </c>
      <c r="C6579" s="1" t="s">
        <v>540</v>
      </c>
      <c r="D6579" s="1" t="s">
        <v>163</v>
      </c>
      <c r="E6579" s="1" t="s">
        <v>33</v>
      </c>
      <c r="F6579" s="2" t="s">
        <v>1882</v>
      </c>
      <c r="G6579" s="1">
        <v>173.94</v>
      </c>
      <c r="H6579" s="1">
        <v>6</v>
      </c>
      <c r="I6579" s="1">
        <v>50.442599999999999</v>
      </c>
    </row>
    <row r="6580" spans="1:9" x14ac:dyDescent="0.35">
      <c r="A6580" s="3" t="s">
        <v>3175</v>
      </c>
      <c r="B6580" s="1" t="s">
        <v>2138</v>
      </c>
      <c r="C6580" s="1" t="s">
        <v>47</v>
      </c>
      <c r="D6580" s="1" t="s">
        <v>48</v>
      </c>
      <c r="E6580" s="1" t="s">
        <v>33</v>
      </c>
      <c r="F6580" s="2" t="s">
        <v>1917</v>
      </c>
      <c r="G6580" s="1">
        <v>1007.944</v>
      </c>
      <c r="H6580" s="1">
        <v>7</v>
      </c>
      <c r="I6580" s="1">
        <v>75.595799999999997</v>
      </c>
    </row>
    <row r="6581" spans="1:9" x14ac:dyDescent="0.35">
      <c r="A6581" s="3" t="s">
        <v>3483</v>
      </c>
      <c r="B6581" s="1" t="s">
        <v>2354</v>
      </c>
      <c r="C6581" s="1" t="s">
        <v>47</v>
      </c>
      <c r="D6581" s="1" t="s">
        <v>48</v>
      </c>
      <c r="E6581" s="1" t="s">
        <v>44</v>
      </c>
      <c r="F6581" s="2" t="s">
        <v>1816</v>
      </c>
      <c r="G6581" s="1">
        <v>6.68</v>
      </c>
      <c r="H6581" s="1">
        <v>1</v>
      </c>
      <c r="I6581" s="1">
        <v>3.2063999999999999</v>
      </c>
    </row>
    <row r="6582" spans="1:9" x14ac:dyDescent="0.35">
      <c r="A6582" s="3" t="s">
        <v>3483</v>
      </c>
      <c r="B6582" s="1" t="s">
        <v>2354</v>
      </c>
      <c r="C6582" s="1" t="s">
        <v>47</v>
      </c>
      <c r="D6582" s="1" t="s">
        <v>48</v>
      </c>
      <c r="E6582" s="1" t="s">
        <v>31</v>
      </c>
      <c r="F6582" s="2" t="s">
        <v>1782</v>
      </c>
      <c r="G6582" s="1">
        <v>8.34</v>
      </c>
      <c r="H6582" s="1">
        <v>3</v>
      </c>
      <c r="I6582" s="1">
        <v>2.2517999999999998</v>
      </c>
    </row>
    <row r="6583" spans="1:9" x14ac:dyDescent="0.35">
      <c r="A6583" s="3" t="s">
        <v>3483</v>
      </c>
      <c r="B6583" s="1" t="s">
        <v>2354</v>
      </c>
      <c r="C6583" s="1" t="s">
        <v>47</v>
      </c>
      <c r="D6583" s="1" t="s">
        <v>48</v>
      </c>
      <c r="E6583" s="1" t="s">
        <v>29</v>
      </c>
      <c r="F6583" s="2" t="s">
        <v>3007</v>
      </c>
      <c r="G6583" s="1">
        <v>101.94</v>
      </c>
      <c r="H6583" s="1">
        <v>3</v>
      </c>
      <c r="I6583" s="1">
        <v>30.582000000000001</v>
      </c>
    </row>
    <row r="6584" spans="1:9" x14ac:dyDescent="0.35">
      <c r="A6584" s="3">
        <v>42559</v>
      </c>
      <c r="B6584" s="1" t="s">
        <v>278</v>
      </c>
      <c r="C6584" s="1" t="s">
        <v>1140</v>
      </c>
      <c r="D6584" s="1" t="s">
        <v>48</v>
      </c>
      <c r="E6584" s="1" t="s">
        <v>81</v>
      </c>
      <c r="F6584" s="2" t="s">
        <v>1066</v>
      </c>
      <c r="G6584" s="1">
        <v>179.97</v>
      </c>
      <c r="H6584" s="1">
        <v>3</v>
      </c>
      <c r="I6584" s="1">
        <v>86.385599999999997</v>
      </c>
    </row>
    <row r="6585" spans="1:9" x14ac:dyDescent="0.35">
      <c r="A6585" s="3" t="s">
        <v>3528</v>
      </c>
      <c r="B6585" s="1" t="s">
        <v>2016</v>
      </c>
      <c r="C6585" s="1" t="s">
        <v>909</v>
      </c>
      <c r="D6585" s="1" t="s">
        <v>163</v>
      </c>
      <c r="E6585" s="1" t="s">
        <v>31</v>
      </c>
      <c r="F6585" s="2" t="s">
        <v>2294</v>
      </c>
      <c r="G6585" s="1">
        <v>101.94</v>
      </c>
      <c r="H6585" s="1">
        <v>6</v>
      </c>
      <c r="I6585" s="1">
        <v>29.5626</v>
      </c>
    </row>
    <row r="6586" spans="1:9" x14ac:dyDescent="0.35">
      <c r="A6586" s="3" t="s">
        <v>3528</v>
      </c>
      <c r="B6586" s="1" t="s">
        <v>2016</v>
      </c>
      <c r="C6586" s="1" t="s">
        <v>909</v>
      </c>
      <c r="D6586" s="1" t="s">
        <v>163</v>
      </c>
      <c r="E6586" s="1" t="s">
        <v>33</v>
      </c>
      <c r="F6586" s="2" t="s">
        <v>1221</v>
      </c>
      <c r="G6586" s="1">
        <v>271.95999999999998</v>
      </c>
      <c r="H6586" s="1">
        <v>4</v>
      </c>
      <c r="I6586" s="1">
        <v>67.989999999999995</v>
      </c>
    </row>
    <row r="6587" spans="1:9" x14ac:dyDescent="0.35">
      <c r="A6587" s="3" t="s">
        <v>3528</v>
      </c>
      <c r="B6587" s="1" t="s">
        <v>2016</v>
      </c>
      <c r="C6587" s="1" t="s">
        <v>909</v>
      </c>
      <c r="D6587" s="1" t="s">
        <v>163</v>
      </c>
      <c r="E6587" s="1" t="s">
        <v>29</v>
      </c>
      <c r="F6587" s="2" t="s">
        <v>491</v>
      </c>
      <c r="G6587" s="1">
        <v>8.8000000000000007</v>
      </c>
      <c r="H6587" s="1">
        <v>5</v>
      </c>
      <c r="I6587" s="1">
        <v>3.8719999999999999</v>
      </c>
    </row>
    <row r="6588" spans="1:9" x14ac:dyDescent="0.35">
      <c r="A6588" s="3" t="s">
        <v>3528</v>
      </c>
      <c r="B6588" s="1" t="s">
        <v>2016</v>
      </c>
      <c r="C6588" s="1" t="s">
        <v>909</v>
      </c>
      <c r="D6588" s="1" t="s">
        <v>163</v>
      </c>
      <c r="E6588" s="1" t="s">
        <v>31</v>
      </c>
      <c r="F6588" s="2" t="s">
        <v>1597</v>
      </c>
      <c r="G6588" s="1">
        <v>19.68</v>
      </c>
      <c r="H6588" s="1">
        <v>6</v>
      </c>
      <c r="I6588" s="1">
        <v>5.7072000000000003</v>
      </c>
    </row>
    <row r="6589" spans="1:9" x14ac:dyDescent="0.35">
      <c r="A6589" s="3" t="s">
        <v>3528</v>
      </c>
      <c r="B6589" s="1" t="s">
        <v>2016</v>
      </c>
      <c r="C6589" s="1" t="s">
        <v>909</v>
      </c>
      <c r="D6589" s="1" t="s">
        <v>163</v>
      </c>
      <c r="E6589" s="1" t="s">
        <v>12</v>
      </c>
      <c r="F6589" s="2" t="s">
        <v>1235</v>
      </c>
      <c r="G6589" s="1">
        <v>302.94</v>
      </c>
      <c r="H6589" s="1">
        <v>3</v>
      </c>
      <c r="I6589" s="1">
        <v>69.676199999999994</v>
      </c>
    </row>
    <row r="6590" spans="1:9" x14ac:dyDescent="0.35">
      <c r="A6590" s="3" t="s">
        <v>3528</v>
      </c>
      <c r="B6590" s="1" t="s">
        <v>2016</v>
      </c>
      <c r="C6590" s="1" t="s">
        <v>909</v>
      </c>
      <c r="D6590" s="1" t="s">
        <v>163</v>
      </c>
      <c r="E6590" s="1" t="s">
        <v>35</v>
      </c>
      <c r="F6590" s="2" t="s">
        <v>1045</v>
      </c>
      <c r="G6590" s="1">
        <v>14.94</v>
      </c>
      <c r="H6590" s="1">
        <v>3</v>
      </c>
      <c r="I6590" s="1">
        <v>7.1711999999999998</v>
      </c>
    </row>
    <row r="6591" spans="1:9" x14ac:dyDescent="0.35">
      <c r="A6591" s="3" t="s">
        <v>3528</v>
      </c>
      <c r="B6591" s="1" t="s">
        <v>2016</v>
      </c>
      <c r="C6591" s="1" t="s">
        <v>909</v>
      </c>
      <c r="D6591" s="1" t="s">
        <v>163</v>
      </c>
      <c r="E6591" s="1" t="s">
        <v>289</v>
      </c>
      <c r="F6591" s="2" t="s">
        <v>753</v>
      </c>
      <c r="G6591" s="1">
        <v>231.72</v>
      </c>
      <c r="H6591" s="1">
        <v>2</v>
      </c>
      <c r="I6591" s="1">
        <v>11.586</v>
      </c>
    </row>
    <row r="6592" spans="1:9" x14ac:dyDescent="0.35">
      <c r="A6592" s="3" t="s">
        <v>3416</v>
      </c>
      <c r="B6592" s="1" t="s">
        <v>2521</v>
      </c>
      <c r="C6592" s="1" t="s">
        <v>3008</v>
      </c>
      <c r="D6592" s="1" t="s">
        <v>23</v>
      </c>
      <c r="E6592" s="1" t="s">
        <v>19</v>
      </c>
      <c r="F6592" s="2" t="s">
        <v>1090</v>
      </c>
      <c r="G6592" s="1">
        <v>9.9120000000000008</v>
      </c>
      <c r="H6592" s="1">
        <v>3</v>
      </c>
      <c r="I6592" s="1">
        <v>3.2214</v>
      </c>
    </row>
    <row r="6593" spans="1:9" x14ac:dyDescent="0.35">
      <c r="A6593" s="3" t="s">
        <v>3160</v>
      </c>
      <c r="B6593" s="1" t="s">
        <v>68</v>
      </c>
      <c r="C6593" s="1" t="s">
        <v>64</v>
      </c>
      <c r="D6593" s="1" t="s">
        <v>18</v>
      </c>
      <c r="E6593" s="1" t="s">
        <v>31</v>
      </c>
      <c r="F6593" s="2" t="s">
        <v>623</v>
      </c>
      <c r="G6593" s="1">
        <v>34.65</v>
      </c>
      <c r="H6593" s="1">
        <v>3</v>
      </c>
      <c r="I6593" s="1">
        <v>9.702</v>
      </c>
    </row>
    <row r="6594" spans="1:9" x14ac:dyDescent="0.35">
      <c r="A6594" s="3" t="s">
        <v>3160</v>
      </c>
      <c r="B6594" s="1" t="s">
        <v>68</v>
      </c>
      <c r="C6594" s="1" t="s">
        <v>64</v>
      </c>
      <c r="D6594" s="1" t="s">
        <v>18</v>
      </c>
      <c r="E6594" s="1" t="s">
        <v>33</v>
      </c>
      <c r="F6594" s="2" t="s">
        <v>893</v>
      </c>
      <c r="G6594" s="1">
        <v>19.8</v>
      </c>
      <c r="H6594" s="1">
        <v>5</v>
      </c>
      <c r="I6594" s="1">
        <v>1.7324999999999999</v>
      </c>
    </row>
    <row r="6595" spans="1:9" x14ac:dyDescent="0.35">
      <c r="A6595" s="3" t="s">
        <v>3429</v>
      </c>
      <c r="B6595" s="1" t="s">
        <v>869</v>
      </c>
      <c r="C6595" s="1" t="s">
        <v>135</v>
      </c>
      <c r="D6595" s="1" t="s">
        <v>136</v>
      </c>
      <c r="E6595" s="1" t="s">
        <v>35</v>
      </c>
      <c r="F6595" s="2" t="s">
        <v>962</v>
      </c>
      <c r="G6595" s="1">
        <v>33.567999999999998</v>
      </c>
      <c r="H6595" s="1">
        <v>2</v>
      </c>
      <c r="I6595" s="1">
        <v>11.748799999999999</v>
      </c>
    </row>
    <row r="6596" spans="1:9" x14ac:dyDescent="0.35">
      <c r="A6596" s="3">
        <v>42099</v>
      </c>
      <c r="B6596" s="1" t="s">
        <v>1646</v>
      </c>
      <c r="C6596" s="1" t="s">
        <v>1840</v>
      </c>
      <c r="D6596" s="1" t="s">
        <v>129</v>
      </c>
      <c r="E6596" s="1" t="s">
        <v>31</v>
      </c>
      <c r="F6596" s="2" t="s">
        <v>1136</v>
      </c>
      <c r="G6596" s="1">
        <v>125.93</v>
      </c>
      <c r="H6596" s="1">
        <v>7</v>
      </c>
      <c r="I6596" s="1">
        <v>35.260399999999997</v>
      </c>
    </row>
    <row r="6597" spans="1:9" x14ac:dyDescent="0.35">
      <c r="A6597" s="3" t="s">
        <v>3209</v>
      </c>
      <c r="B6597" s="1" t="s">
        <v>257</v>
      </c>
      <c r="C6597" s="1" t="s">
        <v>249</v>
      </c>
      <c r="D6597" s="1" t="s">
        <v>250</v>
      </c>
      <c r="E6597" s="1" t="s">
        <v>35</v>
      </c>
      <c r="F6597" s="2" t="s">
        <v>830</v>
      </c>
      <c r="G6597" s="1">
        <v>11.76</v>
      </c>
      <c r="H6597" s="1">
        <v>5</v>
      </c>
      <c r="I6597" s="1">
        <v>-7.84</v>
      </c>
    </row>
    <row r="6598" spans="1:9" x14ac:dyDescent="0.35">
      <c r="A6598" s="3" t="s">
        <v>3209</v>
      </c>
      <c r="B6598" s="1" t="s">
        <v>257</v>
      </c>
      <c r="C6598" s="1" t="s">
        <v>249</v>
      </c>
      <c r="D6598" s="1" t="s">
        <v>250</v>
      </c>
      <c r="E6598" s="1" t="s">
        <v>44</v>
      </c>
      <c r="F6598" s="2" t="s">
        <v>284</v>
      </c>
      <c r="G6598" s="1">
        <v>5.3440000000000003</v>
      </c>
      <c r="H6598" s="1">
        <v>1</v>
      </c>
      <c r="I6598" s="1">
        <v>1.8704000000000001</v>
      </c>
    </row>
    <row r="6599" spans="1:9" x14ac:dyDescent="0.35">
      <c r="A6599" s="3">
        <v>41796</v>
      </c>
      <c r="B6599" s="1" t="s">
        <v>2326</v>
      </c>
      <c r="C6599" s="1" t="s">
        <v>719</v>
      </c>
      <c r="D6599" s="1" t="s">
        <v>23</v>
      </c>
      <c r="E6599" s="1" t="s">
        <v>35</v>
      </c>
      <c r="F6599" s="2" t="s">
        <v>492</v>
      </c>
      <c r="G6599" s="1">
        <v>1.365</v>
      </c>
      <c r="H6599" s="1">
        <v>1</v>
      </c>
      <c r="I6599" s="1">
        <v>-0.91</v>
      </c>
    </row>
    <row r="6600" spans="1:9" x14ac:dyDescent="0.35">
      <c r="A6600" s="3">
        <v>41796</v>
      </c>
      <c r="B6600" s="1" t="s">
        <v>2326</v>
      </c>
      <c r="C6600" s="1" t="s">
        <v>719</v>
      </c>
      <c r="D6600" s="1" t="s">
        <v>23</v>
      </c>
      <c r="E6600" s="1" t="s">
        <v>44</v>
      </c>
      <c r="F6600" s="2" t="s">
        <v>2339</v>
      </c>
      <c r="G6600" s="1">
        <v>62.015999999999998</v>
      </c>
      <c r="H6600" s="1">
        <v>2</v>
      </c>
      <c r="I6600" s="1">
        <v>22.480799999999999</v>
      </c>
    </row>
    <row r="6601" spans="1:9" x14ac:dyDescent="0.35">
      <c r="A6601" s="3">
        <v>41682</v>
      </c>
      <c r="B6601" s="1" t="s">
        <v>113</v>
      </c>
      <c r="C6601" s="1" t="s">
        <v>1397</v>
      </c>
      <c r="D6601" s="1" t="s">
        <v>1217</v>
      </c>
      <c r="E6601" s="1" t="s">
        <v>29</v>
      </c>
      <c r="F6601" s="2" t="s">
        <v>938</v>
      </c>
      <c r="G6601" s="1">
        <v>60.72</v>
      </c>
      <c r="H6601" s="1">
        <v>3</v>
      </c>
      <c r="I6601" s="1">
        <v>23.680800000000001</v>
      </c>
    </row>
    <row r="6602" spans="1:9" x14ac:dyDescent="0.35">
      <c r="A6602" s="3">
        <v>41682</v>
      </c>
      <c r="B6602" s="1" t="s">
        <v>113</v>
      </c>
      <c r="C6602" s="1" t="s">
        <v>1397</v>
      </c>
      <c r="D6602" s="1" t="s">
        <v>1217</v>
      </c>
      <c r="E6602" s="1" t="s">
        <v>44</v>
      </c>
      <c r="F6602" s="2" t="s">
        <v>2387</v>
      </c>
      <c r="G6602" s="1">
        <v>146.82</v>
      </c>
      <c r="H6602" s="1">
        <v>3</v>
      </c>
      <c r="I6602" s="1">
        <v>73.41</v>
      </c>
    </row>
    <row r="6603" spans="1:9" x14ac:dyDescent="0.35">
      <c r="A6603" s="3">
        <v>41682</v>
      </c>
      <c r="B6603" s="1" t="s">
        <v>113</v>
      </c>
      <c r="C6603" s="1" t="s">
        <v>1397</v>
      </c>
      <c r="D6603" s="1" t="s">
        <v>1217</v>
      </c>
      <c r="E6603" s="1" t="s">
        <v>14</v>
      </c>
      <c r="F6603" s="2" t="s">
        <v>1908</v>
      </c>
      <c r="G6603" s="1">
        <v>239.84</v>
      </c>
      <c r="H6603" s="1">
        <v>8</v>
      </c>
      <c r="I6603" s="1">
        <v>64.756799999999998</v>
      </c>
    </row>
    <row r="6604" spans="1:9" x14ac:dyDescent="0.35">
      <c r="A6604" s="3">
        <v>41682</v>
      </c>
      <c r="B6604" s="1" t="s">
        <v>113</v>
      </c>
      <c r="C6604" s="1" t="s">
        <v>1397</v>
      </c>
      <c r="D6604" s="1" t="s">
        <v>1217</v>
      </c>
      <c r="E6604" s="1" t="s">
        <v>19</v>
      </c>
      <c r="F6604" s="2" t="s">
        <v>546</v>
      </c>
      <c r="G6604" s="1">
        <v>15.66</v>
      </c>
      <c r="H6604" s="1">
        <v>6</v>
      </c>
      <c r="I6604" s="1">
        <v>7.2035999999999998</v>
      </c>
    </row>
    <row r="6605" spans="1:9" x14ac:dyDescent="0.35">
      <c r="A6605" s="3" t="s">
        <v>3169</v>
      </c>
      <c r="B6605" s="1" t="s">
        <v>1314</v>
      </c>
      <c r="C6605" s="1" t="s">
        <v>3009</v>
      </c>
      <c r="D6605" s="1" t="s">
        <v>229</v>
      </c>
      <c r="E6605" s="1" t="s">
        <v>26</v>
      </c>
      <c r="F6605" s="2" t="s">
        <v>1490</v>
      </c>
      <c r="G6605" s="1">
        <v>146.352</v>
      </c>
      <c r="H6605" s="1">
        <v>3</v>
      </c>
      <c r="I6605" s="1">
        <v>-32.929200000000002</v>
      </c>
    </row>
    <row r="6606" spans="1:9" x14ac:dyDescent="0.35">
      <c r="A6606" s="3" t="s">
        <v>3353</v>
      </c>
      <c r="B6606" s="1" t="s">
        <v>2326</v>
      </c>
      <c r="C6606" s="1" t="s">
        <v>1144</v>
      </c>
      <c r="D6606" s="1" t="s">
        <v>18</v>
      </c>
      <c r="E6606" s="1" t="s">
        <v>137</v>
      </c>
      <c r="F6606" s="2" t="s">
        <v>884</v>
      </c>
      <c r="G6606" s="1">
        <v>5.94</v>
      </c>
      <c r="H6606" s="1">
        <v>3</v>
      </c>
      <c r="I6606" s="1">
        <v>0</v>
      </c>
    </row>
    <row r="6607" spans="1:9" x14ac:dyDescent="0.35">
      <c r="A6607" s="3" t="s">
        <v>3353</v>
      </c>
      <c r="B6607" s="1" t="s">
        <v>2326</v>
      </c>
      <c r="C6607" s="1" t="s">
        <v>1144</v>
      </c>
      <c r="D6607" s="1" t="s">
        <v>18</v>
      </c>
      <c r="E6607" s="1" t="s">
        <v>44</v>
      </c>
      <c r="F6607" s="2" t="s">
        <v>1684</v>
      </c>
      <c r="G6607" s="1">
        <v>45.36</v>
      </c>
      <c r="H6607" s="1">
        <v>7</v>
      </c>
      <c r="I6607" s="1">
        <v>21.7728</v>
      </c>
    </row>
    <row r="6608" spans="1:9" x14ac:dyDescent="0.35">
      <c r="A6608" s="3" t="s">
        <v>3353</v>
      </c>
      <c r="B6608" s="1" t="s">
        <v>2326</v>
      </c>
      <c r="C6608" s="1" t="s">
        <v>1144</v>
      </c>
      <c r="D6608" s="1" t="s">
        <v>18</v>
      </c>
      <c r="E6608" s="1" t="s">
        <v>33</v>
      </c>
      <c r="F6608" s="2" t="s">
        <v>1338</v>
      </c>
      <c r="G6608" s="1">
        <v>211.16800000000001</v>
      </c>
      <c r="H6608" s="1">
        <v>4</v>
      </c>
      <c r="I6608" s="1">
        <v>23.756399999999999</v>
      </c>
    </row>
    <row r="6609" spans="1:9" x14ac:dyDescent="0.35">
      <c r="A6609" s="3" t="s">
        <v>3353</v>
      </c>
      <c r="B6609" s="1" t="s">
        <v>2326</v>
      </c>
      <c r="C6609" s="1" t="s">
        <v>1144</v>
      </c>
      <c r="D6609" s="1" t="s">
        <v>18</v>
      </c>
      <c r="E6609" s="1" t="s">
        <v>14</v>
      </c>
      <c r="F6609" s="2" t="s">
        <v>434</v>
      </c>
      <c r="G6609" s="1">
        <v>484.70400000000001</v>
      </c>
      <c r="H6609" s="1">
        <v>6</v>
      </c>
      <c r="I6609" s="1">
        <v>-84.8232</v>
      </c>
    </row>
    <row r="6610" spans="1:9" x14ac:dyDescent="0.35">
      <c r="A6610" s="3" t="s">
        <v>3353</v>
      </c>
      <c r="B6610" s="1" t="s">
        <v>2326</v>
      </c>
      <c r="C6610" s="1" t="s">
        <v>1144</v>
      </c>
      <c r="D6610" s="1" t="s">
        <v>18</v>
      </c>
      <c r="E6610" s="1" t="s">
        <v>338</v>
      </c>
      <c r="F6610" s="2" t="s">
        <v>2532</v>
      </c>
      <c r="G6610" s="1">
        <v>371.976</v>
      </c>
      <c r="H6610" s="1">
        <v>3</v>
      </c>
      <c r="I6610" s="1">
        <v>116.24250000000001</v>
      </c>
    </row>
    <row r="6611" spans="1:9" x14ac:dyDescent="0.35">
      <c r="A6611" s="3">
        <v>42280</v>
      </c>
      <c r="B6611" s="1" t="s">
        <v>68</v>
      </c>
      <c r="C6611" s="1" t="s">
        <v>1397</v>
      </c>
      <c r="D6611" s="1" t="s">
        <v>1217</v>
      </c>
      <c r="E6611" s="1" t="s">
        <v>26</v>
      </c>
      <c r="F6611" s="2" t="s">
        <v>615</v>
      </c>
      <c r="G6611" s="1">
        <v>89.82</v>
      </c>
      <c r="H6611" s="1">
        <v>6</v>
      </c>
      <c r="I6611" s="1">
        <v>25.1496</v>
      </c>
    </row>
    <row r="6612" spans="1:9" x14ac:dyDescent="0.35">
      <c r="A6612" s="3" t="s">
        <v>3705</v>
      </c>
      <c r="B6612" s="1" t="s">
        <v>497</v>
      </c>
      <c r="C6612" s="1" t="s">
        <v>17</v>
      </c>
      <c r="D6612" s="1" t="s">
        <v>18</v>
      </c>
      <c r="E6612" s="1" t="s">
        <v>35</v>
      </c>
      <c r="F6612" s="2" t="s">
        <v>2032</v>
      </c>
      <c r="G6612" s="1">
        <v>19.295999999999999</v>
      </c>
      <c r="H6612" s="1">
        <v>3</v>
      </c>
      <c r="I6612" s="1">
        <v>6.03</v>
      </c>
    </row>
    <row r="6613" spans="1:9" x14ac:dyDescent="0.35">
      <c r="A6613" s="3" t="s">
        <v>3734</v>
      </c>
      <c r="B6613" s="1" t="s">
        <v>2914</v>
      </c>
      <c r="C6613" s="1" t="s">
        <v>697</v>
      </c>
      <c r="D6613" s="1" t="s">
        <v>11</v>
      </c>
      <c r="E6613" s="1" t="s">
        <v>14</v>
      </c>
      <c r="F6613" s="2" t="s">
        <v>520</v>
      </c>
      <c r="G6613" s="1">
        <v>191.96</v>
      </c>
      <c r="H6613" s="1">
        <v>2</v>
      </c>
      <c r="I6613" s="1">
        <v>51.8292</v>
      </c>
    </row>
    <row r="6614" spans="1:9" x14ac:dyDescent="0.35">
      <c r="A6614" s="3" t="s">
        <v>3734</v>
      </c>
      <c r="B6614" s="1" t="s">
        <v>2914</v>
      </c>
      <c r="C6614" s="1" t="s">
        <v>697</v>
      </c>
      <c r="D6614" s="1" t="s">
        <v>11</v>
      </c>
      <c r="E6614" s="1" t="s">
        <v>35</v>
      </c>
      <c r="F6614" s="2" t="s">
        <v>67</v>
      </c>
      <c r="G6614" s="1">
        <v>21.3</v>
      </c>
      <c r="H6614" s="1">
        <v>3</v>
      </c>
      <c r="I6614" s="1">
        <v>9.798</v>
      </c>
    </row>
    <row r="6615" spans="1:9" x14ac:dyDescent="0.35">
      <c r="A6615" s="3" t="s">
        <v>3734</v>
      </c>
      <c r="B6615" s="1" t="s">
        <v>2914</v>
      </c>
      <c r="C6615" s="1" t="s">
        <v>697</v>
      </c>
      <c r="D6615" s="1" t="s">
        <v>11</v>
      </c>
      <c r="E6615" s="1" t="s">
        <v>33</v>
      </c>
      <c r="F6615" s="2" t="s">
        <v>957</v>
      </c>
      <c r="G6615" s="1">
        <v>469.95</v>
      </c>
      <c r="H6615" s="1">
        <v>5</v>
      </c>
      <c r="I6615" s="1">
        <v>131.58600000000001</v>
      </c>
    </row>
    <row r="6616" spans="1:9" x14ac:dyDescent="0.35">
      <c r="A6616" s="3" t="s">
        <v>3734</v>
      </c>
      <c r="B6616" s="1" t="s">
        <v>2914</v>
      </c>
      <c r="C6616" s="1" t="s">
        <v>697</v>
      </c>
      <c r="D6616" s="1" t="s">
        <v>11</v>
      </c>
      <c r="E6616" s="1" t="s">
        <v>29</v>
      </c>
      <c r="F6616" s="2" t="s">
        <v>1028</v>
      </c>
      <c r="G6616" s="1">
        <v>209.88</v>
      </c>
      <c r="H6616" s="1">
        <v>3</v>
      </c>
      <c r="I6616" s="1">
        <v>35.679600000000001</v>
      </c>
    </row>
    <row r="6617" spans="1:9" x14ac:dyDescent="0.35">
      <c r="A6617" s="3" t="s">
        <v>3158</v>
      </c>
      <c r="B6617" s="1" t="s">
        <v>648</v>
      </c>
      <c r="C6617" s="1" t="s">
        <v>17</v>
      </c>
      <c r="D6617" s="1" t="s">
        <v>18</v>
      </c>
      <c r="E6617" s="1" t="s">
        <v>12</v>
      </c>
      <c r="F6617" s="2" t="s">
        <v>2668</v>
      </c>
      <c r="G6617" s="1">
        <v>239.666</v>
      </c>
      <c r="H6617" s="1">
        <v>2</v>
      </c>
      <c r="I6617" s="1">
        <v>14.098000000000001</v>
      </c>
    </row>
    <row r="6618" spans="1:9" x14ac:dyDescent="0.35">
      <c r="A6618" s="3" t="s">
        <v>3158</v>
      </c>
      <c r="B6618" s="1" t="s">
        <v>648</v>
      </c>
      <c r="C6618" s="1" t="s">
        <v>17</v>
      </c>
      <c r="D6618" s="1" t="s">
        <v>18</v>
      </c>
      <c r="E6618" s="1" t="s">
        <v>19</v>
      </c>
      <c r="F6618" s="2" t="s">
        <v>2225</v>
      </c>
      <c r="G6618" s="1">
        <v>22.5</v>
      </c>
      <c r="H6618" s="1">
        <v>6</v>
      </c>
      <c r="I6618" s="1">
        <v>10.8</v>
      </c>
    </row>
    <row r="6619" spans="1:9" x14ac:dyDescent="0.35">
      <c r="A6619" s="3" t="s">
        <v>3158</v>
      </c>
      <c r="B6619" s="1" t="s">
        <v>648</v>
      </c>
      <c r="C6619" s="1" t="s">
        <v>17</v>
      </c>
      <c r="D6619" s="1" t="s">
        <v>18</v>
      </c>
      <c r="E6619" s="1" t="s">
        <v>44</v>
      </c>
      <c r="F6619" s="2" t="s">
        <v>2952</v>
      </c>
      <c r="G6619" s="1">
        <v>219.84</v>
      </c>
      <c r="H6619" s="1">
        <v>4</v>
      </c>
      <c r="I6619" s="1">
        <v>107.7216</v>
      </c>
    </row>
    <row r="6620" spans="1:9" x14ac:dyDescent="0.35">
      <c r="A6620" s="3" t="s">
        <v>3735</v>
      </c>
      <c r="B6620" s="1" t="s">
        <v>1577</v>
      </c>
      <c r="C6620" s="1" t="s">
        <v>162</v>
      </c>
      <c r="D6620" s="1" t="s">
        <v>298</v>
      </c>
      <c r="E6620" s="1" t="s">
        <v>44</v>
      </c>
      <c r="F6620" s="2" t="s">
        <v>2229</v>
      </c>
      <c r="G6620" s="1">
        <v>32.4</v>
      </c>
      <c r="H6620" s="1">
        <v>5</v>
      </c>
      <c r="I6620" s="1">
        <v>15.552</v>
      </c>
    </row>
    <row r="6621" spans="1:9" x14ac:dyDescent="0.35">
      <c r="A6621" s="3" t="s">
        <v>3735</v>
      </c>
      <c r="B6621" s="1" t="s">
        <v>1577</v>
      </c>
      <c r="C6621" s="1" t="s">
        <v>162</v>
      </c>
      <c r="D6621" s="1" t="s">
        <v>298</v>
      </c>
      <c r="E6621" s="1" t="s">
        <v>31</v>
      </c>
      <c r="F6621" s="2" t="s">
        <v>2925</v>
      </c>
      <c r="G6621" s="1">
        <v>209.94</v>
      </c>
      <c r="H6621" s="1">
        <v>6</v>
      </c>
      <c r="I6621" s="1">
        <v>54.584400000000002</v>
      </c>
    </row>
    <row r="6622" spans="1:9" x14ac:dyDescent="0.35">
      <c r="A6622" s="3" t="s">
        <v>3735</v>
      </c>
      <c r="B6622" s="1" t="s">
        <v>1577</v>
      </c>
      <c r="C6622" s="1" t="s">
        <v>162</v>
      </c>
      <c r="D6622" s="1" t="s">
        <v>298</v>
      </c>
      <c r="E6622" s="1" t="s">
        <v>289</v>
      </c>
      <c r="F6622" s="2" t="s">
        <v>839</v>
      </c>
      <c r="G6622" s="1">
        <v>4164.05</v>
      </c>
      <c r="H6622" s="1">
        <v>5</v>
      </c>
      <c r="I6622" s="1">
        <v>83.281000000000006</v>
      </c>
    </row>
    <row r="6623" spans="1:9" x14ac:dyDescent="0.35">
      <c r="A6623" s="3" t="s">
        <v>3735</v>
      </c>
      <c r="B6623" s="1" t="s">
        <v>1577</v>
      </c>
      <c r="C6623" s="1" t="s">
        <v>162</v>
      </c>
      <c r="D6623" s="1" t="s">
        <v>298</v>
      </c>
      <c r="E6623" s="1" t="s">
        <v>12</v>
      </c>
      <c r="F6623" s="2" t="s">
        <v>2578</v>
      </c>
      <c r="G6623" s="1">
        <v>212.94</v>
      </c>
      <c r="H6623" s="1">
        <v>3</v>
      </c>
      <c r="I6623" s="1">
        <v>53.234999999999999</v>
      </c>
    </row>
    <row r="6624" spans="1:9" x14ac:dyDescent="0.35">
      <c r="A6624" s="3">
        <v>41799</v>
      </c>
      <c r="B6624" s="1" t="s">
        <v>3010</v>
      </c>
      <c r="C6624" s="1" t="s">
        <v>64</v>
      </c>
      <c r="D6624" s="1" t="s">
        <v>18</v>
      </c>
      <c r="E6624" s="1" t="s">
        <v>29</v>
      </c>
      <c r="F6624" s="2" t="s">
        <v>30</v>
      </c>
      <c r="G6624" s="1">
        <v>41.88</v>
      </c>
      <c r="H6624" s="1">
        <v>6</v>
      </c>
      <c r="I6624" s="1">
        <v>12.145200000000001</v>
      </c>
    </row>
    <row r="6625" spans="1:9" x14ac:dyDescent="0.35">
      <c r="A6625" s="3">
        <v>41799</v>
      </c>
      <c r="B6625" s="1" t="s">
        <v>3010</v>
      </c>
      <c r="C6625" s="1" t="s">
        <v>64</v>
      </c>
      <c r="D6625" s="1" t="s">
        <v>18</v>
      </c>
      <c r="E6625" s="1" t="s">
        <v>19</v>
      </c>
      <c r="F6625" s="2" t="s">
        <v>1013</v>
      </c>
      <c r="G6625" s="1">
        <v>58.48</v>
      </c>
      <c r="H6625" s="1">
        <v>8</v>
      </c>
      <c r="I6625" s="1">
        <v>27.485600000000002</v>
      </c>
    </row>
    <row r="6626" spans="1:9" x14ac:dyDescent="0.35">
      <c r="A6626" s="3" t="s">
        <v>3736</v>
      </c>
      <c r="B6626" s="1" t="s">
        <v>1453</v>
      </c>
      <c r="C6626" s="1" t="s">
        <v>3011</v>
      </c>
      <c r="D6626" s="1" t="s">
        <v>52</v>
      </c>
      <c r="E6626" s="1" t="s">
        <v>24</v>
      </c>
      <c r="F6626" s="2" t="s">
        <v>2003</v>
      </c>
      <c r="G6626" s="1">
        <v>102.438</v>
      </c>
      <c r="H6626" s="1">
        <v>1</v>
      </c>
      <c r="I6626" s="1">
        <v>-13.1706</v>
      </c>
    </row>
    <row r="6627" spans="1:9" x14ac:dyDescent="0.35">
      <c r="A6627" s="3" t="s">
        <v>3736</v>
      </c>
      <c r="B6627" s="1" t="s">
        <v>1453</v>
      </c>
      <c r="C6627" s="1" t="s">
        <v>3011</v>
      </c>
      <c r="D6627" s="1" t="s">
        <v>52</v>
      </c>
      <c r="E6627" s="1" t="s">
        <v>14</v>
      </c>
      <c r="F6627" s="2" t="s">
        <v>2422</v>
      </c>
      <c r="G6627" s="1">
        <v>199.304</v>
      </c>
      <c r="H6627" s="1">
        <v>4</v>
      </c>
      <c r="I6627" s="1">
        <v>-8.5416000000000007</v>
      </c>
    </row>
    <row r="6628" spans="1:9" x14ac:dyDescent="0.35">
      <c r="A6628" s="3" t="s">
        <v>3610</v>
      </c>
      <c r="B6628" s="1" t="s">
        <v>1720</v>
      </c>
      <c r="C6628" s="1" t="s">
        <v>135</v>
      </c>
      <c r="D6628" s="1" t="s">
        <v>136</v>
      </c>
      <c r="E6628" s="1" t="s">
        <v>338</v>
      </c>
      <c r="F6628" s="2" t="s">
        <v>2708</v>
      </c>
      <c r="G6628" s="1">
        <v>6999.96</v>
      </c>
      <c r="H6628" s="1">
        <v>4</v>
      </c>
      <c r="I6628" s="1">
        <v>2239.9872</v>
      </c>
    </row>
    <row r="6629" spans="1:9" x14ac:dyDescent="0.35">
      <c r="A6629" s="3" t="s">
        <v>3737</v>
      </c>
      <c r="B6629" s="1" t="s">
        <v>1967</v>
      </c>
      <c r="C6629" s="1" t="s">
        <v>1748</v>
      </c>
      <c r="D6629" s="1" t="s">
        <v>48</v>
      </c>
      <c r="E6629" s="1" t="s">
        <v>44</v>
      </c>
      <c r="F6629" s="2" t="s">
        <v>207</v>
      </c>
      <c r="G6629" s="1">
        <v>12.96</v>
      </c>
      <c r="H6629" s="1">
        <v>2</v>
      </c>
      <c r="I6629" s="1">
        <v>6.2207999999999997</v>
      </c>
    </row>
    <row r="6630" spans="1:9" x14ac:dyDescent="0.35">
      <c r="A6630" s="3" t="s">
        <v>3611</v>
      </c>
      <c r="B6630" s="1" t="s">
        <v>1927</v>
      </c>
      <c r="C6630" s="1" t="s">
        <v>135</v>
      </c>
      <c r="D6630" s="1" t="s">
        <v>136</v>
      </c>
      <c r="E6630" s="1" t="s">
        <v>33</v>
      </c>
      <c r="F6630" s="2" t="s">
        <v>450</v>
      </c>
      <c r="G6630" s="1">
        <v>279.86</v>
      </c>
      <c r="H6630" s="1">
        <v>14</v>
      </c>
      <c r="I6630" s="1">
        <v>134.33279999999999</v>
      </c>
    </row>
    <row r="6631" spans="1:9" x14ac:dyDescent="0.35">
      <c r="A6631" s="3">
        <v>42045</v>
      </c>
      <c r="B6631" s="1" t="s">
        <v>1688</v>
      </c>
      <c r="C6631" s="1" t="s">
        <v>3012</v>
      </c>
      <c r="D6631" s="1" t="s">
        <v>43</v>
      </c>
      <c r="E6631" s="1" t="s">
        <v>35</v>
      </c>
      <c r="F6631" s="2" t="s">
        <v>1962</v>
      </c>
      <c r="G6631" s="1">
        <v>7.38</v>
      </c>
      <c r="H6631" s="1">
        <v>5</v>
      </c>
      <c r="I6631" s="1">
        <v>-5.4119999999999999</v>
      </c>
    </row>
    <row r="6632" spans="1:9" x14ac:dyDescent="0.35">
      <c r="A6632" s="3" t="s">
        <v>3636</v>
      </c>
      <c r="B6632" s="1" t="s">
        <v>1981</v>
      </c>
      <c r="C6632" s="1" t="s">
        <v>47</v>
      </c>
      <c r="D6632" s="1" t="s">
        <v>48</v>
      </c>
      <c r="E6632" s="1" t="s">
        <v>14</v>
      </c>
      <c r="F6632" s="2" t="s">
        <v>1683</v>
      </c>
      <c r="G6632" s="1">
        <v>698.35199999999998</v>
      </c>
      <c r="H6632" s="1">
        <v>3</v>
      </c>
      <c r="I6632" s="1">
        <v>52.376399999999997</v>
      </c>
    </row>
    <row r="6633" spans="1:9" x14ac:dyDescent="0.35">
      <c r="A6633" s="3" t="s">
        <v>3636</v>
      </c>
      <c r="B6633" s="1" t="s">
        <v>1981</v>
      </c>
      <c r="C6633" s="1" t="s">
        <v>47</v>
      </c>
      <c r="D6633" s="1" t="s">
        <v>48</v>
      </c>
      <c r="E6633" s="1" t="s">
        <v>24</v>
      </c>
      <c r="F6633" s="2" t="s">
        <v>1856</v>
      </c>
      <c r="G6633" s="1">
        <v>1747.25</v>
      </c>
      <c r="H6633" s="1">
        <v>5</v>
      </c>
      <c r="I6633" s="1">
        <v>629.01</v>
      </c>
    </row>
    <row r="6634" spans="1:9" x14ac:dyDescent="0.35">
      <c r="A6634" s="3">
        <v>42526</v>
      </c>
      <c r="B6634" s="1" t="s">
        <v>1889</v>
      </c>
      <c r="C6634" s="1" t="s">
        <v>162</v>
      </c>
      <c r="D6634" s="1" t="s">
        <v>298</v>
      </c>
      <c r="E6634" s="1" t="s">
        <v>37</v>
      </c>
      <c r="F6634" s="2" t="s">
        <v>2176</v>
      </c>
      <c r="G6634" s="1">
        <v>54.48</v>
      </c>
      <c r="H6634" s="1">
        <v>1</v>
      </c>
      <c r="I6634" s="1">
        <v>15.2544</v>
      </c>
    </row>
    <row r="6635" spans="1:9" x14ac:dyDescent="0.35">
      <c r="A6635" s="3" t="s">
        <v>3663</v>
      </c>
      <c r="B6635" s="1" t="s">
        <v>791</v>
      </c>
      <c r="C6635" s="1" t="s">
        <v>64</v>
      </c>
      <c r="D6635" s="1" t="s">
        <v>18</v>
      </c>
      <c r="E6635" s="1" t="s">
        <v>81</v>
      </c>
      <c r="F6635" s="2" t="s">
        <v>1145</v>
      </c>
      <c r="G6635" s="1">
        <v>199.99</v>
      </c>
      <c r="H6635" s="1">
        <v>1</v>
      </c>
      <c r="I6635" s="1">
        <v>85.995699999999999</v>
      </c>
    </row>
    <row r="6636" spans="1:9" x14ac:dyDescent="0.35">
      <c r="A6636" s="3">
        <v>42891</v>
      </c>
      <c r="B6636" s="1" t="s">
        <v>1679</v>
      </c>
      <c r="C6636" s="1" t="s">
        <v>234</v>
      </c>
      <c r="D6636" s="1" t="s">
        <v>43</v>
      </c>
      <c r="E6636" s="1" t="s">
        <v>35</v>
      </c>
      <c r="F6636" s="2" t="s">
        <v>656</v>
      </c>
      <c r="G6636" s="1">
        <v>68.540999999999997</v>
      </c>
      <c r="H6636" s="1">
        <v>11</v>
      </c>
      <c r="I6636" s="1">
        <v>-52.548099999999998</v>
      </c>
    </row>
    <row r="6637" spans="1:9" x14ac:dyDescent="0.35">
      <c r="A6637" s="3">
        <v>42891</v>
      </c>
      <c r="B6637" s="1" t="s">
        <v>1679</v>
      </c>
      <c r="C6637" s="1" t="s">
        <v>234</v>
      </c>
      <c r="D6637" s="1" t="s">
        <v>43</v>
      </c>
      <c r="E6637" s="1" t="s">
        <v>33</v>
      </c>
      <c r="F6637" s="2" t="s">
        <v>97</v>
      </c>
      <c r="G6637" s="1">
        <v>627.16800000000001</v>
      </c>
      <c r="H6637" s="1">
        <v>4</v>
      </c>
      <c r="I6637" s="1">
        <v>70.556399999999996</v>
      </c>
    </row>
    <row r="6638" spans="1:9" x14ac:dyDescent="0.35">
      <c r="A6638" s="3">
        <v>42891</v>
      </c>
      <c r="B6638" s="1" t="s">
        <v>1679</v>
      </c>
      <c r="C6638" s="1" t="s">
        <v>234</v>
      </c>
      <c r="D6638" s="1" t="s">
        <v>43</v>
      </c>
      <c r="E6638" s="1" t="s">
        <v>19</v>
      </c>
      <c r="F6638" s="2" t="s">
        <v>1026</v>
      </c>
      <c r="G6638" s="1">
        <v>122.12</v>
      </c>
      <c r="H6638" s="1">
        <v>5</v>
      </c>
      <c r="I6638" s="1">
        <v>39.689</v>
      </c>
    </row>
    <row r="6639" spans="1:9" x14ac:dyDescent="0.35">
      <c r="A6639" s="3" t="s">
        <v>3227</v>
      </c>
      <c r="B6639" s="1" t="s">
        <v>993</v>
      </c>
      <c r="C6639" s="1" t="s">
        <v>135</v>
      </c>
      <c r="D6639" s="1" t="s">
        <v>136</v>
      </c>
      <c r="E6639" s="1" t="s">
        <v>31</v>
      </c>
      <c r="F6639" s="2" t="s">
        <v>695</v>
      </c>
      <c r="G6639" s="1">
        <v>6.99</v>
      </c>
      <c r="H6639" s="1">
        <v>3</v>
      </c>
      <c r="I6639" s="1">
        <v>2.0270999999999999</v>
      </c>
    </row>
    <row r="6640" spans="1:9" x14ac:dyDescent="0.35">
      <c r="A6640" s="3" t="s">
        <v>3227</v>
      </c>
      <c r="B6640" s="1" t="s">
        <v>993</v>
      </c>
      <c r="C6640" s="1" t="s">
        <v>135</v>
      </c>
      <c r="D6640" s="1" t="s">
        <v>136</v>
      </c>
      <c r="E6640" s="1" t="s">
        <v>35</v>
      </c>
      <c r="F6640" s="2" t="s">
        <v>2327</v>
      </c>
      <c r="G6640" s="1">
        <v>107.42400000000001</v>
      </c>
      <c r="H6640" s="1">
        <v>6</v>
      </c>
      <c r="I6640" s="1">
        <v>36.255600000000001</v>
      </c>
    </row>
    <row r="6641" spans="1:9" x14ac:dyDescent="0.35">
      <c r="A6641" s="3" t="s">
        <v>3516</v>
      </c>
      <c r="B6641" s="1" t="s">
        <v>1197</v>
      </c>
      <c r="C6641" s="1" t="s">
        <v>1180</v>
      </c>
      <c r="D6641" s="1" t="s">
        <v>250</v>
      </c>
      <c r="E6641" s="1" t="s">
        <v>24</v>
      </c>
      <c r="F6641" s="2" t="s">
        <v>2034</v>
      </c>
      <c r="G6641" s="1">
        <v>1421.664</v>
      </c>
      <c r="H6641" s="1">
        <v>8</v>
      </c>
      <c r="I6641" s="1">
        <v>-734.52639999999997</v>
      </c>
    </row>
    <row r="6642" spans="1:9" x14ac:dyDescent="0.35">
      <c r="A6642" s="3">
        <v>42863</v>
      </c>
      <c r="B6642" s="1" t="s">
        <v>118</v>
      </c>
      <c r="C6642" s="1" t="s">
        <v>1840</v>
      </c>
      <c r="D6642" s="1" t="s">
        <v>129</v>
      </c>
      <c r="E6642" s="1" t="s">
        <v>35</v>
      </c>
      <c r="F6642" s="2" t="s">
        <v>962</v>
      </c>
      <c r="G6642" s="1">
        <v>125.88</v>
      </c>
      <c r="H6642" s="1">
        <v>6</v>
      </c>
      <c r="I6642" s="1">
        <v>60.422400000000003</v>
      </c>
    </row>
    <row r="6643" spans="1:9" x14ac:dyDescent="0.35">
      <c r="A6643" s="3">
        <v>42863</v>
      </c>
      <c r="B6643" s="1" t="s">
        <v>118</v>
      </c>
      <c r="C6643" s="1" t="s">
        <v>1840</v>
      </c>
      <c r="D6643" s="1" t="s">
        <v>129</v>
      </c>
      <c r="E6643" s="1" t="s">
        <v>81</v>
      </c>
      <c r="F6643" s="2" t="s">
        <v>1195</v>
      </c>
      <c r="G6643" s="1">
        <v>79.78</v>
      </c>
      <c r="H6643" s="1">
        <v>2</v>
      </c>
      <c r="I6643" s="1">
        <v>29.518599999999999</v>
      </c>
    </row>
    <row r="6644" spans="1:9" x14ac:dyDescent="0.35">
      <c r="A6644" s="3">
        <v>42863</v>
      </c>
      <c r="B6644" s="1" t="s">
        <v>118</v>
      </c>
      <c r="C6644" s="1" t="s">
        <v>1840</v>
      </c>
      <c r="D6644" s="1" t="s">
        <v>129</v>
      </c>
      <c r="E6644" s="1" t="s">
        <v>19</v>
      </c>
      <c r="F6644" s="2" t="s">
        <v>2938</v>
      </c>
      <c r="G6644" s="1">
        <v>133.19999999999999</v>
      </c>
      <c r="H6644" s="1">
        <v>9</v>
      </c>
      <c r="I6644" s="1">
        <v>66.599999999999994</v>
      </c>
    </row>
    <row r="6645" spans="1:9" x14ac:dyDescent="0.35">
      <c r="A6645" s="3">
        <v>42285</v>
      </c>
      <c r="B6645" s="1" t="s">
        <v>2071</v>
      </c>
      <c r="C6645" s="1" t="s">
        <v>1910</v>
      </c>
      <c r="D6645" s="1" t="s">
        <v>212</v>
      </c>
      <c r="E6645" s="1" t="s">
        <v>33</v>
      </c>
      <c r="F6645" s="2" t="s">
        <v>1395</v>
      </c>
      <c r="G6645" s="1">
        <v>438.36799999999999</v>
      </c>
      <c r="H6645" s="1">
        <v>4</v>
      </c>
      <c r="I6645" s="1">
        <v>38.357199999999999</v>
      </c>
    </row>
    <row r="6646" spans="1:9" x14ac:dyDescent="0.35">
      <c r="A6646" s="3">
        <v>42285</v>
      </c>
      <c r="B6646" s="1" t="s">
        <v>2071</v>
      </c>
      <c r="C6646" s="1" t="s">
        <v>1910</v>
      </c>
      <c r="D6646" s="1" t="s">
        <v>212</v>
      </c>
      <c r="E6646" s="1" t="s">
        <v>33</v>
      </c>
      <c r="F6646" s="2" t="s">
        <v>1326</v>
      </c>
      <c r="G6646" s="1">
        <v>139.94399999999999</v>
      </c>
      <c r="H6646" s="1">
        <v>7</v>
      </c>
      <c r="I6646" s="1">
        <v>-31.487400000000001</v>
      </c>
    </row>
    <row r="6647" spans="1:9" x14ac:dyDescent="0.35">
      <c r="A6647" s="3">
        <v>42285</v>
      </c>
      <c r="B6647" s="1" t="s">
        <v>2071</v>
      </c>
      <c r="C6647" s="1" t="s">
        <v>1910</v>
      </c>
      <c r="D6647" s="1" t="s">
        <v>212</v>
      </c>
      <c r="E6647" s="1" t="s">
        <v>37</v>
      </c>
      <c r="F6647" s="2" t="s">
        <v>1034</v>
      </c>
      <c r="G6647" s="1">
        <v>133.47200000000001</v>
      </c>
      <c r="H6647" s="1">
        <v>4</v>
      </c>
      <c r="I6647" s="1">
        <v>15.015599999999999</v>
      </c>
    </row>
    <row r="6648" spans="1:9" x14ac:dyDescent="0.35">
      <c r="A6648" s="3" t="s">
        <v>3718</v>
      </c>
      <c r="B6648" s="1" t="s">
        <v>1733</v>
      </c>
      <c r="C6648" s="1" t="s">
        <v>162</v>
      </c>
      <c r="D6648" s="1" t="s">
        <v>212</v>
      </c>
      <c r="E6648" s="1" t="s">
        <v>24</v>
      </c>
      <c r="F6648" s="2" t="s">
        <v>440</v>
      </c>
      <c r="G6648" s="1">
        <v>564.19500000000005</v>
      </c>
      <c r="H6648" s="1">
        <v>3</v>
      </c>
      <c r="I6648" s="1">
        <v>-304.6653</v>
      </c>
    </row>
    <row r="6649" spans="1:9" x14ac:dyDescent="0.35">
      <c r="A6649" s="3" t="s">
        <v>3718</v>
      </c>
      <c r="B6649" s="1" t="s">
        <v>1733</v>
      </c>
      <c r="C6649" s="1" t="s">
        <v>162</v>
      </c>
      <c r="D6649" s="1" t="s">
        <v>212</v>
      </c>
      <c r="E6649" s="1" t="s">
        <v>37</v>
      </c>
      <c r="F6649" s="2" t="s">
        <v>2176</v>
      </c>
      <c r="G6649" s="1">
        <v>87.168000000000006</v>
      </c>
      <c r="H6649" s="1">
        <v>2</v>
      </c>
      <c r="I6649" s="1">
        <v>8.7167999999999992</v>
      </c>
    </row>
    <row r="6650" spans="1:9" x14ac:dyDescent="0.35">
      <c r="A6650" s="3">
        <v>42956</v>
      </c>
      <c r="B6650" s="1" t="s">
        <v>1089</v>
      </c>
      <c r="C6650" s="1" t="s">
        <v>540</v>
      </c>
      <c r="D6650" s="1" t="s">
        <v>52</v>
      </c>
      <c r="E6650" s="1" t="s">
        <v>35</v>
      </c>
      <c r="F6650" s="2" t="s">
        <v>852</v>
      </c>
      <c r="G6650" s="1">
        <v>42.616</v>
      </c>
      <c r="H6650" s="1">
        <v>7</v>
      </c>
      <c r="I6650" s="1">
        <v>-68.185599999999994</v>
      </c>
    </row>
    <row r="6651" spans="1:9" x14ac:dyDescent="0.35">
      <c r="A6651" s="3">
        <v>42956</v>
      </c>
      <c r="B6651" s="1" t="s">
        <v>1089</v>
      </c>
      <c r="C6651" s="1" t="s">
        <v>540</v>
      </c>
      <c r="D6651" s="1" t="s">
        <v>52</v>
      </c>
      <c r="E6651" s="1" t="s">
        <v>579</v>
      </c>
      <c r="F6651" s="2" t="s">
        <v>2806</v>
      </c>
      <c r="G6651" s="1">
        <v>319.98399999999998</v>
      </c>
      <c r="H6651" s="1">
        <v>2</v>
      </c>
      <c r="I6651" s="1">
        <v>107.99460000000001</v>
      </c>
    </row>
    <row r="6652" spans="1:9" x14ac:dyDescent="0.35">
      <c r="A6652" s="3">
        <v>42956</v>
      </c>
      <c r="B6652" s="1" t="s">
        <v>1089</v>
      </c>
      <c r="C6652" s="1" t="s">
        <v>540</v>
      </c>
      <c r="D6652" s="1" t="s">
        <v>52</v>
      </c>
      <c r="E6652" s="1" t="s">
        <v>137</v>
      </c>
      <c r="F6652" s="2" t="s">
        <v>523</v>
      </c>
      <c r="G6652" s="1">
        <v>45.92</v>
      </c>
      <c r="H6652" s="1">
        <v>5</v>
      </c>
      <c r="I6652" s="1">
        <v>15.497999999999999</v>
      </c>
    </row>
    <row r="6653" spans="1:9" x14ac:dyDescent="0.35">
      <c r="A6653" s="3">
        <v>42956</v>
      </c>
      <c r="B6653" s="1" t="s">
        <v>1089</v>
      </c>
      <c r="C6653" s="1" t="s">
        <v>540</v>
      </c>
      <c r="D6653" s="1" t="s">
        <v>52</v>
      </c>
      <c r="E6653" s="1" t="s">
        <v>29</v>
      </c>
      <c r="F6653" s="2" t="s">
        <v>1291</v>
      </c>
      <c r="G6653" s="1">
        <v>21.184000000000001</v>
      </c>
      <c r="H6653" s="1">
        <v>2</v>
      </c>
      <c r="I6653" s="1">
        <v>-11.651199999999999</v>
      </c>
    </row>
    <row r="6654" spans="1:9" x14ac:dyDescent="0.35">
      <c r="A6654" s="3">
        <v>42956</v>
      </c>
      <c r="B6654" s="1" t="s">
        <v>1089</v>
      </c>
      <c r="C6654" s="1" t="s">
        <v>540</v>
      </c>
      <c r="D6654" s="1" t="s">
        <v>52</v>
      </c>
      <c r="E6654" s="1" t="s">
        <v>44</v>
      </c>
      <c r="F6654" s="2" t="s">
        <v>378</v>
      </c>
      <c r="G6654" s="1">
        <v>20.736000000000001</v>
      </c>
      <c r="H6654" s="1">
        <v>4</v>
      </c>
      <c r="I6654" s="1">
        <v>7.2576000000000001</v>
      </c>
    </row>
    <row r="6655" spans="1:9" x14ac:dyDescent="0.35">
      <c r="A6655" s="3">
        <v>42956</v>
      </c>
      <c r="B6655" s="1" t="s">
        <v>1089</v>
      </c>
      <c r="C6655" s="1" t="s">
        <v>540</v>
      </c>
      <c r="D6655" s="1" t="s">
        <v>52</v>
      </c>
      <c r="E6655" s="1" t="s">
        <v>14</v>
      </c>
      <c r="F6655" s="2" t="s">
        <v>2554</v>
      </c>
      <c r="G6655" s="1">
        <v>213.43</v>
      </c>
      <c r="H6655" s="1">
        <v>5</v>
      </c>
      <c r="I6655" s="1">
        <v>-39.637</v>
      </c>
    </row>
    <row r="6656" spans="1:9" x14ac:dyDescent="0.35">
      <c r="A6656" s="3" t="s">
        <v>3363</v>
      </c>
      <c r="B6656" s="1" t="s">
        <v>1637</v>
      </c>
      <c r="C6656" s="1" t="s">
        <v>157</v>
      </c>
      <c r="D6656" s="1" t="s">
        <v>158</v>
      </c>
      <c r="E6656" s="1" t="s">
        <v>33</v>
      </c>
      <c r="F6656" s="2" t="s">
        <v>1473</v>
      </c>
      <c r="G6656" s="1">
        <v>333.57600000000002</v>
      </c>
      <c r="H6656" s="1">
        <v>3</v>
      </c>
      <c r="I6656" s="1">
        <v>25.0182</v>
      </c>
    </row>
    <row r="6657" spans="1:9" x14ac:dyDescent="0.35">
      <c r="A6657" s="3" t="s">
        <v>3363</v>
      </c>
      <c r="B6657" s="1" t="s">
        <v>1637</v>
      </c>
      <c r="C6657" s="1" t="s">
        <v>157</v>
      </c>
      <c r="D6657" s="1" t="s">
        <v>158</v>
      </c>
      <c r="E6657" s="1" t="s">
        <v>81</v>
      </c>
      <c r="F6657" s="2" t="s">
        <v>2028</v>
      </c>
      <c r="G6657" s="1">
        <v>31.992000000000001</v>
      </c>
      <c r="H6657" s="1">
        <v>1</v>
      </c>
      <c r="I6657" s="1">
        <v>4.7988</v>
      </c>
    </row>
    <row r="6658" spans="1:9" x14ac:dyDescent="0.35">
      <c r="A6658" s="3" t="s">
        <v>3363</v>
      </c>
      <c r="B6658" s="1" t="s">
        <v>1637</v>
      </c>
      <c r="C6658" s="1" t="s">
        <v>157</v>
      </c>
      <c r="D6658" s="1" t="s">
        <v>158</v>
      </c>
      <c r="E6658" s="1" t="s">
        <v>26</v>
      </c>
      <c r="F6658" s="2" t="s">
        <v>1529</v>
      </c>
      <c r="G6658" s="1">
        <v>51.167999999999999</v>
      </c>
      <c r="H6658" s="1">
        <v>2</v>
      </c>
      <c r="I6658" s="1">
        <v>-6.3959999999999999</v>
      </c>
    </row>
    <row r="6659" spans="1:9" x14ac:dyDescent="0.35">
      <c r="A6659" s="3" t="s">
        <v>3363</v>
      </c>
      <c r="B6659" s="1" t="s">
        <v>1637</v>
      </c>
      <c r="C6659" s="1" t="s">
        <v>157</v>
      </c>
      <c r="D6659" s="1" t="s">
        <v>158</v>
      </c>
      <c r="E6659" s="1" t="s">
        <v>87</v>
      </c>
      <c r="F6659" s="2" t="s">
        <v>2511</v>
      </c>
      <c r="G6659" s="1">
        <v>10.64</v>
      </c>
      <c r="H6659" s="1">
        <v>5</v>
      </c>
      <c r="I6659" s="1">
        <v>3.8570000000000002</v>
      </c>
    </row>
    <row r="6660" spans="1:9" x14ac:dyDescent="0.35">
      <c r="A6660" s="3" t="s">
        <v>3363</v>
      </c>
      <c r="B6660" s="1" t="s">
        <v>1637</v>
      </c>
      <c r="C6660" s="1" t="s">
        <v>157</v>
      </c>
      <c r="D6660" s="1" t="s">
        <v>158</v>
      </c>
      <c r="E6660" s="1" t="s">
        <v>29</v>
      </c>
      <c r="F6660" s="2" t="s">
        <v>1047</v>
      </c>
      <c r="G6660" s="1">
        <v>68.703999999999994</v>
      </c>
      <c r="H6660" s="1">
        <v>2</v>
      </c>
      <c r="I6660" s="1">
        <v>16.3172</v>
      </c>
    </row>
    <row r="6661" spans="1:9" x14ac:dyDescent="0.35">
      <c r="A6661" s="3" t="s">
        <v>3363</v>
      </c>
      <c r="B6661" s="1" t="s">
        <v>1637</v>
      </c>
      <c r="C6661" s="1" t="s">
        <v>157</v>
      </c>
      <c r="D6661" s="1" t="s">
        <v>158</v>
      </c>
      <c r="E6661" s="1" t="s">
        <v>24</v>
      </c>
      <c r="F6661" s="2" t="s">
        <v>1421</v>
      </c>
      <c r="G6661" s="1">
        <v>386.91</v>
      </c>
      <c r="H6661" s="1">
        <v>9</v>
      </c>
      <c r="I6661" s="1">
        <v>-185.71680000000001</v>
      </c>
    </row>
    <row r="6662" spans="1:9" x14ac:dyDescent="0.35">
      <c r="A6662" s="3">
        <v>42224</v>
      </c>
      <c r="B6662" s="1" t="s">
        <v>2119</v>
      </c>
      <c r="C6662" s="1" t="s">
        <v>700</v>
      </c>
      <c r="D6662" s="1" t="s">
        <v>592</v>
      </c>
      <c r="E6662" s="1" t="s">
        <v>31</v>
      </c>
      <c r="F6662" s="2" t="s">
        <v>2736</v>
      </c>
      <c r="G6662" s="1">
        <v>39.659999999999997</v>
      </c>
      <c r="H6662" s="1">
        <v>2</v>
      </c>
      <c r="I6662" s="1">
        <v>11.898</v>
      </c>
    </row>
    <row r="6663" spans="1:9" x14ac:dyDescent="0.35">
      <c r="A6663" s="3">
        <v>42224</v>
      </c>
      <c r="B6663" s="1" t="s">
        <v>2119</v>
      </c>
      <c r="C6663" s="1" t="s">
        <v>700</v>
      </c>
      <c r="D6663" s="1" t="s">
        <v>592</v>
      </c>
      <c r="E6663" s="1" t="s">
        <v>37</v>
      </c>
      <c r="F6663" s="2" t="s">
        <v>1770</v>
      </c>
      <c r="G6663" s="1">
        <v>113.92</v>
      </c>
      <c r="H6663" s="1">
        <v>2</v>
      </c>
      <c r="I6663" s="1">
        <v>33.036799999999999</v>
      </c>
    </row>
    <row r="6664" spans="1:9" x14ac:dyDescent="0.35">
      <c r="A6664" s="3">
        <v>42224</v>
      </c>
      <c r="B6664" s="1" t="s">
        <v>2119</v>
      </c>
      <c r="C6664" s="1" t="s">
        <v>700</v>
      </c>
      <c r="D6664" s="1" t="s">
        <v>592</v>
      </c>
      <c r="E6664" s="1" t="s">
        <v>35</v>
      </c>
      <c r="F6664" s="2" t="s">
        <v>2049</v>
      </c>
      <c r="G6664" s="1">
        <v>447.86</v>
      </c>
      <c r="H6664" s="1">
        <v>7</v>
      </c>
      <c r="I6664" s="1">
        <v>210.49420000000001</v>
      </c>
    </row>
    <row r="6665" spans="1:9" x14ac:dyDescent="0.35">
      <c r="A6665" s="3" t="s">
        <v>3167</v>
      </c>
      <c r="B6665" s="1" t="s">
        <v>875</v>
      </c>
      <c r="C6665" s="1" t="s">
        <v>1306</v>
      </c>
      <c r="D6665" s="1" t="s">
        <v>163</v>
      </c>
      <c r="E6665" s="1" t="s">
        <v>24</v>
      </c>
      <c r="F6665" s="2" t="s">
        <v>1244</v>
      </c>
      <c r="G6665" s="1">
        <v>356.85</v>
      </c>
      <c r="H6665" s="1">
        <v>5</v>
      </c>
      <c r="I6665" s="1">
        <v>60.664499999999997</v>
      </c>
    </row>
    <row r="6666" spans="1:9" x14ac:dyDescent="0.35">
      <c r="A6666" s="3" t="s">
        <v>3167</v>
      </c>
      <c r="B6666" s="1" t="s">
        <v>875</v>
      </c>
      <c r="C6666" s="1" t="s">
        <v>1306</v>
      </c>
      <c r="D6666" s="1" t="s">
        <v>163</v>
      </c>
      <c r="E6666" s="1" t="s">
        <v>87</v>
      </c>
      <c r="F6666" s="2" t="s">
        <v>1428</v>
      </c>
      <c r="G6666" s="1">
        <v>251.58</v>
      </c>
      <c r="H6666" s="1">
        <v>7</v>
      </c>
      <c r="I6666" s="1">
        <v>113.211</v>
      </c>
    </row>
    <row r="6667" spans="1:9" x14ac:dyDescent="0.35">
      <c r="A6667" s="3" t="s">
        <v>3582</v>
      </c>
      <c r="B6667" s="1" t="s">
        <v>1322</v>
      </c>
      <c r="C6667" s="1" t="s">
        <v>1676</v>
      </c>
      <c r="D6667" s="1" t="s">
        <v>52</v>
      </c>
      <c r="E6667" s="1" t="s">
        <v>44</v>
      </c>
      <c r="F6667" s="2" t="s">
        <v>2952</v>
      </c>
      <c r="G6667" s="1">
        <v>219.84</v>
      </c>
      <c r="H6667" s="1">
        <v>5</v>
      </c>
      <c r="I6667" s="1">
        <v>79.691999999999993</v>
      </c>
    </row>
    <row r="6668" spans="1:9" x14ac:dyDescent="0.35">
      <c r="A6668" s="3">
        <v>43074</v>
      </c>
      <c r="B6668" s="1" t="s">
        <v>881</v>
      </c>
      <c r="C6668" s="1" t="s">
        <v>1680</v>
      </c>
      <c r="D6668" s="1" t="s">
        <v>388</v>
      </c>
      <c r="E6668" s="1" t="s">
        <v>29</v>
      </c>
      <c r="F6668" s="2" t="s">
        <v>2804</v>
      </c>
      <c r="G6668" s="1">
        <v>42.85</v>
      </c>
      <c r="H6668" s="1">
        <v>5</v>
      </c>
      <c r="I6668" s="1">
        <v>15.426</v>
      </c>
    </row>
    <row r="6669" spans="1:9" x14ac:dyDescent="0.35">
      <c r="A6669" s="3">
        <v>43074</v>
      </c>
      <c r="B6669" s="1" t="s">
        <v>881</v>
      </c>
      <c r="C6669" s="1" t="s">
        <v>1680</v>
      </c>
      <c r="D6669" s="1" t="s">
        <v>388</v>
      </c>
      <c r="E6669" s="1" t="s">
        <v>19</v>
      </c>
      <c r="F6669" s="2" t="s">
        <v>1127</v>
      </c>
      <c r="G6669" s="1">
        <v>6.16</v>
      </c>
      <c r="H6669" s="1">
        <v>2</v>
      </c>
      <c r="I6669" s="1">
        <v>2.9567999999999999</v>
      </c>
    </row>
    <row r="6670" spans="1:9" x14ac:dyDescent="0.35">
      <c r="A6670" s="3">
        <v>43074</v>
      </c>
      <c r="B6670" s="1" t="s">
        <v>881</v>
      </c>
      <c r="C6670" s="1" t="s">
        <v>1680</v>
      </c>
      <c r="D6670" s="1" t="s">
        <v>388</v>
      </c>
      <c r="E6670" s="1" t="s">
        <v>289</v>
      </c>
      <c r="F6670" s="2" t="s">
        <v>2958</v>
      </c>
      <c r="G6670" s="1">
        <v>17</v>
      </c>
      <c r="H6670" s="1">
        <v>2</v>
      </c>
      <c r="I6670" s="1">
        <v>4.42</v>
      </c>
    </row>
    <row r="6671" spans="1:9" x14ac:dyDescent="0.35">
      <c r="A6671" s="3">
        <v>43074</v>
      </c>
      <c r="B6671" s="1" t="s">
        <v>881</v>
      </c>
      <c r="C6671" s="1" t="s">
        <v>1680</v>
      </c>
      <c r="D6671" s="1" t="s">
        <v>388</v>
      </c>
      <c r="E6671" s="1" t="s">
        <v>81</v>
      </c>
      <c r="F6671" s="2" t="s">
        <v>2606</v>
      </c>
      <c r="G6671" s="1">
        <v>87.4</v>
      </c>
      <c r="H6671" s="1">
        <v>5</v>
      </c>
      <c r="I6671" s="1">
        <v>34.96</v>
      </c>
    </row>
    <row r="6672" spans="1:9" x14ac:dyDescent="0.35">
      <c r="A6672" s="3" t="s">
        <v>3738</v>
      </c>
      <c r="B6672" s="1" t="s">
        <v>1516</v>
      </c>
      <c r="C6672" s="1" t="s">
        <v>249</v>
      </c>
      <c r="D6672" s="1" t="s">
        <v>604</v>
      </c>
      <c r="E6672" s="1" t="s">
        <v>35</v>
      </c>
      <c r="F6672" s="2" t="s">
        <v>940</v>
      </c>
      <c r="G6672" s="1">
        <v>29.84</v>
      </c>
      <c r="H6672" s="1">
        <v>2</v>
      </c>
      <c r="I6672" s="1">
        <v>13.428000000000001</v>
      </c>
    </row>
    <row r="6673" spans="1:9" x14ac:dyDescent="0.35">
      <c r="A6673" s="3" t="s">
        <v>3739</v>
      </c>
      <c r="B6673" s="1" t="s">
        <v>1829</v>
      </c>
      <c r="C6673" s="1" t="s">
        <v>17</v>
      </c>
      <c r="D6673" s="1" t="s">
        <v>18</v>
      </c>
      <c r="E6673" s="1" t="s">
        <v>35</v>
      </c>
      <c r="F6673" s="2" t="s">
        <v>1027</v>
      </c>
      <c r="G6673" s="1">
        <v>49.567999999999998</v>
      </c>
      <c r="H6673" s="1">
        <v>2</v>
      </c>
      <c r="I6673" s="1">
        <v>17.348800000000001</v>
      </c>
    </row>
    <row r="6674" spans="1:9" x14ac:dyDescent="0.35">
      <c r="A6674" s="3">
        <v>42317</v>
      </c>
      <c r="B6674" s="1" t="s">
        <v>474</v>
      </c>
      <c r="C6674" s="1" t="s">
        <v>461</v>
      </c>
      <c r="D6674" s="1" t="s">
        <v>18</v>
      </c>
      <c r="E6674" s="1" t="s">
        <v>31</v>
      </c>
      <c r="F6674" s="2" t="s">
        <v>246</v>
      </c>
      <c r="G6674" s="1">
        <v>265.86</v>
      </c>
      <c r="H6674" s="1">
        <v>7</v>
      </c>
      <c r="I6674" s="1">
        <v>79.757999999999996</v>
      </c>
    </row>
    <row r="6675" spans="1:9" x14ac:dyDescent="0.35">
      <c r="A6675" s="3">
        <v>42133</v>
      </c>
      <c r="B6675" s="1" t="s">
        <v>310</v>
      </c>
      <c r="C6675" s="1" t="s">
        <v>1953</v>
      </c>
      <c r="D6675" s="1" t="s">
        <v>163</v>
      </c>
      <c r="E6675" s="1" t="s">
        <v>29</v>
      </c>
      <c r="F6675" s="2" t="s">
        <v>3013</v>
      </c>
      <c r="G6675" s="1">
        <v>67.959999999999994</v>
      </c>
      <c r="H6675" s="1">
        <v>4</v>
      </c>
      <c r="I6675" s="1">
        <v>12.232799999999999</v>
      </c>
    </row>
    <row r="6676" spans="1:9" x14ac:dyDescent="0.35">
      <c r="A6676" s="3" t="s">
        <v>3383</v>
      </c>
      <c r="B6676" s="1" t="s">
        <v>2378</v>
      </c>
      <c r="C6676" s="1" t="s">
        <v>700</v>
      </c>
      <c r="D6676" s="1" t="s">
        <v>129</v>
      </c>
      <c r="E6676" s="1" t="s">
        <v>31</v>
      </c>
      <c r="F6676" s="2" t="s">
        <v>1441</v>
      </c>
      <c r="G6676" s="1">
        <v>10.92</v>
      </c>
      <c r="H6676" s="1">
        <v>6</v>
      </c>
      <c r="I6676" s="1">
        <v>4.9139999999999997</v>
      </c>
    </row>
    <row r="6677" spans="1:9" x14ac:dyDescent="0.35">
      <c r="A6677" s="3" t="s">
        <v>3383</v>
      </c>
      <c r="B6677" s="1" t="s">
        <v>2378</v>
      </c>
      <c r="C6677" s="1" t="s">
        <v>700</v>
      </c>
      <c r="D6677" s="1" t="s">
        <v>129</v>
      </c>
      <c r="E6677" s="1" t="s">
        <v>338</v>
      </c>
      <c r="F6677" s="2" t="s">
        <v>3014</v>
      </c>
      <c r="G6677" s="1">
        <v>83.9</v>
      </c>
      <c r="H6677" s="1">
        <v>2</v>
      </c>
      <c r="I6677" s="1">
        <v>22.652999999999999</v>
      </c>
    </row>
    <row r="6678" spans="1:9" x14ac:dyDescent="0.35">
      <c r="A6678" s="3" t="s">
        <v>3383</v>
      </c>
      <c r="B6678" s="1" t="s">
        <v>2378</v>
      </c>
      <c r="C6678" s="1" t="s">
        <v>700</v>
      </c>
      <c r="D6678" s="1" t="s">
        <v>129</v>
      </c>
      <c r="E6678" s="1" t="s">
        <v>37</v>
      </c>
      <c r="F6678" s="2" t="s">
        <v>2802</v>
      </c>
      <c r="G6678" s="1">
        <v>19.75</v>
      </c>
      <c r="H6678" s="1">
        <v>5</v>
      </c>
      <c r="I6678" s="1">
        <v>5.1349999999999998</v>
      </c>
    </row>
    <row r="6679" spans="1:9" x14ac:dyDescent="0.35">
      <c r="A6679" s="3" t="s">
        <v>3383</v>
      </c>
      <c r="B6679" s="1" t="s">
        <v>2378</v>
      </c>
      <c r="C6679" s="1" t="s">
        <v>700</v>
      </c>
      <c r="D6679" s="1" t="s">
        <v>129</v>
      </c>
      <c r="E6679" s="1" t="s">
        <v>81</v>
      </c>
      <c r="F6679" s="2" t="s">
        <v>2575</v>
      </c>
      <c r="G6679" s="1">
        <v>393.54</v>
      </c>
      <c r="H6679" s="1">
        <v>3</v>
      </c>
      <c r="I6679" s="1">
        <v>165.2868</v>
      </c>
    </row>
    <row r="6680" spans="1:9" x14ac:dyDescent="0.35">
      <c r="A6680" s="3">
        <v>41922</v>
      </c>
      <c r="B6680" s="1" t="s">
        <v>709</v>
      </c>
      <c r="C6680" s="1" t="s">
        <v>272</v>
      </c>
      <c r="D6680" s="1" t="s">
        <v>158</v>
      </c>
      <c r="E6680" s="1" t="s">
        <v>29</v>
      </c>
      <c r="F6680" s="2" t="s">
        <v>1517</v>
      </c>
      <c r="G6680" s="1">
        <v>46.872</v>
      </c>
      <c r="H6680" s="1">
        <v>7</v>
      </c>
      <c r="I6680" s="1">
        <v>3.5154000000000001</v>
      </c>
    </row>
    <row r="6681" spans="1:9" x14ac:dyDescent="0.35">
      <c r="A6681" s="3">
        <v>42775</v>
      </c>
      <c r="B6681" s="1" t="s">
        <v>140</v>
      </c>
      <c r="C6681" s="1" t="s">
        <v>1920</v>
      </c>
      <c r="D6681" s="1" t="s">
        <v>368</v>
      </c>
      <c r="E6681" s="1" t="s">
        <v>26</v>
      </c>
      <c r="F6681" s="2" t="s">
        <v>702</v>
      </c>
      <c r="G6681" s="1">
        <v>10.9</v>
      </c>
      <c r="H6681" s="1">
        <v>1</v>
      </c>
      <c r="I6681" s="1">
        <v>2.8340000000000001</v>
      </c>
    </row>
    <row r="6682" spans="1:9" x14ac:dyDescent="0.35">
      <c r="A6682" s="3">
        <v>42775</v>
      </c>
      <c r="B6682" s="1" t="s">
        <v>140</v>
      </c>
      <c r="C6682" s="1" t="s">
        <v>1920</v>
      </c>
      <c r="D6682" s="1" t="s">
        <v>368</v>
      </c>
      <c r="E6682" s="1" t="s">
        <v>44</v>
      </c>
      <c r="F6682" s="2" t="s">
        <v>687</v>
      </c>
      <c r="G6682" s="1">
        <v>79.92</v>
      </c>
      <c r="H6682" s="1">
        <v>4</v>
      </c>
      <c r="I6682" s="1">
        <v>37.562399999999997</v>
      </c>
    </row>
    <row r="6683" spans="1:9" x14ac:dyDescent="0.35">
      <c r="A6683" s="3">
        <v>42775</v>
      </c>
      <c r="B6683" s="1" t="s">
        <v>140</v>
      </c>
      <c r="C6683" s="1" t="s">
        <v>1920</v>
      </c>
      <c r="D6683" s="1" t="s">
        <v>368</v>
      </c>
      <c r="E6683" s="1" t="s">
        <v>44</v>
      </c>
      <c r="F6683" s="2" t="s">
        <v>2693</v>
      </c>
      <c r="G6683" s="1">
        <v>146.82</v>
      </c>
      <c r="H6683" s="1">
        <v>3</v>
      </c>
      <c r="I6683" s="1">
        <v>73.41</v>
      </c>
    </row>
    <row r="6684" spans="1:9" x14ac:dyDescent="0.35">
      <c r="A6684" s="3">
        <v>42736</v>
      </c>
      <c r="B6684" s="1" t="s">
        <v>1777</v>
      </c>
      <c r="C6684" s="1" t="s">
        <v>306</v>
      </c>
      <c r="D6684" s="1" t="s">
        <v>57</v>
      </c>
      <c r="E6684" s="1" t="s">
        <v>35</v>
      </c>
      <c r="F6684" s="2" t="s">
        <v>1292</v>
      </c>
      <c r="G6684" s="1">
        <v>3.6</v>
      </c>
      <c r="H6684" s="1">
        <v>2</v>
      </c>
      <c r="I6684" s="1">
        <v>1.728</v>
      </c>
    </row>
    <row r="6685" spans="1:9" x14ac:dyDescent="0.35">
      <c r="A6685" s="3">
        <v>41770</v>
      </c>
      <c r="B6685" s="1" t="s">
        <v>1334</v>
      </c>
      <c r="C6685" s="1" t="s">
        <v>17</v>
      </c>
      <c r="D6685" s="1" t="s">
        <v>18</v>
      </c>
      <c r="E6685" s="1" t="s">
        <v>29</v>
      </c>
      <c r="F6685" s="2" t="s">
        <v>2553</v>
      </c>
      <c r="G6685" s="1">
        <v>20.04</v>
      </c>
      <c r="H6685" s="1">
        <v>6</v>
      </c>
      <c r="I6685" s="1">
        <v>8.8176000000000005</v>
      </c>
    </row>
    <row r="6686" spans="1:9" x14ac:dyDescent="0.35">
      <c r="A6686" s="3" t="s">
        <v>3583</v>
      </c>
      <c r="B6686" s="1" t="s">
        <v>1765</v>
      </c>
      <c r="C6686" s="1" t="s">
        <v>269</v>
      </c>
      <c r="D6686" s="1" t="s">
        <v>106</v>
      </c>
      <c r="E6686" s="1" t="s">
        <v>26</v>
      </c>
      <c r="F6686" s="2" t="s">
        <v>1519</v>
      </c>
      <c r="G6686" s="1">
        <v>180.01599999999999</v>
      </c>
      <c r="H6686" s="1">
        <v>1</v>
      </c>
      <c r="I6686" s="1">
        <v>-15.7514</v>
      </c>
    </row>
    <row r="6687" spans="1:9" x14ac:dyDescent="0.35">
      <c r="A6687" s="3" t="s">
        <v>3583</v>
      </c>
      <c r="B6687" s="1" t="s">
        <v>1765</v>
      </c>
      <c r="C6687" s="1" t="s">
        <v>269</v>
      </c>
      <c r="D6687" s="1" t="s">
        <v>106</v>
      </c>
      <c r="E6687" s="1" t="s">
        <v>29</v>
      </c>
      <c r="F6687" s="2" t="s">
        <v>1198</v>
      </c>
      <c r="G6687" s="1">
        <v>41.552</v>
      </c>
      <c r="H6687" s="1">
        <v>2</v>
      </c>
      <c r="I6687" s="1">
        <v>-19.737200000000001</v>
      </c>
    </row>
    <row r="6688" spans="1:9" x14ac:dyDescent="0.35">
      <c r="A6688" s="3" t="s">
        <v>3583</v>
      </c>
      <c r="B6688" s="1" t="s">
        <v>1765</v>
      </c>
      <c r="C6688" s="1" t="s">
        <v>269</v>
      </c>
      <c r="D6688" s="1" t="s">
        <v>106</v>
      </c>
      <c r="E6688" s="1" t="s">
        <v>31</v>
      </c>
      <c r="F6688" s="2" t="s">
        <v>1597</v>
      </c>
      <c r="G6688" s="1">
        <v>13.12</v>
      </c>
      <c r="H6688" s="1">
        <v>5</v>
      </c>
      <c r="I6688" s="1">
        <v>1.476</v>
      </c>
    </row>
    <row r="6689" spans="1:9" x14ac:dyDescent="0.35">
      <c r="A6689" s="3" t="s">
        <v>3740</v>
      </c>
      <c r="B6689" s="1" t="s">
        <v>2320</v>
      </c>
      <c r="C6689" s="1" t="s">
        <v>17</v>
      </c>
      <c r="D6689" s="1" t="s">
        <v>18</v>
      </c>
      <c r="E6689" s="1" t="s">
        <v>26</v>
      </c>
      <c r="F6689" s="2" t="s">
        <v>2254</v>
      </c>
      <c r="G6689" s="1">
        <v>1117.92</v>
      </c>
      <c r="H6689" s="1">
        <v>4</v>
      </c>
      <c r="I6689" s="1">
        <v>55.896000000000001</v>
      </c>
    </row>
    <row r="6690" spans="1:9" x14ac:dyDescent="0.35">
      <c r="A6690" s="3">
        <v>43011</v>
      </c>
      <c r="B6690" s="1" t="s">
        <v>2523</v>
      </c>
      <c r="C6690" s="1" t="s">
        <v>64</v>
      </c>
      <c r="D6690" s="1" t="s">
        <v>18</v>
      </c>
      <c r="E6690" s="1" t="s">
        <v>81</v>
      </c>
      <c r="F6690" s="2" t="s">
        <v>1885</v>
      </c>
      <c r="G6690" s="1">
        <v>111.96</v>
      </c>
      <c r="H6690" s="1">
        <v>4</v>
      </c>
      <c r="I6690" s="1">
        <v>21.272400000000001</v>
      </c>
    </row>
    <row r="6691" spans="1:9" x14ac:dyDescent="0.35">
      <c r="A6691" s="3">
        <v>42778</v>
      </c>
      <c r="B6691" s="1" t="s">
        <v>1883</v>
      </c>
      <c r="C6691" s="1" t="s">
        <v>93</v>
      </c>
      <c r="D6691" s="1" t="s">
        <v>52</v>
      </c>
      <c r="E6691" s="1" t="s">
        <v>31</v>
      </c>
      <c r="F6691" s="2" t="s">
        <v>2123</v>
      </c>
      <c r="G6691" s="1">
        <v>12.16</v>
      </c>
      <c r="H6691" s="1">
        <v>5</v>
      </c>
      <c r="I6691" s="1">
        <v>2.1280000000000001</v>
      </c>
    </row>
    <row r="6692" spans="1:9" x14ac:dyDescent="0.35">
      <c r="A6692" s="3" t="s">
        <v>3450</v>
      </c>
      <c r="B6692" s="1" t="s">
        <v>2249</v>
      </c>
      <c r="C6692" s="1" t="s">
        <v>1147</v>
      </c>
      <c r="D6692" s="1" t="s">
        <v>57</v>
      </c>
      <c r="E6692" s="1" t="s">
        <v>35</v>
      </c>
      <c r="F6692" s="2" t="s">
        <v>472</v>
      </c>
      <c r="G6692" s="1">
        <v>17.52</v>
      </c>
      <c r="H6692" s="1">
        <v>4</v>
      </c>
      <c r="I6692" s="1">
        <v>8.4095999999999993</v>
      </c>
    </row>
    <row r="6693" spans="1:9" x14ac:dyDescent="0.35">
      <c r="A6693" s="3" t="s">
        <v>3450</v>
      </c>
      <c r="B6693" s="1" t="s">
        <v>2249</v>
      </c>
      <c r="C6693" s="1" t="s">
        <v>1147</v>
      </c>
      <c r="D6693" s="1" t="s">
        <v>57</v>
      </c>
      <c r="E6693" s="1" t="s">
        <v>37</v>
      </c>
      <c r="F6693" s="2" t="s">
        <v>747</v>
      </c>
      <c r="G6693" s="1">
        <v>155.88</v>
      </c>
      <c r="H6693" s="1">
        <v>6</v>
      </c>
      <c r="I6693" s="1">
        <v>54.558</v>
      </c>
    </row>
    <row r="6694" spans="1:9" x14ac:dyDescent="0.35">
      <c r="A6694" s="3">
        <v>43047</v>
      </c>
      <c r="B6694" s="1" t="s">
        <v>2383</v>
      </c>
      <c r="C6694" s="1" t="s">
        <v>2404</v>
      </c>
      <c r="D6694" s="1" t="s">
        <v>362</v>
      </c>
      <c r="E6694" s="1" t="s">
        <v>35</v>
      </c>
      <c r="F6694" s="2" t="s">
        <v>2179</v>
      </c>
      <c r="G6694" s="1">
        <v>477.51</v>
      </c>
      <c r="H6694" s="1">
        <v>11</v>
      </c>
      <c r="I6694" s="1">
        <v>219.65459999999999</v>
      </c>
    </row>
    <row r="6695" spans="1:9" x14ac:dyDescent="0.35">
      <c r="A6695" s="3" t="s">
        <v>3628</v>
      </c>
      <c r="B6695" s="1" t="s">
        <v>2514</v>
      </c>
      <c r="C6695" s="1" t="s">
        <v>1875</v>
      </c>
      <c r="D6695" s="1" t="s">
        <v>1217</v>
      </c>
      <c r="E6695" s="1" t="s">
        <v>44</v>
      </c>
      <c r="F6695" s="2" t="s">
        <v>2315</v>
      </c>
      <c r="G6695" s="1">
        <v>164.88</v>
      </c>
      <c r="H6695" s="1">
        <v>3</v>
      </c>
      <c r="I6695" s="1">
        <v>80.791200000000003</v>
      </c>
    </row>
    <row r="6696" spans="1:9" x14ac:dyDescent="0.35">
      <c r="A6696" s="3" t="s">
        <v>3278</v>
      </c>
      <c r="B6696" s="1" t="s">
        <v>3001</v>
      </c>
      <c r="C6696" s="1" t="s">
        <v>306</v>
      </c>
      <c r="D6696" s="1" t="s">
        <v>57</v>
      </c>
      <c r="E6696" s="1" t="s">
        <v>81</v>
      </c>
      <c r="F6696" s="2" t="s">
        <v>1842</v>
      </c>
      <c r="G6696" s="1">
        <v>47.97</v>
      </c>
      <c r="H6696" s="1">
        <v>3</v>
      </c>
      <c r="I6696" s="1">
        <v>14.870699999999999</v>
      </c>
    </row>
    <row r="6697" spans="1:9" x14ac:dyDescent="0.35">
      <c r="A6697" s="3">
        <v>42412</v>
      </c>
      <c r="B6697" s="1" t="s">
        <v>1586</v>
      </c>
      <c r="C6697" s="1" t="s">
        <v>135</v>
      </c>
      <c r="D6697" s="1" t="s">
        <v>136</v>
      </c>
      <c r="E6697" s="1" t="s">
        <v>35</v>
      </c>
      <c r="F6697" s="2" t="s">
        <v>2650</v>
      </c>
      <c r="G6697" s="1">
        <v>415.17599999999999</v>
      </c>
      <c r="H6697" s="1">
        <v>3</v>
      </c>
      <c r="I6697" s="1">
        <v>134.93219999999999</v>
      </c>
    </row>
    <row r="6698" spans="1:9" x14ac:dyDescent="0.35">
      <c r="A6698" s="3">
        <v>42412</v>
      </c>
      <c r="B6698" s="1" t="s">
        <v>1586</v>
      </c>
      <c r="C6698" s="1" t="s">
        <v>135</v>
      </c>
      <c r="D6698" s="1" t="s">
        <v>136</v>
      </c>
      <c r="E6698" s="1" t="s">
        <v>35</v>
      </c>
      <c r="F6698" s="2" t="s">
        <v>1523</v>
      </c>
      <c r="G6698" s="1">
        <v>35.231999999999999</v>
      </c>
      <c r="H6698" s="1">
        <v>3</v>
      </c>
      <c r="I6698" s="1">
        <v>11.4504</v>
      </c>
    </row>
    <row r="6699" spans="1:9" x14ac:dyDescent="0.35">
      <c r="A6699" s="3">
        <v>42412</v>
      </c>
      <c r="B6699" s="1" t="s">
        <v>1586</v>
      </c>
      <c r="C6699" s="1" t="s">
        <v>135</v>
      </c>
      <c r="D6699" s="1" t="s">
        <v>136</v>
      </c>
      <c r="E6699" s="1" t="s">
        <v>44</v>
      </c>
      <c r="F6699" s="2" t="s">
        <v>2315</v>
      </c>
      <c r="G6699" s="1">
        <v>54.96</v>
      </c>
      <c r="H6699" s="1">
        <v>1</v>
      </c>
      <c r="I6699" s="1">
        <v>26.930399999999999</v>
      </c>
    </row>
    <row r="6700" spans="1:9" x14ac:dyDescent="0.35">
      <c r="A6700" s="3" t="s">
        <v>3528</v>
      </c>
      <c r="B6700" s="1" t="s">
        <v>1831</v>
      </c>
      <c r="C6700" s="1" t="s">
        <v>461</v>
      </c>
      <c r="D6700" s="1" t="s">
        <v>18</v>
      </c>
      <c r="E6700" s="1" t="s">
        <v>44</v>
      </c>
      <c r="F6700" s="2" t="s">
        <v>3015</v>
      </c>
      <c r="G6700" s="1">
        <v>16.34</v>
      </c>
      <c r="H6700" s="1">
        <v>2</v>
      </c>
      <c r="I6700" s="1">
        <v>7.6798000000000002</v>
      </c>
    </row>
    <row r="6701" spans="1:9" x14ac:dyDescent="0.35">
      <c r="A6701" s="3" t="s">
        <v>3528</v>
      </c>
      <c r="B6701" s="1" t="s">
        <v>1831</v>
      </c>
      <c r="C6701" s="1" t="s">
        <v>461</v>
      </c>
      <c r="D6701" s="1" t="s">
        <v>18</v>
      </c>
      <c r="E6701" s="1" t="s">
        <v>14</v>
      </c>
      <c r="F6701" s="2" t="s">
        <v>1925</v>
      </c>
      <c r="G6701" s="1">
        <v>225.29599999999999</v>
      </c>
      <c r="H6701" s="1">
        <v>2</v>
      </c>
      <c r="I6701" s="1">
        <v>22.529599999999999</v>
      </c>
    </row>
    <row r="6702" spans="1:9" x14ac:dyDescent="0.35">
      <c r="A6702" s="3" t="s">
        <v>3528</v>
      </c>
      <c r="B6702" s="1" t="s">
        <v>1831</v>
      </c>
      <c r="C6702" s="1" t="s">
        <v>461</v>
      </c>
      <c r="D6702" s="1" t="s">
        <v>18</v>
      </c>
      <c r="E6702" s="1" t="s">
        <v>35</v>
      </c>
      <c r="F6702" s="2" t="s">
        <v>572</v>
      </c>
      <c r="G6702" s="1">
        <v>50.351999999999997</v>
      </c>
      <c r="H6702" s="1">
        <v>3</v>
      </c>
      <c r="I6702" s="1">
        <v>17.623200000000001</v>
      </c>
    </row>
    <row r="6703" spans="1:9" x14ac:dyDescent="0.35">
      <c r="A6703" s="3" t="s">
        <v>3741</v>
      </c>
      <c r="B6703" s="1" t="s">
        <v>1755</v>
      </c>
      <c r="C6703" s="1" t="s">
        <v>3012</v>
      </c>
      <c r="D6703" s="1" t="s">
        <v>43</v>
      </c>
      <c r="E6703" s="1" t="s">
        <v>29</v>
      </c>
      <c r="F6703" s="2" t="s">
        <v>1926</v>
      </c>
      <c r="G6703" s="1">
        <v>163.136</v>
      </c>
      <c r="H6703" s="1">
        <v>4</v>
      </c>
      <c r="I6703" s="1">
        <v>20.391999999999999</v>
      </c>
    </row>
    <row r="6704" spans="1:9" x14ac:dyDescent="0.35">
      <c r="A6704" s="3" t="s">
        <v>3741</v>
      </c>
      <c r="B6704" s="1" t="s">
        <v>1755</v>
      </c>
      <c r="C6704" s="1" t="s">
        <v>3012</v>
      </c>
      <c r="D6704" s="1" t="s">
        <v>43</v>
      </c>
      <c r="E6704" s="1" t="s">
        <v>35</v>
      </c>
      <c r="F6704" s="2" t="s">
        <v>1484</v>
      </c>
      <c r="G6704" s="1">
        <v>6.4080000000000004</v>
      </c>
      <c r="H6704" s="1">
        <v>4</v>
      </c>
      <c r="I6704" s="1">
        <v>-4.9127999999999998</v>
      </c>
    </row>
    <row r="6705" spans="1:9" x14ac:dyDescent="0.35">
      <c r="A6705" s="3" t="s">
        <v>3742</v>
      </c>
      <c r="B6705" s="1" t="s">
        <v>1415</v>
      </c>
      <c r="C6705" s="1" t="s">
        <v>559</v>
      </c>
      <c r="D6705" s="1" t="s">
        <v>18</v>
      </c>
      <c r="E6705" s="1" t="s">
        <v>33</v>
      </c>
      <c r="F6705" s="2" t="s">
        <v>2039</v>
      </c>
      <c r="G6705" s="1">
        <v>217.584</v>
      </c>
      <c r="H6705" s="1">
        <v>2</v>
      </c>
      <c r="I6705" s="1">
        <v>19.038599999999999</v>
      </c>
    </row>
    <row r="6706" spans="1:9" x14ac:dyDescent="0.35">
      <c r="A6706" s="3" t="s">
        <v>3742</v>
      </c>
      <c r="B6706" s="1" t="s">
        <v>1415</v>
      </c>
      <c r="C6706" s="1" t="s">
        <v>559</v>
      </c>
      <c r="D6706" s="1" t="s">
        <v>18</v>
      </c>
      <c r="E6706" s="1" t="s">
        <v>137</v>
      </c>
      <c r="F6706" s="2" t="s">
        <v>1369</v>
      </c>
      <c r="G6706" s="1">
        <v>5.43</v>
      </c>
      <c r="H6706" s="1">
        <v>3</v>
      </c>
      <c r="I6706" s="1">
        <v>1.7919</v>
      </c>
    </row>
    <row r="6707" spans="1:9" x14ac:dyDescent="0.35">
      <c r="A6707" s="3" t="s">
        <v>3742</v>
      </c>
      <c r="B6707" s="1" t="s">
        <v>1415</v>
      </c>
      <c r="C6707" s="1" t="s">
        <v>559</v>
      </c>
      <c r="D6707" s="1" t="s">
        <v>18</v>
      </c>
      <c r="E6707" s="1" t="s">
        <v>33</v>
      </c>
      <c r="F6707" s="2" t="s">
        <v>344</v>
      </c>
      <c r="G6707" s="1">
        <v>143.976</v>
      </c>
      <c r="H6707" s="1">
        <v>3</v>
      </c>
      <c r="I6707" s="1">
        <v>8.9984999999999999</v>
      </c>
    </row>
    <row r="6708" spans="1:9" x14ac:dyDescent="0.35">
      <c r="A6708" s="3">
        <v>42652</v>
      </c>
      <c r="B6708" s="1" t="s">
        <v>1054</v>
      </c>
      <c r="C6708" s="1" t="s">
        <v>22</v>
      </c>
      <c r="D6708" s="1" t="s">
        <v>23</v>
      </c>
      <c r="E6708" s="1" t="s">
        <v>33</v>
      </c>
      <c r="F6708" s="2" t="s">
        <v>1538</v>
      </c>
      <c r="G6708" s="1">
        <v>519.67999999999995</v>
      </c>
      <c r="H6708" s="1">
        <v>7</v>
      </c>
      <c r="I6708" s="1">
        <v>58.463999999999999</v>
      </c>
    </row>
    <row r="6709" spans="1:9" x14ac:dyDescent="0.35">
      <c r="A6709" s="3" t="s">
        <v>3743</v>
      </c>
      <c r="B6709" s="1" t="s">
        <v>1488</v>
      </c>
      <c r="C6709" s="1" t="s">
        <v>1875</v>
      </c>
      <c r="D6709" s="1" t="s">
        <v>1217</v>
      </c>
      <c r="E6709" s="1" t="s">
        <v>19</v>
      </c>
      <c r="F6709" s="2" t="s">
        <v>3016</v>
      </c>
      <c r="G6709" s="1">
        <v>7.83</v>
      </c>
      <c r="H6709" s="1">
        <v>3</v>
      </c>
      <c r="I6709" s="1">
        <v>3.6017999999999999</v>
      </c>
    </row>
    <row r="6710" spans="1:9" x14ac:dyDescent="0.35">
      <c r="A6710" s="3" t="s">
        <v>3458</v>
      </c>
      <c r="B6710" s="1" t="s">
        <v>225</v>
      </c>
      <c r="C6710" s="1" t="s">
        <v>3017</v>
      </c>
      <c r="D6710" s="1" t="s">
        <v>331</v>
      </c>
      <c r="E6710" s="1" t="s">
        <v>14</v>
      </c>
      <c r="F6710" s="2" t="s">
        <v>341</v>
      </c>
      <c r="G6710" s="1">
        <v>883.84</v>
      </c>
      <c r="H6710" s="1">
        <v>4</v>
      </c>
      <c r="I6710" s="1">
        <v>99.432000000000002</v>
      </c>
    </row>
    <row r="6711" spans="1:9" x14ac:dyDescent="0.35">
      <c r="A6711" s="3" t="s">
        <v>3458</v>
      </c>
      <c r="B6711" s="1" t="s">
        <v>225</v>
      </c>
      <c r="C6711" s="1" t="s">
        <v>3017</v>
      </c>
      <c r="D6711" s="1" t="s">
        <v>331</v>
      </c>
      <c r="E6711" s="1" t="s">
        <v>14</v>
      </c>
      <c r="F6711" s="2" t="s">
        <v>520</v>
      </c>
      <c r="G6711" s="1">
        <v>230.352</v>
      </c>
      <c r="H6711" s="1">
        <v>3</v>
      </c>
      <c r="I6711" s="1">
        <v>20.155799999999999</v>
      </c>
    </row>
    <row r="6712" spans="1:9" x14ac:dyDescent="0.35">
      <c r="A6712" s="3">
        <v>42625</v>
      </c>
      <c r="B6712" s="1" t="s">
        <v>313</v>
      </c>
      <c r="C6712" s="1" t="s">
        <v>2061</v>
      </c>
      <c r="D6712" s="1" t="s">
        <v>18</v>
      </c>
      <c r="E6712" s="1" t="s">
        <v>35</v>
      </c>
      <c r="F6712" s="2" t="s">
        <v>1932</v>
      </c>
      <c r="G6712" s="1">
        <v>273.92</v>
      </c>
      <c r="H6712" s="1">
        <v>8</v>
      </c>
      <c r="I6712" s="1">
        <v>99.296000000000006</v>
      </c>
    </row>
    <row r="6713" spans="1:9" x14ac:dyDescent="0.35">
      <c r="A6713" s="3" t="s">
        <v>3529</v>
      </c>
      <c r="B6713" s="1" t="s">
        <v>1143</v>
      </c>
      <c r="C6713" s="1" t="s">
        <v>249</v>
      </c>
      <c r="D6713" s="1" t="s">
        <v>250</v>
      </c>
      <c r="E6713" s="1" t="s">
        <v>31</v>
      </c>
      <c r="F6713" s="2" t="s">
        <v>1722</v>
      </c>
      <c r="G6713" s="1">
        <v>9.9120000000000008</v>
      </c>
      <c r="H6713" s="1">
        <v>3</v>
      </c>
      <c r="I6713" s="1">
        <v>1.2390000000000001</v>
      </c>
    </row>
    <row r="6714" spans="1:9" x14ac:dyDescent="0.35">
      <c r="A6714" s="3" t="s">
        <v>3305</v>
      </c>
      <c r="B6714" s="1" t="s">
        <v>320</v>
      </c>
      <c r="C6714" s="1" t="s">
        <v>1808</v>
      </c>
      <c r="D6714" s="1" t="s">
        <v>106</v>
      </c>
      <c r="E6714" s="1" t="s">
        <v>29</v>
      </c>
      <c r="F6714" s="2" t="s">
        <v>2187</v>
      </c>
      <c r="G6714" s="1">
        <v>266.35199999999998</v>
      </c>
      <c r="H6714" s="1">
        <v>6</v>
      </c>
      <c r="I6714" s="1">
        <v>-292.98719999999997</v>
      </c>
    </row>
    <row r="6715" spans="1:9" x14ac:dyDescent="0.35">
      <c r="A6715" s="3" t="s">
        <v>3305</v>
      </c>
      <c r="B6715" s="1" t="s">
        <v>320</v>
      </c>
      <c r="C6715" s="1" t="s">
        <v>1808</v>
      </c>
      <c r="D6715" s="1" t="s">
        <v>106</v>
      </c>
      <c r="E6715" s="1" t="s">
        <v>29</v>
      </c>
      <c r="F6715" s="2" t="s">
        <v>519</v>
      </c>
      <c r="G6715" s="1">
        <v>56.328000000000003</v>
      </c>
      <c r="H6715" s="1">
        <v>3</v>
      </c>
      <c r="I6715" s="1">
        <v>-26.755800000000001</v>
      </c>
    </row>
    <row r="6716" spans="1:9" x14ac:dyDescent="0.35">
      <c r="A6716" s="3" t="s">
        <v>3305</v>
      </c>
      <c r="B6716" s="1" t="s">
        <v>320</v>
      </c>
      <c r="C6716" s="1" t="s">
        <v>1808</v>
      </c>
      <c r="D6716" s="1" t="s">
        <v>106</v>
      </c>
      <c r="E6716" s="1" t="s">
        <v>81</v>
      </c>
      <c r="F6716" s="2" t="s">
        <v>1615</v>
      </c>
      <c r="G6716" s="1">
        <v>39.264000000000003</v>
      </c>
      <c r="H6716" s="1">
        <v>3</v>
      </c>
      <c r="I6716" s="1">
        <v>-4.9080000000000004</v>
      </c>
    </row>
    <row r="6717" spans="1:9" x14ac:dyDescent="0.35">
      <c r="A6717" s="3" t="s">
        <v>3305</v>
      </c>
      <c r="B6717" s="1" t="s">
        <v>320</v>
      </c>
      <c r="C6717" s="1" t="s">
        <v>1808</v>
      </c>
      <c r="D6717" s="1" t="s">
        <v>106</v>
      </c>
      <c r="E6717" s="1" t="s">
        <v>31</v>
      </c>
      <c r="F6717" s="2" t="s">
        <v>2615</v>
      </c>
      <c r="G6717" s="1">
        <v>95.231999999999999</v>
      </c>
      <c r="H6717" s="1">
        <v>6</v>
      </c>
      <c r="I6717" s="1">
        <v>24.9984</v>
      </c>
    </row>
    <row r="6718" spans="1:9" x14ac:dyDescent="0.35">
      <c r="A6718" s="3">
        <v>42586</v>
      </c>
      <c r="B6718" s="1" t="s">
        <v>1048</v>
      </c>
      <c r="C6718" s="1" t="s">
        <v>2311</v>
      </c>
      <c r="D6718" s="1" t="s">
        <v>797</v>
      </c>
      <c r="E6718" s="1" t="s">
        <v>137</v>
      </c>
      <c r="F6718" s="2" t="s">
        <v>1157</v>
      </c>
      <c r="G6718" s="1">
        <v>30</v>
      </c>
      <c r="H6718" s="1">
        <v>6</v>
      </c>
      <c r="I6718" s="1">
        <v>14.4</v>
      </c>
    </row>
    <row r="6719" spans="1:9" x14ac:dyDescent="0.35">
      <c r="A6719" s="3">
        <v>42586</v>
      </c>
      <c r="B6719" s="1" t="s">
        <v>1048</v>
      </c>
      <c r="C6719" s="1" t="s">
        <v>2311</v>
      </c>
      <c r="D6719" s="1" t="s">
        <v>797</v>
      </c>
      <c r="E6719" s="1" t="s">
        <v>44</v>
      </c>
      <c r="F6719" s="2" t="s">
        <v>974</v>
      </c>
      <c r="G6719" s="1">
        <v>25.92</v>
      </c>
      <c r="H6719" s="1">
        <v>4</v>
      </c>
      <c r="I6719" s="1">
        <v>12.700799999999999</v>
      </c>
    </row>
    <row r="6720" spans="1:9" x14ac:dyDescent="0.35">
      <c r="A6720" s="3">
        <v>42586</v>
      </c>
      <c r="B6720" s="1" t="s">
        <v>1048</v>
      </c>
      <c r="C6720" s="1" t="s">
        <v>2311</v>
      </c>
      <c r="D6720" s="1" t="s">
        <v>797</v>
      </c>
      <c r="E6720" s="1" t="s">
        <v>29</v>
      </c>
      <c r="F6720" s="2" t="s">
        <v>1500</v>
      </c>
      <c r="G6720" s="1">
        <v>159.91999999999999</v>
      </c>
      <c r="H6720" s="1">
        <v>4</v>
      </c>
      <c r="I6720" s="1">
        <v>31.984000000000002</v>
      </c>
    </row>
    <row r="6721" spans="1:9" x14ac:dyDescent="0.35">
      <c r="A6721" s="3" t="s">
        <v>3704</v>
      </c>
      <c r="B6721" s="1" t="s">
        <v>73</v>
      </c>
      <c r="C6721" s="1" t="s">
        <v>3018</v>
      </c>
      <c r="D6721" s="1" t="s">
        <v>43</v>
      </c>
      <c r="E6721" s="1" t="s">
        <v>37</v>
      </c>
      <c r="F6721" s="2" t="s">
        <v>1572</v>
      </c>
      <c r="G6721" s="1">
        <v>34.944000000000003</v>
      </c>
      <c r="H6721" s="1">
        <v>3</v>
      </c>
      <c r="I6721" s="1">
        <v>3.0575999999999999</v>
      </c>
    </row>
    <row r="6722" spans="1:9" x14ac:dyDescent="0.35">
      <c r="A6722" s="3" t="s">
        <v>3154</v>
      </c>
      <c r="B6722" s="1" t="s">
        <v>1184</v>
      </c>
      <c r="C6722" s="1" t="s">
        <v>17</v>
      </c>
      <c r="D6722" s="1" t="s">
        <v>18</v>
      </c>
      <c r="E6722" s="1" t="s">
        <v>81</v>
      </c>
      <c r="F6722" s="2" t="s">
        <v>1112</v>
      </c>
      <c r="G6722" s="1">
        <v>149.94999999999999</v>
      </c>
      <c r="H6722" s="1">
        <v>5</v>
      </c>
      <c r="I6722" s="1">
        <v>31.4895</v>
      </c>
    </row>
    <row r="6723" spans="1:9" x14ac:dyDescent="0.35">
      <c r="A6723" s="3" t="s">
        <v>3154</v>
      </c>
      <c r="B6723" s="1" t="s">
        <v>1184</v>
      </c>
      <c r="C6723" s="1" t="s">
        <v>17</v>
      </c>
      <c r="D6723" s="1" t="s">
        <v>18</v>
      </c>
      <c r="E6723" s="1" t="s">
        <v>31</v>
      </c>
      <c r="F6723" s="2" t="s">
        <v>2933</v>
      </c>
      <c r="G6723" s="1">
        <v>23.32</v>
      </c>
      <c r="H6723" s="1">
        <v>2</v>
      </c>
      <c r="I6723" s="1">
        <v>6.0632000000000001</v>
      </c>
    </row>
    <row r="6724" spans="1:9" x14ac:dyDescent="0.35">
      <c r="A6724" s="3" t="s">
        <v>3154</v>
      </c>
      <c r="B6724" s="1" t="s">
        <v>1184</v>
      </c>
      <c r="C6724" s="1" t="s">
        <v>17</v>
      </c>
      <c r="D6724" s="1" t="s">
        <v>18</v>
      </c>
      <c r="E6724" s="1" t="s">
        <v>31</v>
      </c>
      <c r="F6724" s="2" t="s">
        <v>2083</v>
      </c>
      <c r="G6724" s="1">
        <v>16.739999999999998</v>
      </c>
      <c r="H6724" s="1">
        <v>3</v>
      </c>
      <c r="I6724" s="1">
        <v>4.8545999999999996</v>
      </c>
    </row>
    <row r="6725" spans="1:9" x14ac:dyDescent="0.35">
      <c r="A6725" s="3">
        <v>42834</v>
      </c>
      <c r="B6725" s="1" t="s">
        <v>2625</v>
      </c>
      <c r="C6725" s="1" t="s">
        <v>2963</v>
      </c>
      <c r="D6725" s="1" t="s">
        <v>1203</v>
      </c>
      <c r="E6725" s="1" t="s">
        <v>137</v>
      </c>
      <c r="F6725" s="2" t="s">
        <v>281</v>
      </c>
      <c r="G6725" s="1">
        <v>14.82</v>
      </c>
      <c r="H6725" s="1">
        <v>6</v>
      </c>
      <c r="I6725" s="1">
        <v>6.9653999999999998</v>
      </c>
    </row>
    <row r="6726" spans="1:9" x14ac:dyDescent="0.35">
      <c r="A6726" s="3">
        <v>42713</v>
      </c>
      <c r="B6726" s="1" t="s">
        <v>894</v>
      </c>
      <c r="C6726" s="1" t="s">
        <v>47</v>
      </c>
      <c r="D6726" s="1" t="s">
        <v>48</v>
      </c>
      <c r="E6726" s="1" t="s">
        <v>137</v>
      </c>
      <c r="F6726" s="2" t="s">
        <v>423</v>
      </c>
      <c r="G6726" s="1">
        <v>10.47</v>
      </c>
      <c r="H6726" s="1">
        <v>3</v>
      </c>
      <c r="I6726" s="1">
        <v>4.8162000000000003</v>
      </c>
    </row>
    <row r="6727" spans="1:9" x14ac:dyDescent="0.35">
      <c r="A6727" s="3">
        <v>42713</v>
      </c>
      <c r="B6727" s="1" t="s">
        <v>894</v>
      </c>
      <c r="C6727" s="1" t="s">
        <v>47</v>
      </c>
      <c r="D6727" s="1" t="s">
        <v>48</v>
      </c>
      <c r="E6727" s="1" t="s">
        <v>19</v>
      </c>
      <c r="F6727" s="2" t="s">
        <v>2741</v>
      </c>
      <c r="G6727" s="1">
        <v>11.07</v>
      </c>
      <c r="H6727" s="1">
        <v>3</v>
      </c>
      <c r="I6727" s="1">
        <v>5.2028999999999996</v>
      </c>
    </row>
    <row r="6728" spans="1:9" x14ac:dyDescent="0.35">
      <c r="A6728" s="3">
        <v>42713</v>
      </c>
      <c r="B6728" s="1" t="s">
        <v>894</v>
      </c>
      <c r="C6728" s="1" t="s">
        <v>47</v>
      </c>
      <c r="D6728" s="1" t="s">
        <v>48</v>
      </c>
      <c r="E6728" s="1" t="s">
        <v>35</v>
      </c>
      <c r="F6728" s="2" t="s">
        <v>1103</v>
      </c>
      <c r="G6728" s="1">
        <v>20.704000000000001</v>
      </c>
      <c r="H6728" s="1">
        <v>4</v>
      </c>
      <c r="I6728" s="1">
        <v>7.7640000000000002</v>
      </c>
    </row>
    <row r="6729" spans="1:9" x14ac:dyDescent="0.35">
      <c r="A6729" s="3">
        <v>43016</v>
      </c>
      <c r="B6729" s="1" t="s">
        <v>1054</v>
      </c>
      <c r="C6729" s="1" t="s">
        <v>693</v>
      </c>
      <c r="D6729" s="1" t="s">
        <v>129</v>
      </c>
      <c r="E6729" s="1" t="s">
        <v>44</v>
      </c>
      <c r="F6729" s="2" t="s">
        <v>2889</v>
      </c>
      <c r="G6729" s="1">
        <v>177.2</v>
      </c>
      <c r="H6729" s="1">
        <v>5</v>
      </c>
      <c r="I6729" s="1">
        <v>83.284000000000006</v>
      </c>
    </row>
    <row r="6730" spans="1:9" x14ac:dyDescent="0.35">
      <c r="A6730" s="3">
        <v>42471</v>
      </c>
      <c r="B6730" s="1" t="s">
        <v>2620</v>
      </c>
      <c r="C6730" s="1" t="s">
        <v>672</v>
      </c>
      <c r="D6730" s="1" t="s">
        <v>23</v>
      </c>
      <c r="E6730" s="1" t="s">
        <v>29</v>
      </c>
      <c r="F6730" s="2" t="s">
        <v>1948</v>
      </c>
      <c r="G6730" s="1">
        <v>50.496000000000002</v>
      </c>
      <c r="H6730" s="1">
        <v>6</v>
      </c>
      <c r="I6730" s="1">
        <v>8.2056000000000004</v>
      </c>
    </row>
    <row r="6731" spans="1:9" x14ac:dyDescent="0.35">
      <c r="A6731" s="3" t="s">
        <v>3515</v>
      </c>
      <c r="B6731" s="1" t="s">
        <v>1101</v>
      </c>
      <c r="C6731" s="1" t="s">
        <v>1627</v>
      </c>
      <c r="D6731" s="1" t="s">
        <v>171</v>
      </c>
      <c r="E6731" s="1" t="s">
        <v>35</v>
      </c>
      <c r="F6731" s="2" t="s">
        <v>2127</v>
      </c>
      <c r="G6731" s="1">
        <v>6.1289999999999996</v>
      </c>
      <c r="H6731" s="1">
        <v>3</v>
      </c>
      <c r="I6731" s="1">
        <v>-4.4946000000000002</v>
      </c>
    </row>
    <row r="6732" spans="1:9" x14ac:dyDescent="0.35">
      <c r="A6732" s="3" t="s">
        <v>3515</v>
      </c>
      <c r="B6732" s="1" t="s">
        <v>1101</v>
      </c>
      <c r="C6732" s="1" t="s">
        <v>1627</v>
      </c>
      <c r="D6732" s="1" t="s">
        <v>171</v>
      </c>
      <c r="E6732" s="1" t="s">
        <v>14</v>
      </c>
      <c r="F6732" s="2" t="s">
        <v>459</v>
      </c>
      <c r="G6732" s="1">
        <v>643.13599999999997</v>
      </c>
      <c r="H6732" s="1">
        <v>4</v>
      </c>
      <c r="I6732" s="1">
        <v>56.2744</v>
      </c>
    </row>
    <row r="6733" spans="1:9" x14ac:dyDescent="0.35">
      <c r="A6733" s="3" t="s">
        <v>3515</v>
      </c>
      <c r="B6733" s="1" t="s">
        <v>1101</v>
      </c>
      <c r="C6733" s="1" t="s">
        <v>1627</v>
      </c>
      <c r="D6733" s="1" t="s">
        <v>171</v>
      </c>
      <c r="E6733" s="1" t="s">
        <v>44</v>
      </c>
      <c r="F6733" s="2" t="s">
        <v>552</v>
      </c>
      <c r="G6733" s="1">
        <v>20.736000000000001</v>
      </c>
      <c r="H6733" s="1">
        <v>4</v>
      </c>
      <c r="I6733" s="1">
        <v>7.2576000000000001</v>
      </c>
    </row>
    <row r="6734" spans="1:9" x14ac:dyDescent="0.35">
      <c r="A6734" s="3">
        <v>41736</v>
      </c>
      <c r="B6734" s="1" t="s">
        <v>2648</v>
      </c>
      <c r="C6734" s="1" t="s">
        <v>228</v>
      </c>
      <c r="D6734" s="1" t="s">
        <v>229</v>
      </c>
      <c r="E6734" s="1" t="s">
        <v>44</v>
      </c>
      <c r="F6734" s="2" t="s">
        <v>2472</v>
      </c>
      <c r="G6734" s="1">
        <v>177.536</v>
      </c>
      <c r="H6734" s="1">
        <v>4</v>
      </c>
      <c r="I6734" s="1">
        <v>62.137599999999999</v>
      </c>
    </row>
    <row r="6735" spans="1:9" x14ac:dyDescent="0.35">
      <c r="A6735" s="3">
        <v>41736</v>
      </c>
      <c r="B6735" s="1" t="s">
        <v>2648</v>
      </c>
      <c r="C6735" s="1" t="s">
        <v>228</v>
      </c>
      <c r="D6735" s="1" t="s">
        <v>229</v>
      </c>
      <c r="E6735" s="1" t="s">
        <v>37</v>
      </c>
      <c r="F6735" s="2" t="s">
        <v>2097</v>
      </c>
      <c r="G6735" s="1">
        <v>32.432000000000002</v>
      </c>
      <c r="H6735" s="1">
        <v>2</v>
      </c>
      <c r="I6735" s="1">
        <v>3.2431999999999999</v>
      </c>
    </row>
    <row r="6736" spans="1:9" x14ac:dyDescent="0.35">
      <c r="A6736" s="3" t="s">
        <v>3538</v>
      </c>
      <c r="B6736" s="1" t="s">
        <v>2972</v>
      </c>
      <c r="C6736" s="1" t="s">
        <v>672</v>
      </c>
      <c r="D6736" s="1" t="s">
        <v>23</v>
      </c>
      <c r="E6736" s="1" t="s">
        <v>19</v>
      </c>
      <c r="F6736" s="2" t="s">
        <v>1177</v>
      </c>
      <c r="G6736" s="1">
        <v>11.696</v>
      </c>
      <c r="H6736" s="1">
        <v>2</v>
      </c>
      <c r="I6736" s="1">
        <v>3.9474</v>
      </c>
    </row>
    <row r="6737" spans="1:9" x14ac:dyDescent="0.35">
      <c r="A6737" s="3">
        <v>42647</v>
      </c>
      <c r="B6737" s="1" t="s">
        <v>1901</v>
      </c>
      <c r="C6737" s="1" t="s">
        <v>64</v>
      </c>
      <c r="D6737" s="1" t="s">
        <v>18</v>
      </c>
      <c r="E6737" s="1" t="s">
        <v>37</v>
      </c>
      <c r="F6737" s="2" t="s">
        <v>1650</v>
      </c>
      <c r="G6737" s="1">
        <v>113.76</v>
      </c>
      <c r="H6737" s="1">
        <v>3</v>
      </c>
      <c r="I6737" s="1">
        <v>44.366399999999999</v>
      </c>
    </row>
    <row r="6738" spans="1:9" x14ac:dyDescent="0.35">
      <c r="A6738" s="3">
        <v>42647</v>
      </c>
      <c r="B6738" s="1" t="s">
        <v>1901</v>
      </c>
      <c r="C6738" s="1" t="s">
        <v>64</v>
      </c>
      <c r="D6738" s="1" t="s">
        <v>18</v>
      </c>
      <c r="E6738" s="1" t="s">
        <v>26</v>
      </c>
      <c r="F6738" s="2" t="s">
        <v>2769</v>
      </c>
      <c r="G6738" s="1">
        <v>579.51</v>
      </c>
      <c r="H6738" s="1">
        <v>3</v>
      </c>
      <c r="I6738" s="1">
        <v>81.131399999999999</v>
      </c>
    </row>
    <row r="6739" spans="1:9" x14ac:dyDescent="0.35">
      <c r="A6739" s="3">
        <v>42647</v>
      </c>
      <c r="B6739" s="1" t="s">
        <v>1901</v>
      </c>
      <c r="C6739" s="1" t="s">
        <v>64</v>
      </c>
      <c r="D6739" s="1" t="s">
        <v>18</v>
      </c>
      <c r="E6739" s="1" t="s">
        <v>26</v>
      </c>
      <c r="F6739" s="2" t="s">
        <v>2949</v>
      </c>
      <c r="G6739" s="1">
        <v>150.66</v>
      </c>
      <c r="H6739" s="1">
        <v>9</v>
      </c>
      <c r="I6739" s="1">
        <v>6.0263999999999998</v>
      </c>
    </row>
    <row r="6740" spans="1:9" x14ac:dyDescent="0.35">
      <c r="A6740" s="3">
        <v>42647</v>
      </c>
      <c r="B6740" s="1" t="s">
        <v>1901</v>
      </c>
      <c r="C6740" s="1" t="s">
        <v>64</v>
      </c>
      <c r="D6740" s="1" t="s">
        <v>18</v>
      </c>
      <c r="E6740" s="1" t="s">
        <v>35</v>
      </c>
      <c r="F6740" s="2" t="s">
        <v>880</v>
      </c>
      <c r="G6740" s="1">
        <v>48.031999999999996</v>
      </c>
      <c r="H6740" s="1">
        <v>4</v>
      </c>
      <c r="I6740" s="1">
        <v>15.6104</v>
      </c>
    </row>
    <row r="6741" spans="1:9" x14ac:dyDescent="0.35">
      <c r="A6741" s="3" t="s">
        <v>3247</v>
      </c>
      <c r="B6741" s="1" t="s">
        <v>1822</v>
      </c>
      <c r="C6741" s="1" t="s">
        <v>154</v>
      </c>
      <c r="D6741" s="1" t="s">
        <v>106</v>
      </c>
      <c r="E6741" s="1" t="s">
        <v>26</v>
      </c>
      <c r="F6741" s="2" t="s">
        <v>2239</v>
      </c>
      <c r="G6741" s="1">
        <v>102.624</v>
      </c>
      <c r="H6741" s="1">
        <v>3</v>
      </c>
      <c r="I6741" s="1">
        <v>7.6967999999999996</v>
      </c>
    </row>
    <row r="6742" spans="1:9" x14ac:dyDescent="0.35">
      <c r="A6742" s="3" t="s">
        <v>3247</v>
      </c>
      <c r="B6742" s="1" t="s">
        <v>1822</v>
      </c>
      <c r="C6742" s="1" t="s">
        <v>154</v>
      </c>
      <c r="D6742" s="1" t="s">
        <v>106</v>
      </c>
      <c r="E6742" s="1" t="s">
        <v>14</v>
      </c>
      <c r="F6742" s="2" t="s">
        <v>1972</v>
      </c>
      <c r="G6742" s="1">
        <v>359.77199999999999</v>
      </c>
      <c r="H6742" s="1">
        <v>2</v>
      </c>
      <c r="I6742" s="1">
        <v>-5.1395999999999997</v>
      </c>
    </row>
    <row r="6743" spans="1:9" x14ac:dyDescent="0.35">
      <c r="A6743" s="3" t="s">
        <v>3247</v>
      </c>
      <c r="B6743" s="1" t="s">
        <v>1822</v>
      </c>
      <c r="C6743" s="1" t="s">
        <v>154</v>
      </c>
      <c r="D6743" s="1" t="s">
        <v>106</v>
      </c>
      <c r="E6743" s="1" t="s">
        <v>31</v>
      </c>
      <c r="F6743" s="2" t="s">
        <v>1360</v>
      </c>
      <c r="G6743" s="1">
        <v>13.391999999999999</v>
      </c>
      <c r="H6743" s="1">
        <v>3</v>
      </c>
      <c r="I6743" s="1">
        <v>3.1806000000000001</v>
      </c>
    </row>
    <row r="6744" spans="1:9" x14ac:dyDescent="0.35">
      <c r="A6744" s="3">
        <v>42893</v>
      </c>
      <c r="B6744" s="1" t="s">
        <v>567</v>
      </c>
      <c r="C6744" s="1" t="s">
        <v>17</v>
      </c>
      <c r="D6744" s="1" t="s">
        <v>18</v>
      </c>
      <c r="E6744" s="1" t="s">
        <v>14</v>
      </c>
      <c r="F6744" s="2" t="s">
        <v>276</v>
      </c>
      <c r="G6744" s="1">
        <v>122.136</v>
      </c>
      <c r="H6744" s="1">
        <v>3</v>
      </c>
      <c r="I6744" s="1">
        <v>-13.7403</v>
      </c>
    </row>
    <row r="6745" spans="1:9" x14ac:dyDescent="0.35">
      <c r="A6745" s="3" t="s">
        <v>3744</v>
      </c>
      <c r="B6745" s="1" t="s">
        <v>553</v>
      </c>
      <c r="C6745" s="1" t="s">
        <v>123</v>
      </c>
      <c r="D6745" s="1" t="s">
        <v>1203</v>
      </c>
      <c r="E6745" s="1" t="s">
        <v>44</v>
      </c>
      <c r="F6745" s="2" t="s">
        <v>326</v>
      </c>
      <c r="G6745" s="1">
        <v>35.880000000000003</v>
      </c>
      <c r="H6745" s="1">
        <v>6</v>
      </c>
      <c r="I6745" s="1">
        <v>16.146000000000001</v>
      </c>
    </row>
    <row r="6746" spans="1:9" x14ac:dyDescent="0.35">
      <c r="A6746" s="3" t="s">
        <v>3237</v>
      </c>
      <c r="B6746" s="1" t="s">
        <v>1415</v>
      </c>
      <c r="C6746" s="1" t="s">
        <v>422</v>
      </c>
      <c r="D6746" s="1" t="s">
        <v>250</v>
      </c>
      <c r="E6746" s="1" t="s">
        <v>81</v>
      </c>
      <c r="F6746" s="2" t="s">
        <v>1044</v>
      </c>
      <c r="G6746" s="1">
        <v>479.952</v>
      </c>
      <c r="H6746" s="1">
        <v>6</v>
      </c>
      <c r="I6746" s="1">
        <v>107.9892</v>
      </c>
    </row>
    <row r="6747" spans="1:9" x14ac:dyDescent="0.35">
      <c r="A6747" s="3" t="s">
        <v>3237</v>
      </c>
      <c r="B6747" s="1" t="s">
        <v>1415</v>
      </c>
      <c r="C6747" s="1" t="s">
        <v>422</v>
      </c>
      <c r="D6747" s="1" t="s">
        <v>250</v>
      </c>
      <c r="E6747" s="1" t="s">
        <v>31</v>
      </c>
      <c r="F6747" s="2" t="s">
        <v>496</v>
      </c>
      <c r="G6747" s="1">
        <v>23.92</v>
      </c>
      <c r="H6747" s="1">
        <v>5</v>
      </c>
      <c r="I6747" s="1">
        <v>1.794</v>
      </c>
    </row>
    <row r="6748" spans="1:9" x14ac:dyDescent="0.35">
      <c r="A6748" s="3" t="s">
        <v>3165</v>
      </c>
      <c r="B6748" s="1" t="s">
        <v>175</v>
      </c>
      <c r="C6748" s="1" t="s">
        <v>135</v>
      </c>
      <c r="D6748" s="1" t="s">
        <v>136</v>
      </c>
      <c r="E6748" s="1" t="s">
        <v>33</v>
      </c>
      <c r="F6748" s="2" t="s">
        <v>2397</v>
      </c>
      <c r="G6748" s="1">
        <v>629.95000000000005</v>
      </c>
      <c r="H6748" s="1">
        <v>5</v>
      </c>
      <c r="I6748" s="1">
        <v>163.78700000000001</v>
      </c>
    </row>
    <row r="6749" spans="1:9" x14ac:dyDescent="0.35">
      <c r="A6749" s="3">
        <v>43051</v>
      </c>
      <c r="B6749" s="1" t="s">
        <v>848</v>
      </c>
      <c r="C6749" s="1" t="s">
        <v>135</v>
      </c>
      <c r="D6749" s="1" t="s">
        <v>136</v>
      </c>
      <c r="E6749" s="1" t="s">
        <v>35</v>
      </c>
      <c r="F6749" s="2" t="s">
        <v>800</v>
      </c>
      <c r="G6749" s="1">
        <v>14.952</v>
      </c>
      <c r="H6749" s="1">
        <v>1</v>
      </c>
      <c r="I6749" s="1">
        <v>5.0462999999999996</v>
      </c>
    </row>
    <row r="6750" spans="1:9" x14ac:dyDescent="0.35">
      <c r="A6750" s="3">
        <v>43051</v>
      </c>
      <c r="B6750" s="1" t="s">
        <v>848</v>
      </c>
      <c r="C6750" s="1" t="s">
        <v>135</v>
      </c>
      <c r="D6750" s="1" t="s">
        <v>136</v>
      </c>
      <c r="E6750" s="1" t="s">
        <v>44</v>
      </c>
      <c r="F6750" s="2" t="s">
        <v>2243</v>
      </c>
      <c r="G6750" s="1">
        <v>17.940000000000001</v>
      </c>
      <c r="H6750" s="1">
        <v>3</v>
      </c>
      <c r="I6750" s="1">
        <v>8.0730000000000004</v>
      </c>
    </row>
    <row r="6751" spans="1:9" x14ac:dyDescent="0.35">
      <c r="A6751" s="3">
        <v>43051</v>
      </c>
      <c r="B6751" s="1" t="s">
        <v>848</v>
      </c>
      <c r="C6751" s="1" t="s">
        <v>135</v>
      </c>
      <c r="D6751" s="1" t="s">
        <v>136</v>
      </c>
      <c r="E6751" s="1" t="s">
        <v>33</v>
      </c>
      <c r="F6751" s="2" t="s">
        <v>2858</v>
      </c>
      <c r="G6751" s="1">
        <v>116.98</v>
      </c>
      <c r="H6751" s="1">
        <v>2</v>
      </c>
      <c r="I6751" s="1">
        <v>29.245000000000001</v>
      </c>
    </row>
    <row r="6752" spans="1:9" x14ac:dyDescent="0.35">
      <c r="A6752" s="3" t="s">
        <v>3472</v>
      </c>
      <c r="B6752" s="1" t="s">
        <v>2415</v>
      </c>
      <c r="C6752" s="1" t="s">
        <v>1992</v>
      </c>
      <c r="D6752" s="1" t="s">
        <v>388</v>
      </c>
      <c r="E6752" s="1" t="s">
        <v>14</v>
      </c>
      <c r="F6752" s="2" t="s">
        <v>2554</v>
      </c>
      <c r="G6752" s="1">
        <v>121.96</v>
      </c>
      <c r="H6752" s="1">
        <v>2</v>
      </c>
      <c r="I6752" s="1">
        <v>20.7332</v>
      </c>
    </row>
    <row r="6753" spans="1:9" x14ac:dyDescent="0.35">
      <c r="A6753" s="3" t="s">
        <v>3472</v>
      </c>
      <c r="B6753" s="1" t="s">
        <v>2415</v>
      </c>
      <c r="C6753" s="1" t="s">
        <v>1992</v>
      </c>
      <c r="D6753" s="1" t="s">
        <v>388</v>
      </c>
      <c r="E6753" s="1" t="s">
        <v>37</v>
      </c>
      <c r="F6753" s="2" t="s">
        <v>2529</v>
      </c>
      <c r="G6753" s="1">
        <v>8.74</v>
      </c>
      <c r="H6753" s="1">
        <v>2</v>
      </c>
      <c r="I6753" s="1">
        <v>2.2724000000000002</v>
      </c>
    </row>
    <row r="6754" spans="1:9" x14ac:dyDescent="0.35">
      <c r="A6754" s="3" t="s">
        <v>3472</v>
      </c>
      <c r="B6754" s="1" t="s">
        <v>2415</v>
      </c>
      <c r="C6754" s="1" t="s">
        <v>1992</v>
      </c>
      <c r="D6754" s="1" t="s">
        <v>388</v>
      </c>
      <c r="E6754" s="1" t="s">
        <v>44</v>
      </c>
      <c r="F6754" s="2" t="s">
        <v>627</v>
      </c>
      <c r="G6754" s="1">
        <v>61.96</v>
      </c>
      <c r="H6754" s="1">
        <v>2</v>
      </c>
      <c r="I6754" s="1">
        <v>27.882000000000001</v>
      </c>
    </row>
    <row r="6755" spans="1:9" x14ac:dyDescent="0.35">
      <c r="A6755" s="3" t="s">
        <v>3472</v>
      </c>
      <c r="B6755" s="1" t="s">
        <v>2415</v>
      </c>
      <c r="C6755" s="1" t="s">
        <v>1992</v>
      </c>
      <c r="D6755" s="1" t="s">
        <v>388</v>
      </c>
      <c r="E6755" s="1" t="s">
        <v>35</v>
      </c>
      <c r="F6755" s="2" t="s">
        <v>2330</v>
      </c>
      <c r="G6755" s="1">
        <v>7.96</v>
      </c>
      <c r="H6755" s="1">
        <v>2</v>
      </c>
      <c r="I6755" s="1">
        <v>3.7412000000000001</v>
      </c>
    </row>
    <row r="6756" spans="1:9" x14ac:dyDescent="0.35">
      <c r="A6756" s="3" t="s">
        <v>3472</v>
      </c>
      <c r="B6756" s="1" t="s">
        <v>2415</v>
      </c>
      <c r="C6756" s="1" t="s">
        <v>1992</v>
      </c>
      <c r="D6756" s="1" t="s">
        <v>388</v>
      </c>
      <c r="E6756" s="1" t="s">
        <v>37</v>
      </c>
      <c r="F6756" s="2" t="s">
        <v>53</v>
      </c>
      <c r="G6756" s="1">
        <v>275.24</v>
      </c>
      <c r="H6756" s="1">
        <v>4</v>
      </c>
      <c r="I6756" s="1">
        <v>121.1056</v>
      </c>
    </row>
    <row r="6757" spans="1:9" x14ac:dyDescent="0.35">
      <c r="A6757" s="3" t="s">
        <v>3687</v>
      </c>
      <c r="B6757" s="1" t="s">
        <v>3019</v>
      </c>
      <c r="C6757" s="1" t="s">
        <v>536</v>
      </c>
      <c r="D6757" s="1" t="s">
        <v>388</v>
      </c>
      <c r="E6757" s="1" t="s">
        <v>29</v>
      </c>
      <c r="F6757" s="2" t="s">
        <v>2427</v>
      </c>
      <c r="G6757" s="1">
        <v>47.4</v>
      </c>
      <c r="H6757" s="1">
        <v>5</v>
      </c>
      <c r="I6757" s="1">
        <v>18.96</v>
      </c>
    </row>
    <row r="6758" spans="1:9" x14ac:dyDescent="0.35">
      <c r="A6758" s="3" t="s">
        <v>3687</v>
      </c>
      <c r="B6758" s="1" t="s">
        <v>3019</v>
      </c>
      <c r="C6758" s="1" t="s">
        <v>536</v>
      </c>
      <c r="D6758" s="1" t="s">
        <v>388</v>
      </c>
      <c r="E6758" s="1" t="s">
        <v>14</v>
      </c>
      <c r="F6758" s="2" t="s">
        <v>2640</v>
      </c>
      <c r="G6758" s="1">
        <v>512.96</v>
      </c>
      <c r="H6758" s="1">
        <v>4</v>
      </c>
      <c r="I6758" s="1">
        <v>143.62880000000001</v>
      </c>
    </row>
    <row r="6759" spans="1:9" x14ac:dyDescent="0.35">
      <c r="A6759" s="3" t="s">
        <v>3687</v>
      </c>
      <c r="B6759" s="1" t="s">
        <v>3019</v>
      </c>
      <c r="C6759" s="1" t="s">
        <v>536</v>
      </c>
      <c r="D6759" s="1" t="s">
        <v>388</v>
      </c>
      <c r="E6759" s="1" t="s">
        <v>33</v>
      </c>
      <c r="F6759" s="2" t="s">
        <v>1368</v>
      </c>
      <c r="G6759" s="1">
        <v>395.94</v>
      </c>
      <c r="H6759" s="1">
        <v>6</v>
      </c>
      <c r="I6759" s="1">
        <v>102.9444</v>
      </c>
    </row>
    <row r="6760" spans="1:9" x14ac:dyDescent="0.35">
      <c r="A6760" s="3" t="s">
        <v>3687</v>
      </c>
      <c r="B6760" s="1" t="s">
        <v>3019</v>
      </c>
      <c r="C6760" s="1" t="s">
        <v>536</v>
      </c>
      <c r="D6760" s="1" t="s">
        <v>388</v>
      </c>
      <c r="E6760" s="1" t="s">
        <v>26</v>
      </c>
      <c r="F6760" s="2" t="s">
        <v>669</v>
      </c>
      <c r="G6760" s="1">
        <v>81.96</v>
      </c>
      <c r="H6760" s="1">
        <v>2</v>
      </c>
      <c r="I6760" s="1">
        <v>0</v>
      </c>
    </row>
    <row r="6761" spans="1:9" x14ac:dyDescent="0.35">
      <c r="A6761" s="3">
        <v>42778</v>
      </c>
      <c r="B6761" s="1" t="s">
        <v>2927</v>
      </c>
      <c r="C6761" s="1" t="s">
        <v>1874</v>
      </c>
      <c r="D6761" s="1" t="s">
        <v>43</v>
      </c>
      <c r="E6761" s="1" t="s">
        <v>31</v>
      </c>
      <c r="F6761" s="2" t="s">
        <v>1503</v>
      </c>
      <c r="G6761" s="1">
        <v>32.776000000000003</v>
      </c>
      <c r="H6761" s="1">
        <v>1</v>
      </c>
      <c r="I6761" s="1">
        <v>2.4582000000000002</v>
      </c>
    </row>
    <row r="6762" spans="1:9" x14ac:dyDescent="0.35">
      <c r="A6762" s="3" t="s">
        <v>3420</v>
      </c>
      <c r="B6762" s="1" t="s">
        <v>639</v>
      </c>
      <c r="C6762" s="1" t="s">
        <v>135</v>
      </c>
      <c r="D6762" s="1" t="s">
        <v>136</v>
      </c>
      <c r="E6762" s="1" t="s">
        <v>26</v>
      </c>
      <c r="F6762" s="2" t="s">
        <v>174</v>
      </c>
      <c r="G6762" s="1">
        <v>272.94</v>
      </c>
      <c r="H6762" s="1">
        <v>3</v>
      </c>
      <c r="I6762" s="1">
        <v>0</v>
      </c>
    </row>
    <row r="6763" spans="1:9" x14ac:dyDescent="0.35">
      <c r="A6763" s="3" t="s">
        <v>3745</v>
      </c>
      <c r="B6763" s="1" t="s">
        <v>2598</v>
      </c>
      <c r="C6763" s="1" t="s">
        <v>135</v>
      </c>
      <c r="D6763" s="1" t="s">
        <v>136</v>
      </c>
      <c r="E6763" s="1" t="s">
        <v>14</v>
      </c>
      <c r="F6763" s="2" t="s">
        <v>1513</v>
      </c>
      <c r="G6763" s="1">
        <v>253.76400000000001</v>
      </c>
      <c r="H6763" s="1">
        <v>2</v>
      </c>
      <c r="I6763" s="1">
        <v>31.015599999999999</v>
      </c>
    </row>
    <row r="6764" spans="1:9" x14ac:dyDescent="0.35">
      <c r="A6764" s="3">
        <v>42409</v>
      </c>
      <c r="B6764" s="1" t="s">
        <v>845</v>
      </c>
      <c r="C6764" s="1" t="s">
        <v>154</v>
      </c>
      <c r="D6764" s="1" t="s">
        <v>106</v>
      </c>
      <c r="E6764" s="1" t="s">
        <v>19</v>
      </c>
      <c r="F6764" s="2" t="s">
        <v>20</v>
      </c>
      <c r="G6764" s="1">
        <v>29.24</v>
      </c>
      <c r="H6764" s="1">
        <v>5</v>
      </c>
      <c r="I6764" s="1">
        <v>9.8684999999999992</v>
      </c>
    </row>
    <row r="6765" spans="1:9" x14ac:dyDescent="0.35">
      <c r="A6765" s="3">
        <v>42409</v>
      </c>
      <c r="B6765" s="1" t="s">
        <v>845</v>
      </c>
      <c r="C6765" s="1" t="s">
        <v>154</v>
      </c>
      <c r="D6765" s="1" t="s">
        <v>106</v>
      </c>
      <c r="E6765" s="1" t="s">
        <v>26</v>
      </c>
      <c r="F6765" s="2" t="s">
        <v>432</v>
      </c>
      <c r="G6765" s="1">
        <v>35.167999999999999</v>
      </c>
      <c r="H6765" s="1">
        <v>2</v>
      </c>
      <c r="I6765" s="1">
        <v>-8.3523999999999994</v>
      </c>
    </row>
    <row r="6766" spans="1:9" x14ac:dyDescent="0.35">
      <c r="A6766" s="3">
        <v>42409</v>
      </c>
      <c r="B6766" s="1" t="s">
        <v>845</v>
      </c>
      <c r="C6766" s="1" t="s">
        <v>154</v>
      </c>
      <c r="D6766" s="1" t="s">
        <v>106</v>
      </c>
      <c r="E6766" s="1" t="s">
        <v>338</v>
      </c>
      <c r="F6766" s="2" t="s">
        <v>3020</v>
      </c>
      <c r="G6766" s="1">
        <v>1362.9</v>
      </c>
      <c r="H6766" s="1">
        <v>3</v>
      </c>
      <c r="I6766" s="1">
        <v>-19.47</v>
      </c>
    </row>
    <row r="6767" spans="1:9" x14ac:dyDescent="0.35">
      <c r="A6767" s="3" t="s">
        <v>3699</v>
      </c>
      <c r="B6767" s="1" t="s">
        <v>2517</v>
      </c>
      <c r="C6767" s="1" t="s">
        <v>154</v>
      </c>
      <c r="D6767" s="1" t="s">
        <v>106</v>
      </c>
      <c r="E6767" s="1" t="s">
        <v>14</v>
      </c>
      <c r="F6767" s="2" t="s">
        <v>556</v>
      </c>
      <c r="G6767" s="1">
        <v>317.05799999999999</v>
      </c>
      <c r="H6767" s="1">
        <v>3</v>
      </c>
      <c r="I6767" s="1">
        <v>-18.117599999999999</v>
      </c>
    </row>
    <row r="6768" spans="1:9" x14ac:dyDescent="0.35">
      <c r="A6768" s="3" t="s">
        <v>3699</v>
      </c>
      <c r="B6768" s="1" t="s">
        <v>2517</v>
      </c>
      <c r="C6768" s="1" t="s">
        <v>154</v>
      </c>
      <c r="D6768" s="1" t="s">
        <v>106</v>
      </c>
      <c r="E6768" s="1" t="s">
        <v>31</v>
      </c>
      <c r="F6768" s="2" t="s">
        <v>91</v>
      </c>
      <c r="G6768" s="1">
        <v>15.76</v>
      </c>
      <c r="H6768" s="1">
        <v>2</v>
      </c>
      <c r="I6768" s="1">
        <v>3.5459999999999998</v>
      </c>
    </row>
    <row r="6769" spans="1:9" x14ac:dyDescent="0.35">
      <c r="A6769" s="3" t="s">
        <v>3699</v>
      </c>
      <c r="B6769" s="1" t="s">
        <v>2517</v>
      </c>
      <c r="C6769" s="1" t="s">
        <v>154</v>
      </c>
      <c r="D6769" s="1" t="s">
        <v>106</v>
      </c>
      <c r="E6769" s="1" t="s">
        <v>29</v>
      </c>
      <c r="F6769" s="2" t="s">
        <v>1727</v>
      </c>
      <c r="G6769" s="1">
        <v>14.56</v>
      </c>
      <c r="H6769" s="1">
        <v>5</v>
      </c>
      <c r="I6769" s="1">
        <v>-6.1879999999999997</v>
      </c>
    </row>
    <row r="6770" spans="1:9" x14ac:dyDescent="0.35">
      <c r="A6770" s="3">
        <v>41981</v>
      </c>
      <c r="B6770" s="1" t="s">
        <v>2682</v>
      </c>
      <c r="C6770" s="1" t="s">
        <v>536</v>
      </c>
      <c r="D6770" s="1" t="s">
        <v>388</v>
      </c>
      <c r="E6770" s="1" t="s">
        <v>35</v>
      </c>
      <c r="F6770" s="2" t="s">
        <v>1530</v>
      </c>
      <c r="G6770" s="1">
        <v>196.21</v>
      </c>
      <c r="H6770" s="1">
        <v>7</v>
      </c>
      <c r="I6770" s="1">
        <v>98.105000000000004</v>
      </c>
    </row>
    <row r="6771" spans="1:9" x14ac:dyDescent="0.35">
      <c r="A6771" s="3" t="s">
        <v>3154</v>
      </c>
      <c r="B6771" s="1" t="s">
        <v>2362</v>
      </c>
      <c r="C6771" s="1" t="s">
        <v>249</v>
      </c>
      <c r="D6771" s="1" t="s">
        <v>604</v>
      </c>
      <c r="E6771" s="1" t="s">
        <v>31</v>
      </c>
      <c r="F6771" s="2" t="s">
        <v>2763</v>
      </c>
      <c r="G6771" s="1">
        <v>35.4</v>
      </c>
      <c r="H6771" s="1">
        <v>5</v>
      </c>
      <c r="I6771" s="1">
        <v>13.452</v>
      </c>
    </row>
    <row r="6772" spans="1:9" x14ac:dyDescent="0.35">
      <c r="A6772" s="3">
        <v>42990</v>
      </c>
      <c r="B6772" s="1" t="s">
        <v>2596</v>
      </c>
      <c r="C6772" s="1" t="s">
        <v>272</v>
      </c>
      <c r="D6772" s="1" t="s">
        <v>158</v>
      </c>
      <c r="E6772" s="1" t="s">
        <v>44</v>
      </c>
      <c r="F6772" s="2" t="s">
        <v>1810</v>
      </c>
      <c r="G6772" s="1">
        <v>419.4</v>
      </c>
      <c r="H6772" s="1">
        <v>5</v>
      </c>
      <c r="I6772" s="1">
        <v>146.79</v>
      </c>
    </row>
    <row r="6773" spans="1:9" x14ac:dyDescent="0.35">
      <c r="A6773" s="3">
        <v>42990</v>
      </c>
      <c r="B6773" s="1" t="s">
        <v>2596</v>
      </c>
      <c r="C6773" s="1" t="s">
        <v>272</v>
      </c>
      <c r="D6773" s="1" t="s">
        <v>158</v>
      </c>
      <c r="E6773" s="1" t="s">
        <v>35</v>
      </c>
      <c r="F6773" s="2" t="s">
        <v>2996</v>
      </c>
      <c r="G6773" s="1">
        <v>13.005000000000001</v>
      </c>
      <c r="H6773" s="1">
        <v>3</v>
      </c>
      <c r="I6773" s="1">
        <v>-9.9704999999999995</v>
      </c>
    </row>
    <row r="6774" spans="1:9" x14ac:dyDescent="0.35">
      <c r="A6774" s="3">
        <v>42471</v>
      </c>
      <c r="B6774" s="1" t="s">
        <v>784</v>
      </c>
      <c r="C6774" s="1" t="s">
        <v>17</v>
      </c>
      <c r="D6774" s="1" t="s">
        <v>18</v>
      </c>
      <c r="E6774" s="1" t="s">
        <v>35</v>
      </c>
      <c r="F6774" s="2" t="s">
        <v>583</v>
      </c>
      <c r="G6774" s="1">
        <v>7.7119999999999997</v>
      </c>
      <c r="H6774" s="1">
        <v>2</v>
      </c>
      <c r="I6774" s="1">
        <v>2.7955999999999999</v>
      </c>
    </row>
    <row r="6775" spans="1:9" x14ac:dyDescent="0.35">
      <c r="A6775" s="3">
        <v>42471</v>
      </c>
      <c r="B6775" s="1" t="s">
        <v>784</v>
      </c>
      <c r="C6775" s="1" t="s">
        <v>17</v>
      </c>
      <c r="D6775" s="1" t="s">
        <v>18</v>
      </c>
      <c r="E6775" s="1" t="s">
        <v>35</v>
      </c>
      <c r="F6775" s="2" t="s">
        <v>2634</v>
      </c>
      <c r="G6775" s="1">
        <v>4.1760000000000002</v>
      </c>
      <c r="H6775" s="1">
        <v>1</v>
      </c>
      <c r="I6775" s="1">
        <v>1.3049999999999999</v>
      </c>
    </row>
    <row r="6776" spans="1:9" x14ac:dyDescent="0.35">
      <c r="A6776" s="3">
        <v>42471</v>
      </c>
      <c r="B6776" s="1" t="s">
        <v>784</v>
      </c>
      <c r="C6776" s="1" t="s">
        <v>17</v>
      </c>
      <c r="D6776" s="1" t="s">
        <v>18</v>
      </c>
      <c r="E6776" s="1" t="s">
        <v>44</v>
      </c>
      <c r="F6776" s="2" t="s">
        <v>3021</v>
      </c>
      <c r="G6776" s="1">
        <v>38.880000000000003</v>
      </c>
      <c r="H6776" s="1">
        <v>6</v>
      </c>
      <c r="I6776" s="1">
        <v>18.662400000000002</v>
      </c>
    </row>
    <row r="6777" spans="1:9" x14ac:dyDescent="0.35">
      <c r="A6777" s="3" t="s">
        <v>3506</v>
      </c>
      <c r="B6777" s="1" t="s">
        <v>1587</v>
      </c>
      <c r="C6777" s="1" t="s">
        <v>135</v>
      </c>
      <c r="D6777" s="1" t="s">
        <v>136</v>
      </c>
      <c r="E6777" s="1" t="s">
        <v>44</v>
      </c>
      <c r="F6777" s="2" t="s">
        <v>495</v>
      </c>
      <c r="G6777" s="1">
        <v>17.64</v>
      </c>
      <c r="H6777" s="1">
        <v>4</v>
      </c>
      <c r="I6777" s="1">
        <v>8.1143999999999998</v>
      </c>
    </row>
    <row r="6778" spans="1:9" x14ac:dyDescent="0.35">
      <c r="A6778" s="3">
        <v>42499</v>
      </c>
      <c r="B6778" s="1" t="s">
        <v>2494</v>
      </c>
      <c r="C6778" s="1" t="s">
        <v>336</v>
      </c>
      <c r="D6778" s="1" t="s">
        <v>52</v>
      </c>
      <c r="E6778" s="1" t="s">
        <v>26</v>
      </c>
      <c r="F6778" s="2" t="s">
        <v>109</v>
      </c>
      <c r="G6778" s="1">
        <v>93.456000000000003</v>
      </c>
      <c r="H6778" s="1">
        <v>3</v>
      </c>
      <c r="I6778" s="1">
        <v>-17.523</v>
      </c>
    </row>
    <row r="6779" spans="1:9" x14ac:dyDescent="0.35">
      <c r="A6779" s="3" t="s">
        <v>3590</v>
      </c>
      <c r="B6779" s="1" t="s">
        <v>2319</v>
      </c>
      <c r="C6779" s="1" t="s">
        <v>135</v>
      </c>
      <c r="D6779" s="1" t="s">
        <v>136</v>
      </c>
      <c r="E6779" s="1" t="s">
        <v>81</v>
      </c>
      <c r="F6779" s="2" t="s">
        <v>2033</v>
      </c>
      <c r="G6779" s="1">
        <v>449.91</v>
      </c>
      <c r="H6779" s="1">
        <v>9</v>
      </c>
      <c r="I6779" s="1">
        <v>157.46850000000001</v>
      </c>
    </row>
    <row r="6780" spans="1:9" x14ac:dyDescent="0.35">
      <c r="A6780" s="3">
        <v>42438</v>
      </c>
      <c r="B6780" s="1" t="s">
        <v>1839</v>
      </c>
      <c r="C6780" s="1" t="s">
        <v>1875</v>
      </c>
      <c r="D6780" s="1" t="s">
        <v>1217</v>
      </c>
      <c r="E6780" s="1" t="s">
        <v>12</v>
      </c>
      <c r="F6780" s="2" t="s">
        <v>1869</v>
      </c>
      <c r="G6780" s="1">
        <v>344.94</v>
      </c>
      <c r="H6780" s="1">
        <v>3</v>
      </c>
      <c r="I6780" s="1">
        <v>31.044599999999999</v>
      </c>
    </row>
    <row r="6781" spans="1:9" x14ac:dyDescent="0.35">
      <c r="A6781" s="3">
        <v>42438</v>
      </c>
      <c r="B6781" s="1" t="s">
        <v>1839</v>
      </c>
      <c r="C6781" s="1" t="s">
        <v>1875</v>
      </c>
      <c r="D6781" s="1" t="s">
        <v>1217</v>
      </c>
      <c r="E6781" s="1" t="s">
        <v>29</v>
      </c>
      <c r="F6781" s="2" t="s">
        <v>2074</v>
      </c>
      <c r="G6781" s="1">
        <v>14.76</v>
      </c>
      <c r="H6781" s="1">
        <v>2</v>
      </c>
      <c r="I6781" s="1">
        <v>4.2804000000000002</v>
      </c>
    </row>
    <row r="6782" spans="1:9" x14ac:dyDescent="0.35">
      <c r="A6782" s="3">
        <v>42438</v>
      </c>
      <c r="B6782" s="1" t="s">
        <v>1839</v>
      </c>
      <c r="C6782" s="1" t="s">
        <v>1875</v>
      </c>
      <c r="D6782" s="1" t="s">
        <v>1217</v>
      </c>
      <c r="E6782" s="1" t="s">
        <v>35</v>
      </c>
      <c r="F6782" s="2" t="s">
        <v>1435</v>
      </c>
      <c r="G6782" s="1">
        <v>12.76</v>
      </c>
      <c r="H6782" s="1">
        <v>2</v>
      </c>
      <c r="I6782" s="1">
        <v>5.8696000000000002</v>
      </c>
    </row>
    <row r="6783" spans="1:9" x14ac:dyDescent="0.35">
      <c r="A6783" s="3">
        <v>42438</v>
      </c>
      <c r="B6783" s="1" t="s">
        <v>1839</v>
      </c>
      <c r="C6783" s="1" t="s">
        <v>1875</v>
      </c>
      <c r="D6783" s="1" t="s">
        <v>1217</v>
      </c>
      <c r="E6783" s="1" t="s">
        <v>19</v>
      </c>
      <c r="F6783" s="2" t="s">
        <v>1177</v>
      </c>
      <c r="G6783" s="1">
        <v>58.48</v>
      </c>
      <c r="H6783" s="1">
        <v>8</v>
      </c>
      <c r="I6783" s="1">
        <v>27.485600000000002</v>
      </c>
    </row>
    <row r="6784" spans="1:9" x14ac:dyDescent="0.35">
      <c r="A6784" s="3" t="s">
        <v>3277</v>
      </c>
      <c r="B6784" s="1" t="s">
        <v>1946</v>
      </c>
      <c r="C6784" s="1" t="s">
        <v>74</v>
      </c>
      <c r="D6784" s="1" t="s">
        <v>75</v>
      </c>
      <c r="E6784" s="1" t="s">
        <v>29</v>
      </c>
      <c r="F6784" s="2" t="s">
        <v>967</v>
      </c>
      <c r="G6784" s="1">
        <v>20.096</v>
      </c>
      <c r="H6784" s="1">
        <v>4</v>
      </c>
      <c r="I6784" s="1">
        <v>3.0144000000000002</v>
      </c>
    </row>
    <row r="6785" spans="1:9" x14ac:dyDescent="0.35">
      <c r="A6785" s="3" t="s">
        <v>3277</v>
      </c>
      <c r="B6785" s="1" t="s">
        <v>1946</v>
      </c>
      <c r="C6785" s="1" t="s">
        <v>74</v>
      </c>
      <c r="D6785" s="1" t="s">
        <v>75</v>
      </c>
      <c r="E6785" s="1" t="s">
        <v>289</v>
      </c>
      <c r="F6785" s="2" t="s">
        <v>3022</v>
      </c>
      <c r="G6785" s="1">
        <v>37.752000000000002</v>
      </c>
      <c r="H6785" s="1">
        <v>3</v>
      </c>
      <c r="I6785" s="1">
        <v>4.2470999999999997</v>
      </c>
    </row>
    <row r="6786" spans="1:9" x14ac:dyDescent="0.35">
      <c r="A6786" s="3" t="s">
        <v>3277</v>
      </c>
      <c r="B6786" s="1" t="s">
        <v>1946</v>
      </c>
      <c r="C6786" s="1" t="s">
        <v>74</v>
      </c>
      <c r="D6786" s="1" t="s">
        <v>75</v>
      </c>
      <c r="E6786" s="1" t="s">
        <v>24</v>
      </c>
      <c r="F6786" s="2" t="s">
        <v>2908</v>
      </c>
      <c r="G6786" s="1">
        <v>138.58799999999999</v>
      </c>
      <c r="H6786" s="1">
        <v>1</v>
      </c>
      <c r="I6786" s="1">
        <v>-34.646999999999998</v>
      </c>
    </row>
    <row r="6787" spans="1:9" x14ac:dyDescent="0.35">
      <c r="A6787" s="3" t="s">
        <v>3277</v>
      </c>
      <c r="B6787" s="1" t="s">
        <v>1946</v>
      </c>
      <c r="C6787" s="1" t="s">
        <v>74</v>
      </c>
      <c r="D6787" s="1" t="s">
        <v>75</v>
      </c>
      <c r="E6787" s="1" t="s">
        <v>26</v>
      </c>
      <c r="F6787" s="2" t="s">
        <v>726</v>
      </c>
      <c r="G6787" s="1">
        <v>259.92</v>
      </c>
      <c r="H6787" s="1">
        <v>5</v>
      </c>
      <c r="I6787" s="1">
        <v>-25.992000000000001</v>
      </c>
    </row>
    <row r="6788" spans="1:9" x14ac:dyDescent="0.35">
      <c r="A6788" s="3" t="s">
        <v>3277</v>
      </c>
      <c r="B6788" s="1" t="s">
        <v>1946</v>
      </c>
      <c r="C6788" s="1" t="s">
        <v>74</v>
      </c>
      <c r="D6788" s="1" t="s">
        <v>75</v>
      </c>
      <c r="E6788" s="1" t="s">
        <v>44</v>
      </c>
      <c r="F6788" s="2" t="s">
        <v>507</v>
      </c>
      <c r="G6788" s="1">
        <v>20.736000000000001</v>
      </c>
      <c r="H6788" s="1">
        <v>4</v>
      </c>
      <c r="I6788" s="1">
        <v>7.2576000000000001</v>
      </c>
    </row>
    <row r="6789" spans="1:9" x14ac:dyDescent="0.35">
      <c r="A6789" s="3" t="s">
        <v>3620</v>
      </c>
      <c r="B6789" s="1" t="s">
        <v>419</v>
      </c>
      <c r="C6789" s="1" t="s">
        <v>811</v>
      </c>
      <c r="D6789" s="1" t="s">
        <v>604</v>
      </c>
      <c r="E6789" s="1" t="s">
        <v>29</v>
      </c>
      <c r="F6789" s="2" t="s">
        <v>1342</v>
      </c>
      <c r="G6789" s="1">
        <v>129.93</v>
      </c>
      <c r="H6789" s="1">
        <v>3</v>
      </c>
      <c r="I6789" s="1">
        <v>12.993</v>
      </c>
    </row>
    <row r="6790" spans="1:9" x14ac:dyDescent="0.35">
      <c r="A6790" s="3" t="s">
        <v>3620</v>
      </c>
      <c r="B6790" s="1" t="s">
        <v>419</v>
      </c>
      <c r="C6790" s="1" t="s">
        <v>811</v>
      </c>
      <c r="D6790" s="1" t="s">
        <v>604</v>
      </c>
      <c r="E6790" s="1" t="s">
        <v>44</v>
      </c>
      <c r="F6790" s="2" t="s">
        <v>1660</v>
      </c>
      <c r="G6790" s="1">
        <v>69.930000000000007</v>
      </c>
      <c r="H6790" s="1">
        <v>7</v>
      </c>
      <c r="I6790" s="1">
        <v>31.468499999999999</v>
      </c>
    </row>
    <row r="6791" spans="1:9" x14ac:dyDescent="0.35">
      <c r="A6791" s="3">
        <v>42194</v>
      </c>
      <c r="B6791" s="1" t="s">
        <v>2035</v>
      </c>
      <c r="C6791" s="1" t="s">
        <v>189</v>
      </c>
      <c r="D6791" s="1" t="s">
        <v>43</v>
      </c>
      <c r="E6791" s="1" t="s">
        <v>31</v>
      </c>
      <c r="F6791" s="2" t="s">
        <v>737</v>
      </c>
      <c r="G6791" s="1">
        <v>140.73599999999999</v>
      </c>
      <c r="H6791" s="1">
        <v>4</v>
      </c>
      <c r="I6791" s="1">
        <v>12.314399999999999</v>
      </c>
    </row>
    <row r="6792" spans="1:9" x14ac:dyDescent="0.35">
      <c r="A6792" s="3" t="s">
        <v>3746</v>
      </c>
      <c r="B6792" s="1" t="s">
        <v>3023</v>
      </c>
      <c r="C6792" s="1" t="s">
        <v>283</v>
      </c>
      <c r="D6792" s="1" t="s">
        <v>18</v>
      </c>
      <c r="E6792" s="1" t="s">
        <v>35</v>
      </c>
      <c r="F6792" s="2" t="s">
        <v>502</v>
      </c>
      <c r="G6792" s="1">
        <v>8.32</v>
      </c>
      <c r="H6792" s="1">
        <v>5</v>
      </c>
      <c r="I6792" s="1">
        <v>2.8079999999999998</v>
      </c>
    </row>
    <row r="6793" spans="1:9" x14ac:dyDescent="0.35">
      <c r="A6793" s="3">
        <v>42654</v>
      </c>
      <c r="B6793" s="1" t="s">
        <v>1488</v>
      </c>
      <c r="C6793" s="1" t="s">
        <v>2185</v>
      </c>
      <c r="D6793" s="1" t="s">
        <v>18</v>
      </c>
      <c r="E6793" s="1" t="s">
        <v>29</v>
      </c>
      <c r="F6793" s="2" t="s">
        <v>2680</v>
      </c>
      <c r="G6793" s="1">
        <v>9.98</v>
      </c>
      <c r="H6793" s="1">
        <v>1</v>
      </c>
      <c r="I6793" s="1">
        <v>2.7944</v>
      </c>
    </row>
    <row r="6794" spans="1:9" x14ac:dyDescent="0.35">
      <c r="A6794" s="3" t="s">
        <v>3366</v>
      </c>
      <c r="B6794" s="1" t="s">
        <v>1415</v>
      </c>
      <c r="C6794" s="1" t="s">
        <v>367</v>
      </c>
      <c r="D6794" s="1" t="s">
        <v>368</v>
      </c>
      <c r="E6794" s="1" t="s">
        <v>35</v>
      </c>
      <c r="F6794" s="2" t="s">
        <v>962</v>
      </c>
      <c r="G6794" s="1">
        <v>62.94</v>
      </c>
      <c r="H6794" s="1">
        <v>3</v>
      </c>
      <c r="I6794" s="1">
        <v>30.211200000000002</v>
      </c>
    </row>
    <row r="6795" spans="1:9" x14ac:dyDescent="0.35">
      <c r="A6795" s="3" t="s">
        <v>3262</v>
      </c>
      <c r="B6795" s="1" t="s">
        <v>831</v>
      </c>
      <c r="C6795" s="1" t="s">
        <v>154</v>
      </c>
      <c r="D6795" s="1" t="s">
        <v>106</v>
      </c>
      <c r="E6795" s="1" t="s">
        <v>26</v>
      </c>
      <c r="F6795" s="2" t="s">
        <v>1731</v>
      </c>
      <c r="G6795" s="1">
        <v>21.488</v>
      </c>
      <c r="H6795" s="1">
        <v>2</v>
      </c>
      <c r="I6795" s="1">
        <v>1.6115999999999999</v>
      </c>
    </row>
    <row r="6796" spans="1:9" x14ac:dyDescent="0.35">
      <c r="A6796" s="3" t="s">
        <v>3262</v>
      </c>
      <c r="B6796" s="1" t="s">
        <v>831</v>
      </c>
      <c r="C6796" s="1" t="s">
        <v>154</v>
      </c>
      <c r="D6796" s="1" t="s">
        <v>106</v>
      </c>
      <c r="E6796" s="1" t="s">
        <v>33</v>
      </c>
      <c r="F6796" s="2" t="s">
        <v>2121</v>
      </c>
      <c r="G6796" s="1">
        <v>239.976</v>
      </c>
      <c r="H6796" s="1">
        <v>3</v>
      </c>
      <c r="I6796" s="1">
        <v>26.997299999999999</v>
      </c>
    </row>
    <row r="6797" spans="1:9" x14ac:dyDescent="0.35">
      <c r="A6797" s="3" t="s">
        <v>3262</v>
      </c>
      <c r="B6797" s="1" t="s">
        <v>831</v>
      </c>
      <c r="C6797" s="1" t="s">
        <v>154</v>
      </c>
      <c r="D6797" s="1" t="s">
        <v>106</v>
      </c>
      <c r="E6797" s="1" t="s">
        <v>29</v>
      </c>
      <c r="F6797" s="2" t="s">
        <v>2691</v>
      </c>
      <c r="G6797" s="1">
        <v>34.503999999999998</v>
      </c>
      <c r="H6797" s="1">
        <v>2</v>
      </c>
      <c r="I6797" s="1">
        <v>-15.5268</v>
      </c>
    </row>
    <row r="6798" spans="1:9" x14ac:dyDescent="0.35">
      <c r="A6798" s="3" t="s">
        <v>3226</v>
      </c>
      <c r="B6798" s="1" t="s">
        <v>1765</v>
      </c>
      <c r="C6798" s="1" t="s">
        <v>93</v>
      </c>
      <c r="D6798" s="1" t="s">
        <v>52</v>
      </c>
      <c r="E6798" s="1" t="s">
        <v>29</v>
      </c>
      <c r="F6798" s="2" t="s">
        <v>2102</v>
      </c>
      <c r="G6798" s="1">
        <v>20.103999999999999</v>
      </c>
      <c r="H6798" s="1">
        <v>2</v>
      </c>
      <c r="I6798" s="1">
        <v>-16.585799999999999</v>
      </c>
    </row>
    <row r="6799" spans="1:9" x14ac:dyDescent="0.35">
      <c r="A6799" s="3" t="s">
        <v>3226</v>
      </c>
      <c r="B6799" s="1" t="s">
        <v>1765</v>
      </c>
      <c r="C6799" s="1" t="s">
        <v>93</v>
      </c>
      <c r="D6799" s="1" t="s">
        <v>52</v>
      </c>
      <c r="E6799" s="1" t="s">
        <v>35</v>
      </c>
      <c r="F6799" s="2" t="s">
        <v>752</v>
      </c>
      <c r="G6799" s="1">
        <v>3.798</v>
      </c>
      <c r="H6799" s="1">
        <v>1</v>
      </c>
      <c r="I6799" s="1">
        <v>-6.0768000000000004</v>
      </c>
    </row>
    <row r="6800" spans="1:9" x14ac:dyDescent="0.35">
      <c r="A6800" s="3" t="s">
        <v>3226</v>
      </c>
      <c r="B6800" s="1" t="s">
        <v>1765</v>
      </c>
      <c r="C6800" s="1" t="s">
        <v>93</v>
      </c>
      <c r="D6800" s="1" t="s">
        <v>52</v>
      </c>
      <c r="E6800" s="1" t="s">
        <v>29</v>
      </c>
      <c r="F6800" s="2" t="s">
        <v>3024</v>
      </c>
      <c r="G6800" s="1">
        <v>7.88</v>
      </c>
      <c r="H6800" s="1">
        <v>5</v>
      </c>
      <c r="I6800" s="1">
        <v>-3.94</v>
      </c>
    </row>
    <row r="6801" spans="1:9" x14ac:dyDescent="0.35">
      <c r="A6801" s="3" t="s">
        <v>3636</v>
      </c>
      <c r="B6801" s="1" t="s">
        <v>1567</v>
      </c>
      <c r="C6801" s="1" t="s">
        <v>272</v>
      </c>
      <c r="D6801" s="1" t="s">
        <v>158</v>
      </c>
      <c r="E6801" s="1" t="s">
        <v>24</v>
      </c>
      <c r="F6801" s="2" t="s">
        <v>451</v>
      </c>
      <c r="G6801" s="1">
        <v>35.445</v>
      </c>
      <c r="H6801" s="1">
        <v>1</v>
      </c>
      <c r="I6801" s="1">
        <v>-24.102599999999999</v>
      </c>
    </row>
    <row r="6802" spans="1:9" x14ac:dyDescent="0.35">
      <c r="A6802" s="3" t="s">
        <v>3636</v>
      </c>
      <c r="B6802" s="1" t="s">
        <v>1567</v>
      </c>
      <c r="C6802" s="1" t="s">
        <v>272</v>
      </c>
      <c r="D6802" s="1" t="s">
        <v>158</v>
      </c>
      <c r="E6802" s="1" t="s">
        <v>338</v>
      </c>
      <c r="F6802" s="2" t="s">
        <v>2292</v>
      </c>
      <c r="G6802" s="1">
        <v>269.97000000000003</v>
      </c>
      <c r="H6802" s="1">
        <v>2</v>
      </c>
      <c r="I6802" s="1">
        <v>-386.95699999999999</v>
      </c>
    </row>
    <row r="6803" spans="1:9" x14ac:dyDescent="0.35">
      <c r="A6803" s="3" t="s">
        <v>3636</v>
      </c>
      <c r="B6803" s="1" t="s">
        <v>1567</v>
      </c>
      <c r="C6803" s="1" t="s">
        <v>272</v>
      </c>
      <c r="D6803" s="1" t="s">
        <v>158</v>
      </c>
      <c r="E6803" s="1" t="s">
        <v>81</v>
      </c>
      <c r="F6803" s="2" t="s">
        <v>1989</v>
      </c>
      <c r="G6803" s="1">
        <v>45.12</v>
      </c>
      <c r="H6803" s="1">
        <v>3</v>
      </c>
      <c r="I6803" s="1">
        <v>-7.8959999999999999</v>
      </c>
    </row>
    <row r="6804" spans="1:9" x14ac:dyDescent="0.35">
      <c r="A6804" s="3" t="s">
        <v>3636</v>
      </c>
      <c r="B6804" s="1" t="s">
        <v>1567</v>
      </c>
      <c r="C6804" s="1" t="s">
        <v>272</v>
      </c>
      <c r="D6804" s="1" t="s">
        <v>158</v>
      </c>
      <c r="E6804" s="1" t="s">
        <v>81</v>
      </c>
      <c r="F6804" s="2" t="s">
        <v>1254</v>
      </c>
      <c r="G6804" s="1">
        <v>100.8</v>
      </c>
      <c r="H6804" s="1">
        <v>2</v>
      </c>
      <c r="I6804" s="1">
        <v>21.42</v>
      </c>
    </row>
    <row r="6805" spans="1:9" x14ac:dyDescent="0.35">
      <c r="A6805" s="3" t="s">
        <v>3636</v>
      </c>
      <c r="B6805" s="1" t="s">
        <v>1567</v>
      </c>
      <c r="C6805" s="1" t="s">
        <v>272</v>
      </c>
      <c r="D6805" s="1" t="s">
        <v>158</v>
      </c>
      <c r="E6805" s="1" t="s">
        <v>14</v>
      </c>
      <c r="F6805" s="2" t="s">
        <v>1908</v>
      </c>
      <c r="G6805" s="1">
        <v>47.968000000000004</v>
      </c>
      <c r="H6805" s="1">
        <v>2</v>
      </c>
      <c r="I6805" s="1">
        <v>4.1971999999999996</v>
      </c>
    </row>
    <row r="6806" spans="1:9" x14ac:dyDescent="0.35">
      <c r="A6806" s="3">
        <v>41769</v>
      </c>
      <c r="B6806" s="1" t="s">
        <v>677</v>
      </c>
      <c r="C6806" s="1" t="s">
        <v>1717</v>
      </c>
      <c r="D6806" s="1" t="s">
        <v>18</v>
      </c>
      <c r="E6806" s="1" t="s">
        <v>81</v>
      </c>
      <c r="F6806" s="2" t="s">
        <v>2033</v>
      </c>
      <c r="G6806" s="1">
        <v>99.98</v>
      </c>
      <c r="H6806" s="1">
        <v>2</v>
      </c>
      <c r="I6806" s="1">
        <v>34.993000000000002</v>
      </c>
    </row>
    <row r="6807" spans="1:9" x14ac:dyDescent="0.35">
      <c r="A6807" s="3" t="s">
        <v>3204</v>
      </c>
      <c r="B6807" s="1" t="s">
        <v>1829</v>
      </c>
      <c r="C6807" s="1" t="s">
        <v>811</v>
      </c>
      <c r="D6807" s="1" t="s">
        <v>604</v>
      </c>
      <c r="E6807" s="1" t="s">
        <v>44</v>
      </c>
      <c r="F6807" s="2" t="s">
        <v>2290</v>
      </c>
      <c r="G6807" s="1">
        <v>9.9600000000000009</v>
      </c>
      <c r="H6807" s="1">
        <v>2</v>
      </c>
      <c r="I6807" s="1">
        <v>4.8803999999999998</v>
      </c>
    </row>
    <row r="6808" spans="1:9" x14ac:dyDescent="0.35">
      <c r="A6808" s="3" t="s">
        <v>3174</v>
      </c>
      <c r="B6808" s="1" t="s">
        <v>932</v>
      </c>
      <c r="C6808" s="1" t="s">
        <v>1739</v>
      </c>
      <c r="D6808" s="1" t="s">
        <v>48</v>
      </c>
      <c r="E6808" s="1" t="s">
        <v>35</v>
      </c>
      <c r="F6808" s="2" t="s">
        <v>583</v>
      </c>
      <c r="G6808" s="1">
        <v>3.8559999999999999</v>
      </c>
      <c r="H6808" s="1">
        <v>1</v>
      </c>
      <c r="I6808" s="1">
        <v>1.3977999999999999</v>
      </c>
    </row>
    <row r="6809" spans="1:9" x14ac:dyDescent="0.35">
      <c r="A6809" s="3" t="s">
        <v>3658</v>
      </c>
      <c r="B6809" s="1" t="s">
        <v>740</v>
      </c>
      <c r="C6809" s="1" t="s">
        <v>93</v>
      </c>
      <c r="D6809" s="1" t="s">
        <v>52</v>
      </c>
      <c r="E6809" s="1" t="s">
        <v>44</v>
      </c>
      <c r="F6809" s="2" t="s">
        <v>809</v>
      </c>
      <c r="G6809" s="1">
        <v>98.376000000000005</v>
      </c>
      <c r="H6809" s="1">
        <v>3</v>
      </c>
      <c r="I6809" s="1">
        <v>35.661299999999997</v>
      </c>
    </row>
    <row r="6810" spans="1:9" x14ac:dyDescent="0.35">
      <c r="A6810" s="3" t="s">
        <v>3658</v>
      </c>
      <c r="B6810" s="1" t="s">
        <v>740</v>
      </c>
      <c r="C6810" s="1" t="s">
        <v>93</v>
      </c>
      <c r="D6810" s="1" t="s">
        <v>52</v>
      </c>
      <c r="E6810" s="1" t="s">
        <v>29</v>
      </c>
      <c r="F6810" s="2" t="s">
        <v>2676</v>
      </c>
      <c r="G6810" s="1">
        <v>22.38</v>
      </c>
      <c r="H6810" s="1">
        <v>3</v>
      </c>
      <c r="I6810" s="1">
        <v>-7.8330000000000002</v>
      </c>
    </row>
    <row r="6811" spans="1:9" x14ac:dyDescent="0.35">
      <c r="A6811" s="3" t="s">
        <v>3162</v>
      </c>
      <c r="B6811" s="1" t="s">
        <v>1836</v>
      </c>
      <c r="C6811" s="1" t="s">
        <v>74</v>
      </c>
      <c r="D6811" s="1" t="s">
        <v>75</v>
      </c>
      <c r="E6811" s="1" t="s">
        <v>35</v>
      </c>
      <c r="F6811" s="2" t="s">
        <v>1103</v>
      </c>
      <c r="G6811" s="1">
        <v>3.8820000000000001</v>
      </c>
      <c r="H6811" s="1">
        <v>2</v>
      </c>
      <c r="I6811" s="1">
        <v>-2.5880000000000001</v>
      </c>
    </row>
    <row r="6812" spans="1:9" x14ac:dyDescent="0.35">
      <c r="A6812" s="3" t="s">
        <v>3162</v>
      </c>
      <c r="B6812" s="1" t="s">
        <v>1836</v>
      </c>
      <c r="C6812" s="1" t="s">
        <v>74</v>
      </c>
      <c r="D6812" s="1" t="s">
        <v>75</v>
      </c>
      <c r="E6812" s="1" t="s">
        <v>338</v>
      </c>
      <c r="F6812" s="2" t="s">
        <v>3014</v>
      </c>
      <c r="G6812" s="1">
        <v>12.585000000000001</v>
      </c>
      <c r="H6812" s="1">
        <v>1</v>
      </c>
      <c r="I6812" s="1">
        <v>-18.038499999999999</v>
      </c>
    </row>
    <row r="6813" spans="1:9" x14ac:dyDescent="0.35">
      <c r="A6813" s="3" t="s">
        <v>3162</v>
      </c>
      <c r="B6813" s="1" t="s">
        <v>1836</v>
      </c>
      <c r="C6813" s="1" t="s">
        <v>74</v>
      </c>
      <c r="D6813" s="1" t="s">
        <v>75</v>
      </c>
      <c r="E6813" s="1" t="s">
        <v>14</v>
      </c>
      <c r="F6813" s="2" t="s">
        <v>729</v>
      </c>
      <c r="G6813" s="1">
        <v>113.372</v>
      </c>
      <c r="H6813" s="1">
        <v>2</v>
      </c>
      <c r="I6813" s="1">
        <v>-29.152799999999999</v>
      </c>
    </row>
    <row r="6814" spans="1:9" x14ac:dyDescent="0.35">
      <c r="A6814" s="3" t="s">
        <v>3162</v>
      </c>
      <c r="B6814" s="1" t="s">
        <v>1836</v>
      </c>
      <c r="C6814" s="1" t="s">
        <v>74</v>
      </c>
      <c r="D6814" s="1" t="s">
        <v>75</v>
      </c>
      <c r="E6814" s="1" t="s">
        <v>35</v>
      </c>
      <c r="F6814" s="2" t="s">
        <v>1344</v>
      </c>
      <c r="G6814" s="1">
        <v>18.312000000000001</v>
      </c>
      <c r="H6814" s="1">
        <v>4</v>
      </c>
      <c r="I6814" s="1">
        <v>-12.208</v>
      </c>
    </row>
    <row r="6815" spans="1:9" x14ac:dyDescent="0.35">
      <c r="A6815" s="3" t="s">
        <v>3162</v>
      </c>
      <c r="B6815" s="1" t="s">
        <v>1836</v>
      </c>
      <c r="C6815" s="1" t="s">
        <v>74</v>
      </c>
      <c r="D6815" s="1" t="s">
        <v>75</v>
      </c>
      <c r="E6815" s="1" t="s">
        <v>29</v>
      </c>
      <c r="F6815" s="2" t="s">
        <v>3025</v>
      </c>
      <c r="G6815" s="1">
        <v>127.93600000000001</v>
      </c>
      <c r="H6815" s="1">
        <v>8</v>
      </c>
      <c r="I6815" s="1">
        <v>4.7976000000000001</v>
      </c>
    </row>
    <row r="6816" spans="1:9" x14ac:dyDescent="0.35">
      <c r="A6816" s="3" t="s">
        <v>3162</v>
      </c>
      <c r="B6816" s="1" t="s">
        <v>1836</v>
      </c>
      <c r="C6816" s="1" t="s">
        <v>74</v>
      </c>
      <c r="D6816" s="1" t="s">
        <v>75</v>
      </c>
      <c r="E6816" s="1" t="s">
        <v>338</v>
      </c>
      <c r="F6816" s="2" t="s">
        <v>644</v>
      </c>
      <c r="G6816" s="1">
        <v>241.17</v>
      </c>
      <c r="H6816" s="1">
        <v>2</v>
      </c>
      <c r="I6816" s="1">
        <v>-168.81899999999999</v>
      </c>
    </row>
    <row r="6817" spans="1:9" x14ac:dyDescent="0.35">
      <c r="A6817" s="3" t="s">
        <v>3714</v>
      </c>
      <c r="B6817" s="1" t="s">
        <v>1723</v>
      </c>
      <c r="C6817" s="1" t="s">
        <v>47</v>
      </c>
      <c r="D6817" s="1" t="s">
        <v>48</v>
      </c>
      <c r="E6817" s="1" t="s">
        <v>29</v>
      </c>
      <c r="F6817" s="2" t="s">
        <v>609</v>
      </c>
      <c r="G6817" s="1">
        <v>6.24</v>
      </c>
      <c r="H6817" s="1">
        <v>3</v>
      </c>
      <c r="I6817" s="1">
        <v>2.6208</v>
      </c>
    </row>
    <row r="6818" spans="1:9" x14ac:dyDescent="0.35">
      <c r="A6818" s="3" t="s">
        <v>3714</v>
      </c>
      <c r="B6818" s="1" t="s">
        <v>1723</v>
      </c>
      <c r="C6818" s="1" t="s">
        <v>47</v>
      </c>
      <c r="D6818" s="1" t="s">
        <v>48</v>
      </c>
      <c r="E6818" s="1" t="s">
        <v>137</v>
      </c>
      <c r="F6818" s="2" t="s">
        <v>560</v>
      </c>
      <c r="G6818" s="1">
        <v>17.899999999999999</v>
      </c>
      <c r="H6818" s="1">
        <v>5</v>
      </c>
      <c r="I6818" s="1">
        <v>8.9499999999999993</v>
      </c>
    </row>
    <row r="6819" spans="1:9" x14ac:dyDescent="0.35">
      <c r="A6819" s="3" t="s">
        <v>3714</v>
      </c>
      <c r="B6819" s="1" t="s">
        <v>1723</v>
      </c>
      <c r="C6819" s="1" t="s">
        <v>47</v>
      </c>
      <c r="D6819" s="1" t="s">
        <v>48</v>
      </c>
      <c r="E6819" s="1" t="s">
        <v>35</v>
      </c>
      <c r="F6819" s="2" t="s">
        <v>597</v>
      </c>
      <c r="G6819" s="1">
        <v>3266.3760000000002</v>
      </c>
      <c r="H6819" s="1">
        <v>3</v>
      </c>
      <c r="I6819" s="1">
        <v>1061.5722000000001</v>
      </c>
    </row>
    <row r="6820" spans="1:9" x14ac:dyDescent="0.35">
      <c r="A6820" s="3" t="s">
        <v>3530</v>
      </c>
      <c r="B6820" s="1" t="s">
        <v>2260</v>
      </c>
      <c r="C6820" s="1" t="s">
        <v>655</v>
      </c>
      <c r="D6820" s="1" t="s">
        <v>106</v>
      </c>
      <c r="E6820" s="1" t="s">
        <v>35</v>
      </c>
      <c r="F6820" s="2" t="s">
        <v>2215</v>
      </c>
      <c r="G6820" s="1">
        <v>1.68</v>
      </c>
      <c r="H6820" s="1">
        <v>5</v>
      </c>
      <c r="I6820" s="1">
        <v>-2.6880000000000002</v>
      </c>
    </row>
    <row r="6821" spans="1:9" x14ac:dyDescent="0.35">
      <c r="A6821" s="3" t="s">
        <v>3530</v>
      </c>
      <c r="B6821" s="1" t="s">
        <v>2260</v>
      </c>
      <c r="C6821" s="1" t="s">
        <v>655</v>
      </c>
      <c r="D6821" s="1" t="s">
        <v>106</v>
      </c>
      <c r="E6821" s="1" t="s">
        <v>29</v>
      </c>
      <c r="F6821" s="2" t="s">
        <v>2486</v>
      </c>
      <c r="G6821" s="1">
        <v>7.968</v>
      </c>
      <c r="H6821" s="1">
        <v>3</v>
      </c>
      <c r="I6821" s="1">
        <v>-2.3904000000000001</v>
      </c>
    </row>
    <row r="6822" spans="1:9" x14ac:dyDescent="0.35">
      <c r="A6822" s="3" t="s">
        <v>3530</v>
      </c>
      <c r="B6822" s="1" t="s">
        <v>2260</v>
      </c>
      <c r="C6822" s="1" t="s">
        <v>655</v>
      </c>
      <c r="D6822" s="1" t="s">
        <v>106</v>
      </c>
      <c r="E6822" s="1" t="s">
        <v>14</v>
      </c>
      <c r="F6822" s="2" t="s">
        <v>354</v>
      </c>
      <c r="G6822" s="1">
        <v>113.372</v>
      </c>
      <c r="H6822" s="1">
        <v>2</v>
      </c>
      <c r="I6822" s="1">
        <v>-3.2391999999999999</v>
      </c>
    </row>
    <row r="6823" spans="1:9" x14ac:dyDescent="0.35">
      <c r="A6823" s="3" t="s">
        <v>3530</v>
      </c>
      <c r="B6823" s="1" t="s">
        <v>2260</v>
      </c>
      <c r="C6823" s="1" t="s">
        <v>655</v>
      </c>
      <c r="D6823" s="1" t="s">
        <v>106</v>
      </c>
      <c r="E6823" s="1" t="s">
        <v>29</v>
      </c>
      <c r="F6823" s="2" t="s">
        <v>645</v>
      </c>
      <c r="G6823" s="1">
        <v>2.96</v>
      </c>
      <c r="H6823" s="1">
        <v>2</v>
      </c>
      <c r="I6823" s="1">
        <v>-1.4059999999999999</v>
      </c>
    </row>
    <row r="6824" spans="1:9" x14ac:dyDescent="0.35">
      <c r="A6824" s="3">
        <v>42777</v>
      </c>
      <c r="B6824" s="1" t="s">
        <v>1692</v>
      </c>
      <c r="C6824" s="1" t="s">
        <v>17</v>
      </c>
      <c r="D6824" s="1" t="s">
        <v>18</v>
      </c>
      <c r="E6824" s="1" t="s">
        <v>37</v>
      </c>
      <c r="F6824" s="2" t="s">
        <v>1265</v>
      </c>
      <c r="G6824" s="1">
        <v>168.1</v>
      </c>
      <c r="H6824" s="1">
        <v>5</v>
      </c>
      <c r="I6824" s="1">
        <v>43.706000000000003</v>
      </c>
    </row>
    <row r="6825" spans="1:9" x14ac:dyDescent="0.35">
      <c r="A6825" s="3" t="s">
        <v>3261</v>
      </c>
      <c r="B6825" s="1" t="s">
        <v>1632</v>
      </c>
      <c r="C6825" s="1" t="s">
        <v>846</v>
      </c>
      <c r="D6825" s="1" t="s">
        <v>182</v>
      </c>
      <c r="E6825" s="1" t="s">
        <v>87</v>
      </c>
      <c r="F6825" s="2" t="s">
        <v>840</v>
      </c>
      <c r="G6825" s="1">
        <v>98.46</v>
      </c>
      <c r="H6825" s="1">
        <v>9</v>
      </c>
      <c r="I6825" s="1">
        <v>49.23</v>
      </c>
    </row>
    <row r="6826" spans="1:9" x14ac:dyDescent="0.35">
      <c r="A6826" s="3" t="s">
        <v>3261</v>
      </c>
      <c r="B6826" s="1" t="s">
        <v>1632</v>
      </c>
      <c r="C6826" s="1" t="s">
        <v>846</v>
      </c>
      <c r="D6826" s="1" t="s">
        <v>182</v>
      </c>
      <c r="E6826" s="1" t="s">
        <v>24</v>
      </c>
      <c r="F6826" s="2" t="s">
        <v>680</v>
      </c>
      <c r="G6826" s="1">
        <v>358.58</v>
      </c>
      <c r="H6826" s="1">
        <v>2</v>
      </c>
      <c r="I6826" s="1">
        <v>39.443800000000003</v>
      </c>
    </row>
    <row r="6827" spans="1:9" x14ac:dyDescent="0.35">
      <c r="A6827" s="3">
        <v>42410</v>
      </c>
      <c r="B6827" s="1" t="s">
        <v>2037</v>
      </c>
      <c r="C6827" s="1" t="s">
        <v>1799</v>
      </c>
      <c r="D6827" s="1" t="s">
        <v>129</v>
      </c>
      <c r="E6827" s="1" t="s">
        <v>26</v>
      </c>
      <c r="F6827" s="2" t="s">
        <v>1246</v>
      </c>
      <c r="G6827" s="1">
        <v>32.479999999999997</v>
      </c>
      <c r="H6827" s="1">
        <v>2</v>
      </c>
      <c r="I6827" s="1">
        <v>4.8719999999999999</v>
      </c>
    </row>
    <row r="6828" spans="1:9" x14ac:dyDescent="0.35">
      <c r="A6828" s="3">
        <v>42410</v>
      </c>
      <c r="B6828" s="1" t="s">
        <v>2037</v>
      </c>
      <c r="C6828" s="1" t="s">
        <v>1799</v>
      </c>
      <c r="D6828" s="1" t="s">
        <v>129</v>
      </c>
      <c r="E6828" s="1" t="s">
        <v>579</v>
      </c>
      <c r="F6828" s="2" t="s">
        <v>2301</v>
      </c>
      <c r="G6828" s="1">
        <v>17499.95</v>
      </c>
      <c r="H6828" s="1">
        <v>5</v>
      </c>
      <c r="I6828" s="1">
        <v>8399.9760000000006</v>
      </c>
    </row>
    <row r="6829" spans="1:9" x14ac:dyDescent="0.35">
      <c r="A6829" s="3">
        <v>42410</v>
      </c>
      <c r="B6829" s="1" t="s">
        <v>2037</v>
      </c>
      <c r="C6829" s="1" t="s">
        <v>1799</v>
      </c>
      <c r="D6829" s="1" t="s">
        <v>129</v>
      </c>
      <c r="E6829" s="1" t="s">
        <v>35</v>
      </c>
      <c r="F6829" s="2" t="s">
        <v>2492</v>
      </c>
      <c r="G6829" s="1">
        <v>735.98</v>
      </c>
      <c r="H6829" s="1">
        <v>2</v>
      </c>
      <c r="I6829" s="1">
        <v>331.19099999999997</v>
      </c>
    </row>
    <row r="6830" spans="1:9" x14ac:dyDescent="0.35">
      <c r="A6830" s="3">
        <v>42410</v>
      </c>
      <c r="B6830" s="1" t="s">
        <v>2037</v>
      </c>
      <c r="C6830" s="1" t="s">
        <v>1799</v>
      </c>
      <c r="D6830" s="1" t="s">
        <v>129</v>
      </c>
      <c r="E6830" s="1" t="s">
        <v>35</v>
      </c>
      <c r="F6830" s="2" t="s">
        <v>1209</v>
      </c>
      <c r="G6830" s="1">
        <v>34.369999999999997</v>
      </c>
      <c r="H6830" s="1">
        <v>7</v>
      </c>
      <c r="I6830" s="1">
        <v>16.8413</v>
      </c>
    </row>
    <row r="6831" spans="1:9" x14ac:dyDescent="0.35">
      <c r="A6831" s="3">
        <v>42410</v>
      </c>
      <c r="B6831" s="1" t="s">
        <v>2037</v>
      </c>
      <c r="C6831" s="1" t="s">
        <v>1799</v>
      </c>
      <c r="D6831" s="1" t="s">
        <v>129</v>
      </c>
      <c r="E6831" s="1" t="s">
        <v>31</v>
      </c>
      <c r="F6831" s="2" t="s">
        <v>427</v>
      </c>
      <c r="G6831" s="1">
        <v>33.96</v>
      </c>
      <c r="H6831" s="1">
        <v>2</v>
      </c>
      <c r="I6831" s="1">
        <v>9.5088000000000008</v>
      </c>
    </row>
    <row r="6832" spans="1:9" x14ac:dyDescent="0.35">
      <c r="A6832" s="3" t="s">
        <v>3587</v>
      </c>
      <c r="B6832" s="1" t="s">
        <v>1662</v>
      </c>
      <c r="C6832" s="1" t="s">
        <v>135</v>
      </c>
      <c r="D6832" s="1" t="s">
        <v>136</v>
      </c>
      <c r="E6832" s="1" t="s">
        <v>33</v>
      </c>
      <c r="F6832" s="2" t="s">
        <v>1651</v>
      </c>
      <c r="G6832" s="1">
        <v>197.97</v>
      </c>
      <c r="H6832" s="1">
        <v>3</v>
      </c>
      <c r="I6832" s="1">
        <v>53.451900000000002</v>
      </c>
    </row>
    <row r="6833" spans="1:9" x14ac:dyDescent="0.35">
      <c r="A6833" s="3" t="s">
        <v>3528</v>
      </c>
      <c r="B6833" s="1" t="s">
        <v>2822</v>
      </c>
      <c r="C6833" s="1" t="s">
        <v>135</v>
      </c>
      <c r="D6833" s="1" t="s">
        <v>136</v>
      </c>
      <c r="E6833" s="1" t="s">
        <v>37</v>
      </c>
      <c r="F6833" s="2" t="s">
        <v>2153</v>
      </c>
      <c r="G6833" s="1">
        <v>17.48</v>
      </c>
      <c r="H6833" s="1">
        <v>4</v>
      </c>
      <c r="I6833" s="1">
        <v>4.5448000000000004</v>
      </c>
    </row>
    <row r="6834" spans="1:9" x14ac:dyDescent="0.35">
      <c r="A6834" s="3">
        <v>42287</v>
      </c>
      <c r="B6834" s="1" t="s">
        <v>1035</v>
      </c>
      <c r="C6834" s="1" t="s">
        <v>154</v>
      </c>
      <c r="D6834" s="1" t="s">
        <v>106</v>
      </c>
      <c r="E6834" s="1" t="s">
        <v>31</v>
      </c>
      <c r="F6834" s="2" t="s">
        <v>2338</v>
      </c>
      <c r="G6834" s="1">
        <v>8.016</v>
      </c>
      <c r="H6834" s="1">
        <v>3</v>
      </c>
      <c r="I6834" s="1">
        <v>1.002</v>
      </c>
    </row>
    <row r="6835" spans="1:9" x14ac:dyDescent="0.35">
      <c r="A6835" s="3">
        <v>42591</v>
      </c>
      <c r="B6835" s="1" t="s">
        <v>1143</v>
      </c>
      <c r="C6835" s="1" t="s">
        <v>1144</v>
      </c>
      <c r="D6835" s="1" t="s">
        <v>18</v>
      </c>
      <c r="E6835" s="1" t="s">
        <v>24</v>
      </c>
      <c r="F6835" s="2" t="s">
        <v>1618</v>
      </c>
      <c r="G6835" s="1">
        <v>146.04</v>
      </c>
      <c r="H6835" s="1">
        <v>1</v>
      </c>
      <c r="I6835" s="1">
        <v>-12.778499999999999</v>
      </c>
    </row>
    <row r="6836" spans="1:9" x14ac:dyDescent="0.35">
      <c r="A6836" s="3" t="s">
        <v>3355</v>
      </c>
      <c r="B6836" s="1" t="s">
        <v>2165</v>
      </c>
      <c r="C6836" s="1" t="s">
        <v>3026</v>
      </c>
      <c r="D6836" s="1" t="s">
        <v>18</v>
      </c>
      <c r="E6836" s="1" t="s">
        <v>81</v>
      </c>
      <c r="F6836" s="2" t="s">
        <v>2976</v>
      </c>
      <c r="G6836" s="1">
        <v>27.88</v>
      </c>
      <c r="H6836" s="1">
        <v>2</v>
      </c>
      <c r="I6836" s="1">
        <v>3.9032</v>
      </c>
    </row>
    <row r="6837" spans="1:9" x14ac:dyDescent="0.35">
      <c r="A6837" s="3" t="s">
        <v>3438</v>
      </c>
      <c r="B6837" s="1" t="s">
        <v>1414</v>
      </c>
      <c r="C6837" s="1" t="s">
        <v>2191</v>
      </c>
      <c r="D6837" s="1" t="s">
        <v>18</v>
      </c>
      <c r="E6837" s="1" t="s">
        <v>19</v>
      </c>
      <c r="F6837" s="2" t="s">
        <v>1026</v>
      </c>
      <c r="G6837" s="1">
        <v>152.65</v>
      </c>
      <c r="H6837" s="1">
        <v>5</v>
      </c>
      <c r="I6837" s="1">
        <v>70.218999999999994</v>
      </c>
    </row>
    <row r="6838" spans="1:9" x14ac:dyDescent="0.35">
      <c r="A6838" s="3" t="s">
        <v>3438</v>
      </c>
      <c r="B6838" s="1" t="s">
        <v>1414</v>
      </c>
      <c r="C6838" s="1" t="s">
        <v>2191</v>
      </c>
      <c r="D6838" s="1" t="s">
        <v>18</v>
      </c>
      <c r="E6838" s="1" t="s">
        <v>29</v>
      </c>
      <c r="F6838" s="2" t="s">
        <v>425</v>
      </c>
      <c r="G6838" s="1">
        <v>22.72</v>
      </c>
      <c r="H6838" s="1">
        <v>1</v>
      </c>
      <c r="I6838" s="1">
        <v>9.3152000000000008</v>
      </c>
    </row>
    <row r="6839" spans="1:9" x14ac:dyDescent="0.35">
      <c r="A6839" s="3">
        <v>42162</v>
      </c>
      <c r="B6839" s="1" t="s">
        <v>1921</v>
      </c>
      <c r="C6839" s="1" t="s">
        <v>1680</v>
      </c>
      <c r="D6839" s="1" t="s">
        <v>388</v>
      </c>
      <c r="E6839" s="1" t="s">
        <v>31</v>
      </c>
      <c r="F6839" s="2" t="s">
        <v>608</v>
      </c>
      <c r="G6839" s="1">
        <v>11.12</v>
      </c>
      <c r="H6839" s="1">
        <v>4</v>
      </c>
      <c r="I6839" s="1">
        <v>2.8912</v>
      </c>
    </row>
    <row r="6840" spans="1:9" x14ac:dyDescent="0.35">
      <c r="A6840" s="3">
        <v>42857</v>
      </c>
      <c r="B6840" s="1" t="s">
        <v>2590</v>
      </c>
      <c r="C6840" s="1" t="s">
        <v>1267</v>
      </c>
      <c r="D6840" s="1" t="s">
        <v>18</v>
      </c>
      <c r="E6840" s="1" t="s">
        <v>37</v>
      </c>
      <c r="F6840" s="2" t="s">
        <v>2902</v>
      </c>
      <c r="G6840" s="1">
        <v>1640.7</v>
      </c>
      <c r="H6840" s="1">
        <v>5</v>
      </c>
      <c r="I6840" s="1">
        <v>459.39600000000002</v>
      </c>
    </row>
    <row r="6841" spans="1:9" x14ac:dyDescent="0.35">
      <c r="A6841" s="3">
        <v>42857</v>
      </c>
      <c r="B6841" s="1" t="s">
        <v>2590</v>
      </c>
      <c r="C6841" s="1" t="s">
        <v>1267</v>
      </c>
      <c r="D6841" s="1" t="s">
        <v>18</v>
      </c>
      <c r="E6841" s="1" t="s">
        <v>33</v>
      </c>
      <c r="F6841" s="2" t="s">
        <v>1538</v>
      </c>
      <c r="G6841" s="1">
        <v>371.2</v>
      </c>
      <c r="H6841" s="1">
        <v>5</v>
      </c>
      <c r="I6841" s="1">
        <v>41.76</v>
      </c>
    </row>
    <row r="6842" spans="1:9" x14ac:dyDescent="0.35">
      <c r="A6842" s="3">
        <v>42167</v>
      </c>
      <c r="B6842" s="1" t="s">
        <v>1733</v>
      </c>
      <c r="C6842" s="1" t="s">
        <v>141</v>
      </c>
      <c r="D6842" s="1" t="s">
        <v>250</v>
      </c>
      <c r="E6842" s="1" t="s">
        <v>35</v>
      </c>
      <c r="F6842" s="2" t="s">
        <v>209</v>
      </c>
      <c r="G6842" s="1">
        <v>14.832000000000001</v>
      </c>
      <c r="H6842" s="1">
        <v>3</v>
      </c>
      <c r="I6842" s="1">
        <v>-10.382400000000001</v>
      </c>
    </row>
    <row r="6843" spans="1:9" x14ac:dyDescent="0.35">
      <c r="A6843" s="3">
        <v>42713</v>
      </c>
      <c r="B6843" s="1" t="s">
        <v>1098</v>
      </c>
      <c r="C6843" s="1" t="s">
        <v>162</v>
      </c>
      <c r="D6843" s="1" t="s">
        <v>163</v>
      </c>
      <c r="E6843" s="1" t="s">
        <v>81</v>
      </c>
      <c r="F6843" s="2" t="s">
        <v>2812</v>
      </c>
      <c r="G6843" s="1">
        <v>20.7</v>
      </c>
      <c r="H6843" s="1">
        <v>3</v>
      </c>
      <c r="I6843" s="1">
        <v>1.6559999999999999</v>
      </c>
    </row>
    <row r="6844" spans="1:9" x14ac:dyDescent="0.35">
      <c r="A6844" s="3">
        <v>42713</v>
      </c>
      <c r="B6844" s="1" t="s">
        <v>1098</v>
      </c>
      <c r="C6844" s="1" t="s">
        <v>162</v>
      </c>
      <c r="D6844" s="1" t="s">
        <v>163</v>
      </c>
      <c r="E6844" s="1" t="s">
        <v>137</v>
      </c>
      <c r="F6844" s="2" t="s">
        <v>281</v>
      </c>
      <c r="G6844" s="1">
        <v>11.34</v>
      </c>
      <c r="H6844" s="1">
        <v>3</v>
      </c>
      <c r="I6844" s="1">
        <v>5.2164000000000001</v>
      </c>
    </row>
    <row r="6845" spans="1:9" x14ac:dyDescent="0.35">
      <c r="A6845" s="3">
        <v>42713</v>
      </c>
      <c r="B6845" s="1" t="s">
        <v>1098</v>
      </c>
      <c r="C6845" s="1" t="s">
        <v>162</v>
      </c>
      <c r="D6845" s="1" t="s">
        <v>163</v>
      </c>
      <c r="E6845" s="1" t="s">
        <v>26</v>
      </c>
      <c r="F6845" s="2" t="s">
        <v>1736</v>
      </c>
      <c r="G6845" s="1">
        <v>67.900000000000006</v>
      </c>
      <c r="H6845" s="1">
        <v>5</v>
      </c>
      <c r="I6845" s="1">
        <v>0.67900000000000005</v>
      </c>
    </row>
    <row r="6846" spans="1:9" x14ac:dyDescent="0.35">
      <c r="A6846" s="3">
        <v>42713</v>
      </c>
      <c r="B6846" s="1" t="s">
        <v>1098</v>
      </c>
      <c r="C6846" s="1" t="s">
        <v>162</v>
      </c>
      <c r="D6846" s="1" t="s">
        <v>163</v>
      </c>
      <c r="E6846" s="1" t="s">
        <v>14</v>
      </c>
      <c r="F6846" s="2" t="s">
        <v>3027</v>
      </c>
      <c r="G6846" s="1">
        <v>1059.1199999999999</v>
      </c>
      <c r="H6846" s="1">
        <v>4</v>
      </c>
      <c r="I6846" s="1">
        <v>307.14479999999998</v>
      </c>
    </row>
    <row r="6847" spans="1:9" x14ac:dyDescent="0.35">
      <c r="A6847" s="3">
        <v>41797</v>
      </c>
      <c r="B6847" s="1" t="s">
        <v>2159</v>
      </c>
      <c r="C6847" s="1" t="s">
        <v>3028</v>
      </c>
      <c r="D6847" s="1" t="s">
        <v>18</v>
      </c>
      <c r="E6847" s="1" t="s">
        <v>14</v>
      </c>
      <c r="F6847" s="2" t="s">
        <v>1959</v>
      </c>
      <c r="G6847" s="1">
        <v>478.48</v>
      </c>
      <c r="H6847" s="1">
        <v>2</v>
      </c>
      <c r="I6847" s="1">
        <v>47.847999999999999</v>
      </c>
    </row>
    <row r="6848" spans="1:9" x14ac:dyDescent="0.35">
      <c r="A6848" s="3">
        <v>42618</v>
      </c>
      <c r="B6848" s="1" t="s">
        <v>2154</v>
      </c>
      <c r="C6848" s="1" t="s">
        <v>17</v>
      </c>
      <c r="D6848" s="1" t="s">
        <v>18</v>
      </c>
      <c r="E6848" s="1" t="s">
        <v>44</v>
      </c>
      <c r="F6848" s="2" t="s">
        <v>3003</v>
      </c>
      <c r="G6848" s="1">
        <v>32.04</v>
      </c>
      <c r="H6848" s="1">
        <v>4</v>
      </c>
      <c r="I6848" s="1">
        <v>14.417999999999999</v>
      </c>
    </row>
    <row r="6849" spans="1:9" x14ac:dyDescent="0.35">
      <c r="A6849" s="3" t="s">
        <v>3428</v>
      </c>
      <c r="B6849" s="1" t="s">
        <v>321</v>
      </c>
      <c r="C6849" s="1" t="s">
        <v>272</v>
      </c>
      <c r="D6849" s="1" t="s">
        <v>158</v>
      </c>
      <c r="E6849" s="1" t="s">
        <v>33</v>
      </c>
      <c r="F6849" s="2" t="s">
        <v>781</v>
      </c>
      <c r="G6849" s="1">
        <v>55.991999999999997</v>
      </c>
      <c r="H6849" s="1">
        <v>1</v>
      </c>
      <c r="I6849" s="1">
        <v>3.4994999999999998</v>
      </c>
    </row>
    <row r="6850" spans="1:9" x14ac:dyDescent="0.35">
      <c r="A6850" s="3" t="s">
        <v>3747</v>
      </c>
      <c r="B6850" s="1" t="s">
        <v>2116</v>
      </c>
      <c r="C6850" s="1" t="s">
        <v>2878</v>
      </c>
      <c r="D6850" s="1" t="s">
        <v>106</v>
      </c>
      <c r="E6850" s="1" t="s">
        <v>44</v>
      </c>
      <c r="F6850" s="2" t="s">
        <v>2803</v>
      </c>
      <c r="G6850" s="1">
        <v>76.864000000000004</v>
      </c>
      <c r="H6850" s="1">
        <v>2</v>
      </c>
      <c r="I6850" s="1">
        <v>26.9024</v>
      </c>
    </row>
    <row r="6851" spans="1:9" x14ac:dyDescent="0.35">
      <c r="A6851" s="3" t="s">
        <v>3606</v>
      </c>
      <c r="B6851" s="1" t="s">
        <v>1943</v>
      </c>
      <c r="C6851" s="1" t="s">
        <v>17</v>
      </c>
      <c r="D6851" s="1" t="s">
        <v>18</v>
      </c>
      <c r="E6851" s="1" t="s">
        <v>29</v>
      </c>
      <c r="F6851" s="2" t="s">
        <v>2395</v>
      </c>
      <c r="G6851" s="1">
        <v>59.92</v>
      </c>
      <c r="H6851" s="1">
        <v>4</v>
      </c>
      <c r="I6851" s="1">
        <v>27.563199999999998</v>
      </c>
    </row>
    <row r="6852" spans="1:9" x14ac:dyDescent="0.35">
      <c r="A6852" s="3">
        <v>42583</v>
      </c>
      <c r="B6852" s="1" t="s">
        <v>2561</v>
      </c>
      <c r="C6852" s="1" t="s">
        <v>306</v>
      </c>
      <c r="D6852" s="1" t="s">
        <v>57</v>
      </c>
      <c r="E6852" s="1" t="s">
        <v>12</v>
      </c>
      <c r="F6852" s="2" t="s">
        <v>101</v>
      </c>
      <c r="G6852" s="1">
        <v>1565.88</v>
      </c>
      <c r="H6852" s="1">
        <v>6</v>
      </c>
      <c r="I6852" s="1">
        <v>407.12880000000001</v>
      </c>
    </row>
    <row r="6853" spans="1:9" x14ac:dyDescent="0.35">
      <c r="A6853" s="3">
        <v>42583</v>
      </c>
      <c r="B6853" s="1" t="s">
        <v>2561</v>
      </c>
      <c r="C6853" s="1" t="s">
        <v>306</v>
      </c>
      <c r="D6853" s="1" t="s">
        <v>57</v>
      </c>
      <c r="E6853" s="1" t="s">
        <v>35</v>
      </c>
      <c r="F6853" s="2" t="s">
        <v>146</v>
      </c>
      <c r="G6853" s="1">
        <v>106.05</v>
      </c>
      <c r="H6853" s="1">
        <v>7</v>
      </c>
      <c r="I6853" s="1">
        <v>49.843499999999999</v>
      </c>
    </row>
    <row r="6854" spans="1:9" x14ac:dyDescent="0.35">
      <c r="A6854" s="3" t="s">
        <v>3414</v>
      </c>
      <c r="B6854" s="1" t="s">
        <v>2828</v>
      </c>
      <c r="C6854" s="1" t="s">
        <v>2100</v>
      </c>
      <c r="D6854" s="1" t="s">
        <v>797</v>
      </c>
      <c r="E6854" s="1" t="s">
        <v>26</v>
      </c>
      <c r="F6854" s="2" t="s">
        <v>374</v>
      </c>
      <c r="G6854" s="1">
        <v>62.04</v>
      </c>
      <c r="H6854" s="1">
        <v>4</v>
      </c>
      <c r="I6854" s="1">
        <v>17.371200000000002</v>
      </c>
    </row>
    <row r="6855" spans="1:9" x14ac:dyDescent="0.35">
      <c r="A6855" s="3" t="s">
        <v>3414</v>
      </c>
      <c r="B6855" s="1" t="s">
        <v>2828</v>
      </c>
      <c r="C6855" s="1" t="s">
        <v>2100</v>
      </c>
      <c r="D6855" s="1" t="s">
        <v>797</v>
      </c>
      <c r="E6855" s="1" t="s">
        <v>33</v>
      </c>
      <c r="F6855" s="2" t="s">
        <v>2329</v>
      </c>
      <c r="G6855" s="1">
        <v>494.97</v>
      </c>
      <c r="H6855" s="1">
        <v>3</v>
      </c>
      <c r="I6855" s="1">
        <v>148.49100000000001</v>
      </c>
    </row>
    <row r="6856" spans="1:9" x14ac:dyDescent="0.35">
      <c r="A6856" s="3" t="s">
        <v>3414</v>
      </c>
      <c r="B6856" s="1" t="s">
        <v>2828</v>
      </c>
      <c r="C6856" s="1" t="s">
        <v>2100</v>
      </c>
      <c r="D6856" s="1" t="s">
        <v>797</v>
      </c>
      <c r="E6856" s="1" t="s">
        <v>26</v>
      </c>
      <c r="F6856" s="2" t="s">
        <v>410</v>
      </c>
      <c r="G6856" s="1">
        <v>367.96</v>
      </c>
      <c r="H6856" s="1">
        <v>4</v>
      </c>
      <c r="I6856" s="1">
        <v>14.718400000000001</v>
      </c>
    </row>
    <row r="6857" spans="1:9" x14ac:dyDescent="0.35">
      <c r="A6857" s="3" t="s">
        <v>3414</v>
      </c>
      <c r="B6857" s="1" t="s">
        <v>2828</v>
      </c>
      <c r="C6857" s="1" t="s">
        <v>2100</v>
      </c>
      <c r="D6857" s="1" t="s">
        <v>797</v>
      </c>
      <c r="E6857" s="1" t="s">
        <v>44</v>
      </c>
      <c r="F6857" s="2" t="s">
        <v>1894</v>
      </c>
      <c r="G6857" s="1">
        <v>44.96</v>
      </c>
      <c r="H6857" s="1">
        <v>2</v>
      </c>
      <c r="I6857" s="1">
        <v>20.6816</v>
      </c>
    </row>
    <row r="6858" spans="1:9" x14ac:dyDescent="0.35">
      <c r="A6858" s="3" t="s">
        <v>3414</v>
      </c>
      <c r="B6858" s="1" t="s">
        <v>2828</v>
      </c>
      <c r="C6858" s="1" t="s">
        <v>2100</v>
      </c>
      <c r="D6858" s="1" t="s">
        <v>797</v>
      </c>
      <c r="E6858" s="1" t="s">
        <v>87</v>
      </c>
      <c r="F6858" s="2" t="s">
        <v>2821</v>
      </c>
      <c r="G6858" s="1">
        <v>182.94</v>
      </c>
      <c r="H6858" s="1">
        <v>3</v>
      </c>
      <c r="I6858" s="1">
        <v>85.981800000000007</v>
      </c>
    </row>
    <row r="6859" spans="1:9" x14ac:dyDescent="0.35">
      <c r="A6859" s="3" t="s">
        <v>3318</v>
      </c>
      <c r="B6859" s="1" t="s">
        <v>1836</v>
      </c>
      <c r="C6859" s="1" t="s">
        <v>17</v>
      </c>
      <c r="D6859" s="1" t="s">
        <v>18</v>
      </c>
      <c r="E6859" s="1" t="s">
        <v>44</v>
      </c>
      <c r="F6859" s="2" t="s">
        <v>1590</v>
      </c>
      <c r="G6859" s="1">
        <v>28.14</v>
      </c>
      <c r="H6859" s="1">
        <v>3</v>
      </c>
      <c r="I6859" s="1">
        <v>13.507199999999999</v>
      </c>
    </row>
    <row r="6860" spans="1:9" x14ac:dyDescent="0.35">
      <c r="A6860" s="3" t="s">
        <v>3318</v>
      </c>
      <c r="B6860" s="1" t="s">
        <v>1836</v>
      </c>
      <c r="C6860" s="1" t="s">
        <v>17</v>
      </c>
      <c r="D6860" s="1" t="s">
        <v>18</v>
      </c>
      <c r="E6860" s="1" t="s">
        <v>19</v>
      </c>
      <c r="F6860" s="2" t="s">
        <v>1561</v>
      </c>
      <c r="G6860" s="1">
        <v>7.38</v>
      </c>
      <c r="H6860" s="1">
        <v>2</v>
      </c>
      <c r="I6860" s="1">
        <v>3.4685999999999999</v>
      </c>
    </row>
    <row r="6861" spans="1:9" x14ac:dyDescent="0.35">
      <c r="A6861" s="3" t="s">
        <v>3318</v>
      </c>
      <c r="B6861" s="1" t="s">
        <v>1836</v>
      </c>
      <c r="C6861" s="1" t="s">
        <v>17</v>
      </c>
      <c r="D6861" s="1" t="s">
        <v>18</v>
      </c>
      <c r="E6861" s="1" t="s">
        <v>137</v>
      </c>
      <c r="F6861" s="2" t="s">
        <v>1430</v>
      </c>
      <c r="G6861" s="1">
        <v>10.9</v>
      </c>
      <c r="H6861" s="1">
        <v>5</v>
      </c>
      <c r="I6861" s="1">
        <v>3.597</v>
      </c>
    </row>
    <row r="6862" spans="1:9" x14ac:dyDescent="0.35">
      <c r="A6862" s="3" t="s">
        <v>3318</v>
      </c>
      <c r="B6862" s="1" t="s">
        <v>1836</v>
      </c>
      <c r="C6862" s="1" t="s">
        <v>17</v>
      </c>
      <c r="D6862" s="1" t="s">
        <v>18</v>
      </c>
      <c r="E6862" s="1" t="s">
        <v>81</v>
      </c>
      <c r="F6862" s="2" t="s">
        <v>1069</v>
      </c>
      <c r="G6862" s="1">
        <v>274.89</v>
      </c>
      <c r="H6862" s="1">
        <v>11</v>
      </c>
      <c r="I6862" s="1">
        <v>46.731299999999997</v>
      </c>
    </row>
    <row r="6863" spans="1:9" x14ac:dyDescent="0.35">
      <c r="A6863" s="3" t="s">
        <v>3318</v>
      </c>
      <c r="B6863" s="1" t="s">
        <v>1836</v>
      </c>
      <c r="C6863" s="1" t="s">
        <v>17</v>
      </c>
      <c r="D6863" s="1" t="s">
        <v>18</v>
      </c>
      <c r="E6863" s="1" t="s">
        <v>19</v>
      </c>
      <c r="F6863" s="2" t="s">
        <v>1968</v>
      </c>
      <c r="G6863" s="1">
        <v>23.04</v>
      </c>
      <c r="H6863" s="1">
        <v>8</v>
      </c>
      <c r="I6863" s="1">
        <v>11.2896</v>
      </c>
    </row>
    <row r="6864" spans="1:9" x14ac:dyDescent="0.35">
      <c r="A6864" s="3" t="s">
        <v>3318</v>
      </c>
      <c r="B6864" s="1" t="s">
        <v>1836</v>
      </c>
      <c r="C6864" s="1" t="s">
        <v>17</v>
      </c>
      <c r="D6864" s="1" t="s">
        <v>18</v>
      </c>
      <c r="E6864" s="1" t="s">
        <v>14</v>
      </c>
      <c r="F6864" s="2" t="s">
        <v>1997</v>
      </c>
      <c r="G6864" s="1">
        <v>218.352</v>
      </c>
      <c r="H6864" s="1">
        <v>3</v>
      </c>
      <c r="I6864" s="1">
        <v>-19.105799999999999</v>
      </c>
    </row>
    <row r="6865" spans="1:9" x14ac:dyDescent="0.35">
      <c r="A6865" s="3">
        <v>42747</v>
      </c>
      <c r="B6865" s="1" t="s">
        <v>803</v>
      </c>
      <c r="C6865" s="1" t="s">
        <v>336</v>
      </c>
      <c r="D6865" s="1" t="s">
        <v>52</v>
      </c>
      <c r="E6865" s="1" t="s">
        <v>44</v>
      </c>
      <c r="F6865" s="2" t="s">
        <v>2390</v>
      </c>
      <c r="G6865" s="1">
        <v>10.368</v>
      </c>
      <c r="H6865" s="1">
        <v>2</v>
      </c>
      <c r="I6865" s="1">
        <v>3.6288</v>
      </c>
    </row>
    <row r="6866" spans="1:9" x14ac:dyDescent="0.35">
      <c r="A6866" s="3" t="s">
        <v>3634</v>
      </c>
      <c r="B6866" s="1" t="s">
        <v>1974</v>
      </c>
      <c r="C6866" s="1" t="s">
        <v>17</v>
      </c>
      <c r="D6866" s="1" t="s">
        <v>18</v>
      </c>
      <c r="E6866" s="1" t="s">
        <v>35</v>
      </c>
      <c r="F6866" s="2" t="s">
        <v>1280</v>
      </c>
      <c r="G6866" s="1">
        <v>12.672000000000001</v>
      </c>
      <c r="H6866" s="1">
        <v>2</v>
      </c>
      <c r="I6866" s="1">
        <v>4.7519999999999998</v>
      </c>
    </row>
    <row r="6867" spans="1:9" x14ac:dyDescent="0.35">
      <c r="A6867" s="3" t="s">
        <v>3634</v>
      </c>
      <c r="B6867" s="1" t="s">
        <v>1974</v>
      </c>
      <c r="C6867" s="1" t="s">
        <v>17</v>
      </c>
      <c r="D6867" s="1" t="s">
        <v>18</v>
      </c>
      <c r="E6867" s="1" t="s">
        <v>33</v>
      </c>
      <c r="F6867" s="2" t="s">
        <v>832</v>
      </c>
      <c r="G6867" s="1">
        <v>91.96</v>
      </c>
      <c r="H6867" s="1">
        <v>5</v>
      </c>
      <c r="I6867" s="1">
        <v>-20.690999999999999</v>
      </c>
    </row>
    <row r="6868" spans="1:9" x14ac:dyDescent="0.35">
      <c r="A6868" s="3" t="s">
        <v>3634</v>
      </c>
      <c r="B6868" s="1" t="s">
        <v>1974</v>
      </c>
      <c r="C6868" s="1" t="s">
        <v>17</v>
      </c>
      <c r="D6868" s="1" t="s">
        <v>18</v>
      </c>
      <c r="E6868" s="1" t="s">
        <v>81</v>
      </c>
      <c r="F6868" s="2" t="s">
        <v>240</v>
      </c>
      <c r="G6868" s="1">
        <v>254.97</v>
      </c>
      <c r="H6868" s="1">
        <v>3</v>
      </c>
      <c r="I6868" s="1">
        <v>91.789199999999994</v>
      </c>
    </row>
    <row r="6869" spans="1:9" x14ac:dyDescent="0.35">
      <c r="A6869" s="3" t="s">
        <v>3634</v>
      </c>
      <c r="B6869" s="1" t="s">
        <v>1974</v>
      </c>
      <c r="C6869" s="1" t="s">
        <v>17</v>
      </c>
      <c r="D6869" s="1" t="s">
        <v>18</v>
      </c>
      <c r="E6869" s="1" t="s">
        <v>33</v>
      </c>
      <c r="F6869" s="2" t="s">
        <v>2374</v>
      </c>
      <c r="G6869" s="1">
        <v>31.984000000000002</v>
      </c>
      <c r="H6869" s="1">
        <v>2</v>
      </c>
      <c r="I6869" s="1">
        <v>-7.9960000000000004</v>
      </c>
    </row>
    <row r="6870" spans="1:9" x14ac:dyDescent="0.35">
      <c r="A6870" s="3" t="s">
        <v>3634</v>
      </c>
      <c r="B6870" s="1" t="s">
        <v>1974</v>
      </c>
      <c r="C6870" s="1" t="s">
        <v>17</v>
      </c>
      <c r="D6870" s="1" t="s">
        <v>18</v>
      </c>
      <c r="E6870" s="1" t="s">
        <v>24</v>
      </c>
      <c r="F6870" s="2" t="s">
        <v>2287</v>
      </c>
      <c r="G6870" s="1">
        <v>2887.056</v>
      </c>
      <c r="H6870" s="1">
        <v>9</v>
      </c>
      <c r="I6870" s="1">
        <v>180.441</v>
      </c>
    </row>
    <row r="6871" spans="1:9" x14ac:dyDescent="0.35">
      <c r="A6871" s="3" t="s">
        <v>3634</v>
      </c>
      <c r="B6871" s="1" t="s">
        <v>1974</v>
      </c>
      <c r="C6871" s="1" t="s">
        <v>17</v>
      </c>
      <c r="D6871" s="1" t="s">
        <v>18</v>
      </c>
      <c r="E6871" s="1" t="s">
        <v>44</v>
      </c>
      <c r="F6871" s="2" t="s">
        <v>2432</v>
      </c>
      <c r="G6871" s="1">
        <v>12.96</v>
      </c>
      <c r="H6871" s="1">
        <v>2</v>
      </c>
      <c r="I6871" s="1">
        <v>6.2207999999999997</v>
      </c>
    </row>
    <row r="6872" spans="1:9" x14ac:dyDescent="0.35">
      <c r="A6872" s="3" t="s">
        <v>3634</v>
      </c>
      <c r="B6872" s="1" t="s">
        <v>1974</v>
      </c>
      <c r="C6872" s="1" t="s">
        <v>17</v>
      </c>
      <c r="D6872" s="1" t="s">
        <v>18</v>
      </c>
      <c r="E6872" s="1" t="s">
        <v>44</v>
      </c>
      <c r="F6872" s="2" t="s">
        <v>2678</v>
      </c>
      <c r="G6872" s="1">
        <v>47.52</v>
      </c>
      <c r="H6872" s="1">
        <v>9</v>
      </c>
      <c r="I6872" s="1">
        <v>21.384</v>
      </c>
    </row>
    <row r="6873" spans="1:9" x14ac:dyDescent="0.35">
      <c r="A6873" s="3">
        <v>42502</v>
      </c>
      <c r="B6873" s="1" t="s">
        <v>2067</v>
      </c>
      <c r="C6873" s="1" t="s">
        <v>154</v>
      </c>
      <c r="D6873" s="1" t="s">
        <v>106</v>
      </c>
      <c r="E6873" s="1" t="s">
        <v>19</v>
      </c>
      <c r="F6873" s="2" t="s">
        <v>1200</v>
      </c>
      <c r="G6873" s="1">
        <v>11.952</v>
      </c>
      <c r="H6873" s="1">
        <v>3</v>
      </c>
      <c r="I6873" s="1">
        <v>3.8843999999999999</v>
      </c>
    </row>
    <row r="6874" spans="1:9" x14ac:dyDescent="0.35">
      <c r="A6874" s="3" t="s">
        <v>3748</v>
      </c>
      <c r="B6874" s="1" t="s">
        <v>296</v>
      </c>
      <c r="C6874" s="1" t="s">
        <v>47</v>
      </c>
      <c r="D6874" s="1" t="s">
        <v>48</v>
      </c>
      <c r="E6874" s="1" t="s">
        <v>44</v>
      </c>
      <c r="F6874" s="2" t="s">
        <v>2777</v>
      </c>
      <c r="G6874" s="1">
        <v>4.9800000000000004</v>
      </c>
      <c r="H6874" s="1">
        <v>1</v>
      </c>
      <c r="I6874" s="1">
        <v>2.3405999999999998</v>
      </c>
    </row>
    <row r="6875" spans="1:9" x14ac:dyDescent="0.35">
      <c r="A6875" s="3" t="s">
        <v>3749</v>
      </c>
      <c r="B6875" s="1" t="s">
        <v>83</v>
      </c>
      <c r="C6875" s="1" t="s">
        <v>3029</v>
      </c>
      <c r="D6875" s="1" t="s">
        <v>52</v>
      </c>
      <c r="E6875" s="1" t="s">
        <v>35</v>
      </c>
      <c r="F6875" s="2" t="s">
        <v>1409</v>
      </c>
      <c r="G6875" s="1">
        <v>10.78</v>
      </c>
      <c r="H6875" s="1">
        <v>5</v>
      </c>
      <c r="I6875" s="1">
        <v>-17.248000000000001</v>
      </c>
    </row>
    <row r="6876" spans="1:9" x14ac:dyDescent="0.35">
      <c r="A6876" s="3" t="s">
        <v>3749</v>
      </c>
      <c r="B6876" s="1" t="s">
        <v>83</v>
      </c>
      <c r="C6876" s="1" t="s">
        <v>3029</v>
      </c>
      <c r="D6876" s="1" t="s">
        <v>52</v>
      </c>
      <c r="E6876" s="1" t="s">
        <v>81</v>
      </c>
      <c r="F6876" s="2" t="s">
        <v>1612</v>
      </c>
      <c r="G6876" s="1">
        <v>119.976</v>
      </c>
      <c r="H6876" s="1">
        <v>3</v>
      </c>
      <c r="I6876" s="1">
        <v>-17.996400000000001</v>
      </c>
    </row>
    <row r="6877" spans="1:9" x14ac:dyDescent="0.35">
      <c r="A6877" s="3">
        <v>42499</v>
      </c>
      <c r="B6877" s="1" t="s">
        <v>1661</v>
      </c>
      <c r="C6877" s="1" t="s">
        <v>2009</v>
      </c>
      <c r="D6877" s="1" t="s">
        <v>163</v>
      </c>
      <c r="E6877" s="1" t="s">
        <v>19</v>
      </c>
      <c r="F6877" s="2" t="s">
        <v>2235</v>
      </c>
      <c r="G6877" s="1">
        <v>25.06</v>
      </c>
      <c r="H6877" s="1">
        <v>2</v>
      </c>
      <c r="I6877" s="1">
        <v>11.7782</v>
      </c>
    </row>
    <row r="6878" spans="1:9" x14ac:dyDescent="0.35">
      <c r="A6878" s="3">
        <v>42499</v>
      </c>
      <c r="B6878" s="1" t="s">
        <v>1661</v>
      </c>
      <c r="C6878" s="1" t="s">
        <v>2009</v>
      </c>
      <c r="D6878" s="1" t="s">
        <v>163</v>
      </c>
      <c r="E6878" s="1" t="s">
        <v>24</v>
      </c>
      <c r="F6878" s="2" t="s">
        <v>2076</v>
      </c>
      <c r="G6878" s="1">
        <v>1652.94</v>
      </c>
      <c r="H6878" s="1">
        <v>3</v>
      </c>
      <c r="I6878" s="1">
        <v>314.05860000000001</v>
      </c>
    </row>
    <row r="6879" spans="1:9" x14ac:dyDescent="0.35">
      <c r="A6879" s="3" t="s">
        <v>3173</v>
      </c>
      <c r="B6879" s="1" t="s">
        <v>9</v>
      </c>
      <c r="C6879" s="1" t="s">
        <v>399</v>
      </c>
      <c r="D6879" s="1" t="s">
        <v>52</v>
      </c>
      <c r="E6879" s="1" t="s">
        <v>29</v>
      </c>
      <c r="F6879" s="2" t="s">
        <v>1454</v>
      </c>
      <c r="G6879" s="1">
        <v>131.376</v>
      </c>
      <c r="H6879" s="1">
        <v>6</v>
      </c>
      <c r="I6879" s="1">
        <v>-95.247600000000006</v>
      </c>
    </row>
    <row r="6880" spans="1:9" x14ac:dyDescent="0.35">
      <c r="A6880" s="3" t="s">
        <v>3173</v>
      </c>
      <c r="B6880" s="1" t="s">
        <v>9</v>
      </c>
      <c r="C6880" s="1" t="s">
        <v>399</v>
      </c>
      <c r="D6880" s="1" t="s">
        <v>52</v>
      </c>
      <c r="E6880" s="1" t="s">
        <v>44</v>
      </c>
      <c r="F6880" s="2" t="s">
        <v>1816</v>
      </c>
      <c r="G6880" s="1">
        <v>5.3440000000000003</v>
      </c>
      <c r="H6880" s="1">
        <v>1</v>
      </c>
      <c r="I6880" s="1">
        <v>1.8704000000000001</v>
      </c>
    </row>
    <row r="6881" spans="1:9" x14ac:dyDescent="0.35">
      <c r="A6881" s="3">
        <v>42016</v>
      </c>
      <c r="B6881" s="1" t="s">
        <v>310</v>
      </c>
      <c r="C6881" s="1" t="s">
        <v>47</v>
      </c>
      <c r="D6881" s="1" t="s">
        <v>48</v>
      </c>
      <c r="E6881" s="1" t="s">
        <v>14</v>
      </c>
      <c r="F6881" s="2" t="s">
        <v>807</v>
      </c>
      <c r="G6881" s="1">
        <v>2003.92</v>
      </c>
      <c r="H6881" s="1">
        <v>5</v>
      </c>
      <c r="I6881" s="1">
        <v>125.245</v>
      </c>
    </row>
    <row r="6882" spans="1:9" x14ac:dyDescent="0.35">
      <c r="A6882" s="3">
        <v>42016</v>
      </c>
      <c r="B6882" s="1" t="s">
        <v>310</v>
      </c>
      <c r="C6882" s="1" t="s">
        <v>47</v>
      </c>
      <c r="D6882" s="1" t="s">
        <v>48</v>
      </c>
      <c r="E6882" s="1" t="s">
        <v>44</v>
      </c>
      <c r="F6882" s="2" t="s">
        <v>2200</v>
      </c>
      <c r="G6882" s="1">
        <v>32.4</v>
      </c>
      <c r="H6882" s="1">
        <v>5</v>
      </c>
      <c r="I6882" s="1">
        <v>15.552</v>
      </c>
    </row>
    <row r="6883" spans="1:9" x14ac:dyDescent="0.35">
      <c r="A6883" s="3">
        <v>42016</v>
      </c>
      <c r="B6883" s="1" t="s">
        <v>310</v>
      </c>
      <c r="C6883" s="1" t="s">
        <v>47</v>
      </c>
      <c r="D6883" s="1" t="s">
        <v>48</v>
      </c>
      <c r="E6883" s="1" t="s">
        <v>24</v>
      </c>
      <c r="F6883" s="2" t="s">
        <v>439</v>
      </c>
      <c r="G6883" s="1">
        <v>1913.4</v>
      </c>
      <c r="H6883" s="1">
        <v>9</v>
      </c>
      <c r="I6883" s="1">
        <v>401.81400000000002</v>
      </c>
    </row>
    <row r="6884" spans="1:9" x14ac:dyDescent="0.35">
      <c r="A6884" s="3">
        <v>42016</v>
      </c>
      <c r="B6884" s="1" t="s">
        <v>310</v>
      </c>
      <c r="C6884" s="1" t="s">
        <v>47</v>
      </c>
      <c r="D6884" s="1" t="s">
        <v>48</v>
      </c>
      <c r="E6884" s="1" t="s">
        <v>26</v>
      </c>
      <c r="F6884" s="2" t="s">
        <v>1939</v>
      </c>
      <c r="G6884" s="1">
        <v>146.72999999999999</v>
      </c>
      <c r="H6884" s="1">
        <v>3</v>
      </c>
      <c r="I6884" s="1">
        <v>2.9346000000000001</v>
      </c>
    </row>
    <row r="6885" spans="1:9" x14ac:dyDescent="0.35">
      <c r="A6885" s="3">
        <v>42016</v>
      </c>
      <c r="B6885" s="1" t="s">
        <v>310</v>
      </c>
      <c r="C6885" s="1" t="s">
        <v>47</v>
      </c>
      <c r="D6885" s="1" t="s">
        <v>48</v>
      </c>
      <c r="E6885" s="1" t="s">
        <v>44</v>
      </c>
      <c r="F6885" s="2" t="s">
        <v>728</v>
      </c>
      <c r="G6885" s="1">
        <v>114.2</v>
      </c>
      <c r="H6885" s="1">
        <v>5</v>
      </c>
      <c r="I6885" s="1">
        <v>52.531999999999996</v>
      </c>
    </row>
    <row r="6886" spans="1:9" x14ac:dyDescent="0.35">
      <c r="A6886" s="3" t="s">
        <v>3199</v>
      </c>
      <c r="B6886" s="1" t="s">
        <v>866</v>
      </c>
      <c r="C6886" s="1" t="s">
        <v>206</v>
      </c>
      <c r="D6886" s="1" t="s">
        <v>115</v>
      </c>
      <c r="E6886" s="1" t="s">
        <v>14</v>
      </c>
      <c r="F6886" s="2" t="s">
        <v>2455</v>
      </c>
      <c r="G6886" s="1">
        <v>2567.84</v>
      </c>
      <c r="H6886" s="1">
        <v>8</v>
      </c>
      <c r="I6886" s="1">
        <v>770.35199999999998</v>
      </c>
    </row>
    <row r="6887" spans="1:9" x14ac:dyDescent="0.35">
      <c r="A6887" s="3">
        <v>43017</v>
      </c>
      <c r="B6887" s="1" t="s">
        <v>1642</v>
      </c>
      <c r="C6887" s="1" t="s">
        <v>162</v>
      </c>
      <c r="D6887" s="1" t="s">
        <v>250</v>
      </c>
      <c r="E6887" s="1" t="s">
        <v>81</v>
      </c>
      <c r="F6887" s="2" t="s">
        <v>235</v>
      </c>
      <c r="G6887" s="1">
        <v>37.055999999999997</v>
      </c>
      <c r="H6887" s="1">
        <v>4</v>
      </c>
      <c r="I6887" s="1">
        <v>8.8008000000000006</v>
      </c>
    </row>
    <row r="6888" spans="1:9" x14ac:dyDescent="0.35">
      <c r="A6888" s="3">
        <v>43017</v>
      </c>
      <c r="B6888" s="1" t="s">
        <v>1642</v>
      </c>
      <c r="C6888" s="1" t="s">
        <v>162</v>
      </c>
      <c r="D6888" s="1" t="s">
        <v>250</v>
      </c>
      <c r="E6888" s="1" t="s">
        <v>33</v>
      </c>
      <c r="F6888" s="2" t="s">
        <v>1702</v>
      </c>
      <c r="G6888" s="1">
        <v>259.89600000000002</v>
      </c>
      <c r="H6888" s="1">
        <v>2</v>
      </c>
      <c r="I6888" s="1">
        <v>-56.3108</v>
      </c>
    </row>
    <row r="6889" spans="1:9" x14ac:dyDescent="0.35">
      <c r="A6889" s="3" t="s">
        <v>3605</v>
      </c>
      <c r="B6889" s="1" t="s">
        <v>1212</v>
      </c>
      <c r="C6889" s="1" t="s">
        <v>17</v>
      </c>
      <c r="D6889" s="1" t="s">
        <v>18</v>
      </c>
      <c r="E6889" s="1" t="s">
        <v>44</v>
      </c>
      <c r="F6889" s="2" t="s">
        <v>168</v>
      </c>
      <c r="G6889" s="1">
        <v>19.05</v>
      </c>
      <c r="H6889" s="1">
        <v>3</v>
      </c>
      <c r="I6889" s="1">
        <v>8.7629999999999999</v>
      </c>
    </row>
    <row r="6890" spans="1:9" x14ac:dyDescent="0.35">
      <c r="A6890" s="3" t="s">
        <v>3605</v>
      </c>
      <c r="B6890" s="1" t="s">
        <v>1212</v>
      </c>
      <c r="C6890" s="1" t="s">
        <v>17</v>
      </c>
      <c r="D6890" s="1" t="s">
        <v>18</v>
      </c>
      <c r="E6890" s="1" t="s">
        <v>35</v>
      </c>
      <c r="F6890" s="2" t="s">
        <v>1670</v>
      </c>
      <c r="G6890" s="1">
        <v>73.343999999999994</v>
      </c>
      <c r="H6890" s="1">
        <v>3</v>
      </c>
      <c r="I6890" s="1">
        <v>27.504000000000001</v>
      </c>
    </row>
    <row r="6891" spans="1:9" x14ac:dyDescent="0.35">
      <c r="A6891" s="3" t="s">
        <v>3179</v>
      </c>
      <c r="B6891" s="1" t="s">
        <v>661</v>
      </c>
      <c r="C6891" s="1" t="s">
        <v>249</v>
      </c>
      <c r="D6891" s="1" t="s">
        <v>604</v>
      </c>
      <c r="E6891" s="1" t="s">
        <v>33</v>
      </c>
      <c r="F6891" s="2" t="s">
        <v>377</v>
      </c>
      <c r="G6891" s="1">
        <v>95.68</v>
      </c>
      <c r="H6891" s="1">
        <v>8</v>
      </c>
      <c r="I6891" s="1">
        <v>26.790400000000002</v>
      </c>
    </row>
    <row r="6892" spans="1:9" x14ac:dyDescent="0.35">
      <c r="A6892" s="3" t="s">
        <v>3179</v>
      </c>
      <c r="B6892" s="1" t="s">
        <v>661</v>
      </c>
      <c r="C6892" s="1" t="s">
        <v>249</v>
      </c>
      <c r="D6892" s="1" t="s">
        <v>604</v>
      </c>
      <c r="E6892" s="1" t="s">
        <v>44</v>
      </c>
      <c r="F6892" s="2" t="s">
        <v>498</v>
      </c>
      <c r="G6892" s="1">
        <v>50.96</v>
      </c>
      <c r="H6892" s="1">
        <v>7</v>
      </c>
      <c r="I6892" s="1">
        <v>24.460799999999999</v>
      </c>
    </row>
    <row r="6893" spans="1:9" x14ac:dyDescent="0.35">
      <c r="A6893" s="3" t="s">
        <v>3179</v>
      </c>
      <c r="B6893" s="1" t="s">
        <v>661</v>
      </c>
      <c r="C6893" s="1" t="s">
        <v>249</v>
      </c>
      <c r="D6893" s="1" t="s">
        <v>604</v>
      </c>
      <c r="E6893" s="1" t="s">
        <v>31</v>
      </c>
      <c r="F6893" s="2" t="s">
        <v>246</v>
      </c>
      <c r="G6893" s="1">
        <v>113.94</v>
      </c>
      <c r="H6893" s="1">
        <v>3</v>
      </c>
      <c r="I6893" s="1">
        <v>34.182000000000002</v>
      </c>
    </row>
    <row r="6894" spans="1:9" x14ac:dyDescent="0.35">
      <c r="A6894" s="3" t="s">
        <v>3179</v>
      </c>
      <c r="B6894" s="1" t="s">
        <v>661</v>
      </c>
      <c r="C6894" s="1" t="s">
        <v>249</v>
      </c>
      <c r="D6894" s="1" t="s">
        <v>604</v>
      </c>
      <c r="E6894" s="1" t="s">
        <v>44</v>
      </c>
      <c r="F6894" s="2" t="s">
        <v>2432</v>
      </c>
      <c r="G6894" s="1">
        <v>25.92</v>
      </c>
      <c r="H6894" s="1">
        <v>4</v>
      </c>
      <c r="I6894" s="1">
        <v>12.441599999999999</v>
      </c>
    </row>
    <row r="6895" spans="1:9" x14ac:dyDescent="0.35">
      <c r="A6895" s="3" t="s">
        <v>3179</v>
      </c>
      <c r="B6895" s="1" t="s">
        <v>661</v>
      </c>
      <c r="C6895" s="1" t="s">
        <v>249</v>
      </c>
      <c r="D6895" s="1" t="s">
        <v>604</v>
      </c>
      <c r="E6895" s="1" t="s">
        <v>29</v>
      </c>
      <c r="F6895" s="2" t="s">
        <v>2537</v>
      </c>
      <c r="G6895" s="1">
        <v>20.32</v>
      </c>
      <c r="H6895" s="1">
        <v>4</v>
      </c>
      <c r="I6895" s="1">
        <v>6.9088000000000003</v>
      </c>
    </row>
    <row r="6896" spans="1:9" x14ac:dyDescent="0.35">
      <c r="A6896" s="3" t="s">
        <v>3179</v>
      </c>
      <c r="B6896" s="1" t="s">
        <v>661</v>
      </c>
      <c r="C6896" s="1" t="s">
        <v>249</v>
      </c>
      <c r="D6896" s="1" t="s">
        <v>604</v>
      </c>
      <c r="E6896" s="1" t="s">
        <v>33</v>
      </c>
      <c r="F6896" s="2" t="s">
        <v>139</v>
      </c>
      <c r="G6896" s="1">
        <v>411.98</v>
      </c>
      <c r="H6896" s="1">
        <v>2</v>
      </c>
      <c r="I6896" s="1">
        <v>119.4742</v>
      </c>
    </row>
    <row r="6897" spans="1:9" x14ac:dyDescent="0.35">
      <c r="A6897" s="3" t="s">
        <v>3179</v>
      </c>
      <c r="B6897" s="1" t="s">
        <v>661</v>
      </c>
      <c r="C6897" s="1" t="s">
        <v>249</v>
      </c>
      <c r="D6897" s="1" t="s">
        <v>604</v>
      </c>
      <c r="E6897" s="1" t="s">
        <v>289</v>
      </c>
      <c r="F6897" s="2" t="s">
        <v>1075</v>
      </c>
      <c r="G6897" s="1">
        <v>34.479999999999997</v>
      </c>
      <c r="H6897" s="1">
        <v>2</v>
      </c>
      <c r="I6897" s="1">
        <v>9.9992000000000001</v>
      </c>
    </row>
    <row r="6898" spans="1:9" x14ac:dyDescent="0.35">
      <c r="A6898" s="3" t="s">
        <v>3179</v>
      </c>
      <c r="B6898" s="1" t="s">
        <v>661</v>
      </c>
      <c r="C6898" s="1" t="s">
        <v>249</v>
      </c>
      <c r="D6898" s="1" t="s">
        <v>604</v>
      </c>
      <c r="E6898" s="1" t="s">
        <v>44</v>
      </c>
      <c r="F6898" s="2" t="s">
        <v>2809</v>
      </c>
      <c r="G6898" s="1">
        <v>244.55</v>
      </c>
      <c r="H6898" s="1">
        <v>5</v>
      </c>
      <c r="I6898" s="1">
        <v>114.9385</v>
      </c>
    </row>
    <row r="6899" spans="1:9" x14ac:dyDescent="0.35">
      <c r="A6899" s="3" t="s">
        <v>3529</v>
      </c>
      <c r="B6899" s="1" t="s">
        <v>921</v>
      </c>
      <c r="C6899" s="1" t="s">
        <v>536</v>
      </c>
      <c r="D6899" s="1" t="s">
        <v>250</v>
      </c>
      <c r="E6899" s="1" t="s">
        <v>35</v>
      </c>
      <c r="F6899" s="2" t="s">
        <v>2023</v>
      </c>
      <c r="G6899" s="1">
        <v>10.782</v>
      </c>
      <c r="H6899" s="1">
        <v>3</v>
      </c>
      <c r="I6899" s="1">
        <v>-7.9067999999999996</v>
      </c>
    </row>
    <row r="6900" spans="1:9" x14ac:dyDescent="0.35">
      <c r="A6900" s="3" t="s">
        <v>3750</v>
      </c>
      <c r="B6900" s="1" t="s">
        <v>2781</v>
      </c>
      <c r="C6900" s="1" t="s">
        <v>105</v>
      </c>
      <c r="D6900" s="1" t="s">
        <v>106</v>
      </c>
      <c r="E6900" s="1" t="s">
        <v>14</v>
      </c>
      <c r="F6900" s="2" t="s">
        <v>1386</v>
      </c>
      <c r="G6900" s="1">
        <v>602.65099999999995</v>
      </c>
      <c r="H6900" s="1">
        <v>7</v>
      </c>
      <c r="I6900" s="1">
        <v>-163.57669999999999</v>
      </c>
    </row>
    <row r="6901" spans="1:9" x14ac:dyDescent="0.35">
      <c r="A6901" s="3" t="s">
        <v>3750</v>
      </c>
      <c r="B6901" s="1" t="s">
        <v>2781</v>
      </c>
      <c r="C6901" s="1" t="s">
        <v>105</v>
      </c>
      <c r="D6901" s="1" t="s">
        <v>106</v>
      </c>
      <c r="E6901" s="1" t="s">
        <v>35</v>
      </c>
      <c r="F6901" s="2" t="s">
        <v>1995</v>
      </c>
      <c r="G6901" s="1">
        <v>7.6559999999999997</v>
      </c>
      <c r="H6901" s="1">
        <v>6</v>
      </c>
      <c r="I6901" s="1">
        <v>-13.0152</v>
      </c>
    </row>
    <row r="6902" spans="1:9" x14ac:dyDescent="0.35">
      <c r="A6902" s="3">
        <v>42194</v>
      </c>
      <c r="B6902" s="1" t="s">
        <v>750</v>
      </c>
      <c r="C6902" s="1" t="s">
        <v>135</v>
      </c>
      <c r="D6902" s="1" t="s">
        <v>136</v>
      </c>
      <c r="E6902" s="1" t="s">
        <v>81</v>
      </c>
      <c r="F6902" s="2" t="s">
        <v>1154</v>
      </c>
      <c r="G6902" s="1">
        <v>559.92999999999995</v>
      </c>
      <c r="H6902" s="1">
        <v>7</v>
      </c>
      <c r="I6902" s="1">
        <v>167.97900000000001</v>
      </c>
    </row>
    <row r="6903" spans="1:9" x14ac:dyDescent="0.35">
      <c r="A6903" s="3" t="s">
        <v>3751</v>
      </c>
      <c r="B6903" s="1" t="s">
        <v>1469</v>
      </c>
      <c r="C6903" s="1" t="s">
        <v>689</v>
      </c>
      <c r="D6903" s="1" t="s">
        <v>18</v>
      </c>
      <c r="E6903" s="1" t="s">
        <v>579</v>
      </c>
      <c r="F6903" s="2" t="s">
        <v>580</v>
      </c>
      <c r="G6903" s="1">
        <v>2399.96</v>
      </c>
      <c r="H6903" s="1">
        <v>5</v>
      </c>
      <c r="I6903" s="1">
        <v>839.98599999999999</v>
      </c>
    </row>
    <row r="6904" spans="1:9" x14ac:dyDescent="0.35">
      <c r="A6904" s="3">
        <v>42775</v>
      </c>
      <c r="B6904" s="1" t="s">
        <v>1214</v>
      </c>
      <c r="C6904" s="1" t="s">
        <v>154</v>
      </c>
      <c r="D6904" s="1" t="s">
        <v>106</v>
      </c>
      <c r="E6904" s="1" t="s">
        <v>137</v>
      </c>
      <c r="F6904" s="2" t="s">
        <v>1157</v>
      </c>
      <c r="G6904" s="1">
        <v>16</v>
      </c>
      <c r="H6904" s="1">
        <v>4</v>
      </c>
      <c r="I6904" s="1">
        <v>5.6</v>
      </c>
    </row>
    <row r="6905" spans="1:9" x14ac:dyDescent="0.35">
      <c r="A6905" s="3">
        <v>42775</v>
      </c>
      <c r="B6905" s="1" t="s">
        <v>1214</v>
      </c>
      <c r="C6905" s="1" t="s">
        <v>154</v>
      </c>
      <c r="D6905" s="1" t="s">
        <v>106</v>
      </c>
      <c r="E6905" s="1" t="s">
        <v>37</v>
      </c>
      <c r="F6905" s="2" t="s">
        <v>3030</v>
      </c>
      <c r="G6905" s="1">
        <v>5.5880000000000001</v>
      </c>
      <c r="H6905" s="1">
        <v>2</v>
      </c>
      <c r="I6905" s="1">
        <v>-15.0876</v>
      </c>
    </row>
    <row r="6906" spans="1:9" x14ac:dyDescent="0.35">
      <c r="A6906" s="3">
        <v>42775</v>
      </c>
      <c r="B6906" s="1" t="s">
        <v>1214</v>
      </c>
      <c r="C6906" s="1" t="s">
        <v>154</v>
      </c>
      <c r="D6906" s="1" t="s">
        <v>106</v>
      </c>
      <c r="E6906" s="1" t="s">
        <v>26</v>
      </c>
      <c r="F6906" s="2" t="s">
        <v>2928</v>
      </c>
      <c r="G6906" s="1">
        <v>235.92</v>
      </c>
      <c r="H6906" s="1">
        <v>5</v>
      </c>
      <c r="I6906" s="1">
        <v>-44.234999999999999</v>
      </c>
    </row>
    <row r="6907" spans="1:9" x14ac:dyDescent="0.35">
      <c r="A6907" s="3">
        <v>42898</v>
      </c>
      <c r="B6907" s="1" t="s">
        <v>1031</v>
      </c>
      <c r="C6907" s="1" t="s">
        <v>478</v>
      </c>
      <c r="D6907" s="1" t="s">
        <v>18</v>
      </c>
      <c r="E6907" s="1" t="s">
        <v>26</v>
      </c>
      <c r="F6907" s="2" t="s">
        <v>1191</v>
      </c>
      <c r="G6907" s="1">
        <v>10.68</v>
      </c>
      <c r="H6907" s="1">
        <v>1</v>
      </c>
      <c r="I6907" s="1">
        <v>2.8835999999999999</v>
      </c>
    </row>
    <row r="6908" spans="1:9" x14ac:dyDescent="0.35">
      <c r="A6908" s="3" t="s">
        <v>3541</v>
      </c>
      <c r="B6908" s="1" t="s">
        <v>628</v>
      </c>
      <c r="C6908" s="1" t="s">
        <v>1080</v>
      </c>
      <c r="D6908" s="1" t="s">
        <v>120</v>
      </c>
      <c r="E6908" s="1" t="s">
        <v>35</v>
      </c>
      <c r="F6908" s="2" t="s">
        <v>636</v>
      </c>
      <c r="G6908" s="1">
        <v>41.28</v>
      </c>
      <c r="H6908" s="1">
        <v>2</v>
      </c>
      <c r="I6908" s="1">
        <v>19.814399999999999</v>
      </c>
    </row>
    <row r="6909" spans="1:9" x14ac:dyDescent="0.35">
      <c r="A6909" s="3" t="s">
        <v>3645</v>
      </c>
      <c r="B6909" s="1" t="s">
        <v>1831</v>
      </c>
      <c r="C6909" s="1" t="s">
        <v>47</v>
      </c>
      <c r="D6909" s="1" t="s">
        <v>48</v>
      </c>
      <c r="E6909" s="1" t="s">
        <v>33</v>
      </c>
      <c r="F6909" s="2" t="s">
        <v>2859</v>
      </c>
      <c r="G6909" s="1">
        <v>1001.5839999999999</v>
      </c>
      <c r="H6909" s="1">
        <v>2</v>
      </c>
      <c r="I6909" s="1">
        <v>125.19799999999999</v>
      </c>
    </row>
    <row r="6910" spans="1:9" x14ac:dyDescent="0.35">
      <c r="A6910" s="3">
        <v>43020</v>
      </c>
      <c r="B6910" s="1" t="s">
        <v>305</v>
      </c>
      <c r="C6910" s="1" t="s">
        <v>2223</v>
      </c>
      <c r="D6910" s="1" t="s">
        <v>194</v>
      </c>
      <c r="E6910" s="1" t="s">
        <v>29</v>
      </c>
      <c r="F6910" s="2" t="s">
        <v>2074</v>
      </c>
      <c r="G6910" s="1">
        <v>14.76</v>
      </c>
      <c r="H6910" s="1">
        <v>2</v>
      </c>
      <c r="I6910" s="1">
        <v>4.2804000000000002</v>
      </c>
    </row>
    <row r="6911" spans="1:9" x14ac:dyDescent="0.35">
      <c r="A6911" s="3" t="s">
        <v>3434</v>
      </c>
      <c r="B6911" s="1" t="s">
        <v>122</v>
      </c>
      <c r="C6911" s="1" t="s">
        <v>249</v>
      </c>
      <c r="D6911" s="1" t="s">
        <v>250</v>
      </c>
      <c r="E6911" s="1" t="s">
        <v>35</v>
      </c>
      <c r="F6911" s="2" t="s">
        <v>1301</v>
      </c>
      <c r="G6911" s="1">
        <v>2.5019999999999998</v>
      </c>
      <c r="H6911" s="1">
        <v>3</v>
      </c>
      <c r="I6911" s="1">
        <v>-2.0015999999999998</v>
      </c>
    </row>
    <row r="6912" spans="1:9" x14ac:dyDescent="0.35">
      <c r="A6912" s="3" t="s">
        <v>3239</v>
      </c>
      <c r="B6912" s="1" t="s">
        <v>1318</v>
      </c>
      <c r="C6912" s="1" t="s">
        <v>47</v>
      </c>
      <c r="D6912" s="1" t="s">
        <v>48</v>
      </c>
      <c r="E6912" s="1" t="s">
        <v>12</v>
      </c>
      <c r="F6912" s="2" t="s">
        <v>516</v>
      </c>
      <c r="G6912" s="1">
        <v>115.96</v>
      </c>
      <c r="H6912" s="1">
        <v>2</v>
      </c>
      <c r="I6912" s="1">
        <v>25.511199999999999</v>
      </c>
    </row>
    <row r="6913" spans="1:9" x14ac:dyDescent="0.35">
      <c r="A6913" s="3">
        <v>42743</v>
      </c>
      <c r="B6913" s="1" t="s">
        <v>327</v>
      </c>
      <c r="C6913" s="1" t="s">
        <v>64</v>
      </c>
      <c r="D6913" s="1" t="s">
        <v>18</v>
      </c>
      <c r="E6913" s="1" t="s">
        <v>26</v>
      </c>
      <c r="F6913" s="2" t="s">
        <v>1400</v>
      </c>
      <c r="G6913" s="1">
        <v>186.54</v>
      </c>
      <c r="H6913" s="1">
        <v>3</v>
      </c>
      <c r="I6913" s="1">
        <v>50.3658</v>
      </c>
    </row>
    <row r="6914" spans="1:9" x14ac:dyDescent="0.35">
      <c r="A6914" s="3">
        <v>42771</v>
      </c>
      <c r="B6914" s="1" t="s">
        <v>2160</v>
      </c>
      <c r="C6914" s="1" t="s">
        <v>17</v>
      </c>
      <c r="D6914" s="1" t="s">
        <v>18</v>
      </c>
      <c r="E6914" s="1" t="s">
        <v>81</v>
      </c>
      <c r="F6914" s="2" t="s">
        <v>1195</v>
      </c>
      <c r="G6914" s="1">
        <v>159.56</v>
      </c>
      <c r="H6914" s="1">
        <v>4</v>
      </c>
      <c r="I6914" s="1">
        <v>59.037199999999999</v>
      </c>
    </row>
    <row r="6915" spans="1:9" x14ac:dyDescent="0.35">
      <c r="A6915" s="3">
        <v>42344</v>
      </c>
      <c r="B6915" s="1" t="s">
        <v>419</v>
      </c>
      <c r="C6915" s="1" t="s">
        <v>3031</v>
      </c>
      <c r="D6915" s="1" t="s">
        <v>23</v>
      </c>
      <c r="E6915" s="1" t="s">
        <v>33</v>
      </c>
      <c r="F6915" s="2" t="s">
        <v>236</v>
      </c>
      <c r="G6915" s="1">
        <v>55.984000000000002</v>
      </c>
      <c r="H6915" s="1">
        <v>2</v>
      </c>
      <c r="I6915" s="1">
        <v>4.1988000000000003</v>
      </c>
    </row>
    <row r="6916" spans="1:9" x14ac:dyDescent="0.35">
      <c r="A6916" s="3" t="s">
        <v>3698</v>
      </c>
      <c r="B6916" s="1" t="s">
        <v>1509</v>
      </c>
      <c r="C6916" s="1" t="s">
        <v>154</v>
      </c>
      <c r="D6916" s="1" t="s">
        <v>106</v>
      </c>
      <c r="E6916" s="1" t="s">
        <v>26</v>
      </c>
      <c r="F6916" s="2" t="s">
        <v>970</v>
      </c>
      <c r="G6916" s="1">
        <v>132.16</v>
      </c>
      <c r="H6916" s="1">
        <v>1</v>
      </c>
      <c r="I6916" s="1">
        <v>9.9120000000000008</v>
      </c>
    </row>
    <row r="6917" spans="1:9" x14ac:dyDescent="0.35">
      <c r="A6917" s="3" t="s">
        <v>3698</v>
      </c>
      <c r="B6917" s="1" t="s">
        <v>1509</v>
      </c>
      <c r="C6917" s="1" t="s">
        <v>154</v>
      </c>
      <c r="D6917" s="1" t="s">
        <v>106</v>
      </c>
      <c r="E6917" s="1" t="s">
        <v>35</v>
      </c>
      <c r="F6917" s="2" t="s">
        <v>940</v>
      </c>
      <c r="G6917" s="1">
        <v>17.904</v>
      </c>
      <c r="H6917" s="1">
        <v>6</v>
      </c>
      <c r="I6917" s="1">
        <v>-31.332000000000001</v>
      </c>
    </row>
    <row r="6918" spans="1:9" x14ac:dyDescent="0.35">
      <c r="A6918" s="3" t="s">
        <v>3698</v>
      </c>
      <c r="B6918" s="1" t="s">
        <v>1509</v>
      </c>
      <c r="C6918" s="1" t="s">
        <v>154</v>
      </c>
      <c r="D6918" s="1" t="s">
        <v>106</v>
      </c>
      <c r="E6918" s="1" t="s">
        <v>44</v>
      </c>
      <c r="F6918" s="2" t="s">
        <v>1628</v>
      </c>
      <c r="G6918" s="1">
        <v>124.032</v>
      </c>
      <c r="H6918" s="1">
        <v>4</v>
      </c>
      <c r="I6918" s="1">
        <v>44.961599999999997</v>
      </c>
    </row>
    <row r="6919" spans="1:9" x14ac:dyDescent="0.35">
      <c r="A6919" s="3" t="s">
        <v>3210</v>
      </c>
      <c r="B6919" s="1" t="s">
        <v>2739</v>
      </c>
      <c r="C6919" s="1" t="s">
        <v>2185</v>
      </c>
      <c r="D6919" s="1" t="s">
        <v>18</v>
      </c>
      <c r="E6919" s="1" t="s">
        <v>14</v>
      </c>
      <c r="F6919" s="2" t="s">
        <v>1886</v>
      </c>
      <c r="G6919" s="1">
        <v>1403.92</v>
      </c>
      <c r="H6919" s="1">
        <v>5</v>
      </c>
      <c r="I6919" s="1">
        <v>70.195999999999998</v>
      </c>
    </row>
    <row r="6920" spans="1:9" x14ac:dyDescent="0.35">
      <c r="A6920" s="3" t="s">
        <v>3509</v>
      </c>
      <c r="B6920" s="1" t="s">
        <v>1110</v>
      </c>
      <c r="C6920" s="1" t="s">
        <v>47</v>
      </c>
      <c r="D6920" s="1" t="s">
        <v>48</v>
      </c>
      <c r="E6920" s="1" t="s">
        <v>289</v>
      </c>
      <c r="F6920" s="2" t="s">
        <v>2512</v>
      </c>
      <c r="G6920" s="1">
        <v>28.8</v>
      </c>
      <c r="H6920" s="1">
        <v>3</v>
      </c>
      <c r="I6920" s="1">
        <v>0.86399999999999999</v>
      </c>
    </row>
    <row r="6921" spans="1:9" x14ac:dyDescent="0.35">
      <c r="A6921" s="3" t="s">
        <v>3626</v>
      </c>
      <c r="B6921" s="1" t="s">
        <v>1563</v>
      </c>
      <c r="C6921" s="1" t="s">
        <v>74</v>
      </c>
      <c r="D6921" s="1" t="s">
        <v>75</v>
      </c>
      <c r="E6921" s="1" t="s">
        <v>35</v>
      </c>
      <c r="F6921" s="2" t="s">
        <v>1364</v>
      </c>
      <c r="G6921" s="1">
        <v>24.588000000000001</v>
      </c>
      <c r="H6921" s="1">
        <v>2</v>
      </c>
      <c r="I6921" s="1">
        <v>-18.031199999999998</v>
      </c>
    </row>
    <row r="6922" spans="1:9" x14ac:dyDescent="0.35">
      <c r="A6922" s="3" t="s">
        <v>3752</v>
      </c>
      <c r="B6922" s="1" t="s">
        <v>335</v>
      </c>
      <c r="C6922" s="1" t="s">
        <v>2912</v>
      </c>
      <c r="D6922" s="1" t="s">
        <v>18</v>
      </c>
      <c r="E6922" s="1" t="s">
        <v>37</v>
      </c>
      <c r="F6922" s="2" t="s">
        <v>963</v>
      </c>
      <c r="G6922" s="1">
        <v>356.79</v>
      </c>
      <c r="H6922" s="1">
        <v>7</v>
      </c>
      <c r="I6922" s="1">
        <v>99.901200000000003</v>
      </c>
    </row>
    <row r="6923" spans="1:9" x14ac:dyDescent="0.35">
      <c r="A6923" s="3">
        <v>42829</v>
      </c>
      <c r="B6923" s="1" t="s">
        <v>1399</v>
      </c>
      <c r="C6923" s="1" t="s">
        <v>135</v>
      </c>
      <c r="D6923" s="1" t="s">
        <v>136</v>
      </c>
      <c r="E6923" s="1" t="s">
        <v>87</v>
      </c>
      <c r="F6923" s="2" t="s">
        <v>1094</v>
      </c>
      <c r="G6923" s="1">
        <v>16.98</v>
      </c>
      <c r="H6923" s="1">
        <v>1</v>
      </c>
      <c r="I6923" s="1">
        <v>8.49</v>
      </c>
    </row>
    <row r="6924" spans="1:9" x14ac:dyDescent="0.35">
      <c r="A6924" s="3" t="s">
        <v>3592</v>
      </c>
      <c r="B6924" s="1" t="s">
        <v>1378</v>
      </c>
      <c r="C6924" s="1" t="s">
        <v>734</v>
      </c>
      <c r="D6924" s="1" t="s">
        <v>182</v>
      </c>
      <c r="E6924" s="1" t="s">
        <v>19</v>
      </c>
      <c r="F6924" s="2" t="s">
        <v>907</v>
      </c>
      <c r="G6924" s="1">
        <v>491.55</v>
      </c>
      <c r="H6924" s="1">
        <v>5</v>
      </c>
      <c r="I6924" s="1">
        <v>240.8595</v>
      </c>
    </row>
    <row r="6925" spans="1:9" x14ac:dyDescent="0.35">
      <c r="A6925" s="3" t="s">
        <v>3592</v>
      </c>
      <c r="B6925" s="1" t="s">
        <v>1378</v>
      </c>
      <c r="C6925" s="1" t="s">
        <v>734</v>
      </c>
      <c r="D6925" s="1" t="s">
        <v>182</v>
      </c>
      <c r="E6925" s="1" t="s">
        <v>87</v>
      </c>
      <c r="F6925" s="2" t="s">
        <v>790</v>
      </c>
      <c r="G6925" s="1">
        <v>7.38</v>
      </c>
      <c r="H6925" s="1">
        <v>2</v>
      </c>
      <c r="I6925" s="1">
        <v>3.3948</v>
      </c>
    </row>
    <row r="6926" spans="1:9" x14ac:dyDescent="0.35">
      <c r="A6926" s="3" t="s">
        <v>3301</v>
      </c>
      <c r="B6926" s="1" t="s">
        <v>1904</v>
      </c>
      <c r="C6926" s="1" t="s">
        <v>135</v>
      </c>
      <c r="D6926" s="1" t="s">
        <v>136</v>
      </c>
      <c r="E6926" s="1" t="s">
        <v>44</v>
      </c>
      <c r="F6926" s="2" t="s">
        <v>1574</v>
      </c>
      <c r="G6926" s="1">
        <v>23.66</v>
      </c>
      <c r="H6926" s="1">
        <v>7</v>
      </c>
      <c r="I6926" s="1">
        <v>10.883599999999999</v>
      </c>
    </row>
    <row r="6927" spans="1:9" x14ac:dyDescent="0.35">
      <c r="A6927" s="3" t="s">
        <v>3301</v>
      </c>
      <c r="B6927" s="1" t="s">
        <v>1904</v>
      </c>
      <c r="C6927" s="1" t="s">
        <v>135</v>
      </c>
      <c r="D6927" s="1" t="s">
        <v>136</v>
      </c>
      <c r="E6927" s="1" t="s">
        <v>12</v>
      </c>
      <c r="F6927" s="2" t="s">
        <v>2578</v>
      </c>
      <c r="G6927" s="1">
        <v>681.40800000000002</v>
      </c>
      <c r="H6927" s="1">
        <v>12</v>
      </c>
      <c r="I6927" s="1">
        <v>42.588000000000001</v>
      </c>
    </row>
    <row r="6928" spans="1:9" x14ac:dyDescent="0.35">
      <c r="A6928" s="3" t="s">
        <v>3668</v>
      </c>
      <c r="B6928" s="1" t="s">
        <v>2689</v>
      </c>
      <c r="C6928" s="1" t="s">
        <v>17</v>
      </c>
      <c r="D6928" s="1" t="s">
        <v>18</v>
      </c>
      <c r="E6928" s="1" t="s">
        <v>19</v>
      </c>
      <c r="F6928" s="2" t="s">
        <v>2881</v>
      </c>
      <c r="G6928" s="1">
        <v>18.899999999999999</v>
      </c>
      <c r="H6928" s="1">
        <v>3</v>
      </c>
      <c r="I6928" s="1">
        <v>8.6940000000000008</v>
      </c>
    </row>
    <row r="6929" spans="1:9" x14ac:dyDescent="0.35">
      <c r="A6929" s="3" t="s">
        <v>3476</v>
      </c>
      <c r="B6929" s="1" t="s">
        <v>329</v>
      </c>
      <c r="C6929" s="1" t="s">
        <v>64</v>
      </c>
      <c r="D6929" s="1" t="s">
        <v>18</v>
      </c>
      <c r="E6929" s="1" t="s">
        <v>26</v>
      </c>
      <c r="F6929" s="2" t="s">
        <v>2058</v>
      </c>
      <c r="G6929" s="1">
        <v>93.68</v>
      </c>
      <c r="H6929" s="1">
        <v>4</v>
      </c>
      <c r="I6929" s="1">
        <v>25.293600000000001</v>
      </c>
    </row>
    <row r="6930" spans="1:9" x14ac:dyDescent="0.35">
      <c r="A6930" s="3" t="s">
        <v>3476</v>
      </c>
      <c r="B6930" s="1" t="s">
        <v>329</v>
      </c>
      <c r="C6930" s="1" t="s">
        <v>64</v>
      </c>
      <c r="D6930" s="1" t="s">
        <v>18</v>
      </c>
      <c r="E6930" s="1" t="s">
        <v>19</v>
      </c>
      <c r="F6930" s="2" t="s">
        <v>1013</v>
      </c>
      <c r="G6930" s="1">
        <v>21.93</v>
      </c>
      <c r="H6930" s="1">
        <v>3</v>
      </c>
      <c r="I6930" s="1">
        <v>10.3071</v>
      </c>
    </row>
    <row r="6931" spans="1:9" x14ac:dyDescent="0.35">
      <c r="A6931" s="3" t="s">
        <v>3476</v>
      </c>
      <c r="B6931" s="1" t="s">
        <v>329</v>
      </c>
      <c r="C6931" s="1" t="s">
        <v>64</v>
      </c>
      <c r="D6931" s="1" t="s">
        <v>18</v>
      </c>
      <c r="E6931" s="1" t="s">
        <v>33</v>
      </c>
      <c r="F6931" s="2" t="s">
        <v>652</v>
      </c>
      <c r="G6931" s="1">
        <v>862.34400000000005</v>
      </c>
      <c r="H6931" s="1">
        <v>7</v>
      </c>
      <c r="I6931" s="1">
        <v>97.0137</v>
      </c>
    </row>
    <row r="6932" spans="1:9" x14ac:dyDescent="0.35">
      <c r="A6932" s="3" t="s">
        <v>3476</v>
      </c>
      <c r="B6932" s="1" t="s">
        <v>329</v>
      </c>
      <c r="C6932" s="1" t="s">
        <v>64</v>
      </c>
      <c r="D6932" s="1" t="s">
        <v>18</v>
      </c>
      <c r="E6932" s="1" t="s">
        <v>44</v>
      </c>
      <c r="F6932" s="2" t="s">
        <v>1189</v>
      </c>
      <c r="G6932" s="1">
        <v>19.98</v>
      </c>
      <c r="H6932" s="1">
        <v>1</v>
      </c>
      <c r="I6932" s="1">
        <v>9.3905999999999992</v>
      </c>
    </row>
    <row r="6933" spans="1:9" x14ac:dyDescent="0.35">
      <c r="A6933" s="3" t="s">
        <v>3314</v>
      </c>
      <c r="B6933" s="1" t="s">
        <v>1656</v>
      </c>
      <c r="C6933" s="1" t="s">
        <v>74</v>
      </c>
      <c r="D6933" s="1" t="s">
        <v>75</v>
      </c>
      <c r="E6933" s="1" t="s">
        <v>33</v>
      </c>
      <c r="F6933" s="2" t="s">
        <v>3032</v>
      </c>
      <c r="G6933" s="1">
        <v>13.494</v>
      </c>
      <c r="H6933" s="1">
        <v>1</v>
      </c>
      <c r="I6933" s="1">
        <v>-2.2490000000000001</v>
      </c>
    </row>
    <row r="6934" spans="1:9" x14ac:dyDescent="0.35">
      <c r="A6934" s="3" t="s">
        <v>3314</v>
      </c>
      <c r="B6934" s="1" t="s">
        <v>1656</v>
      </c>
      <c r="C6934" s="1" t="s">
        <v>74</v>
      </c>
      <c r="D6934" s="1" t="s">
        <v>75</v>
      </c>
      <c r="E6934" s="1" t="s">
        <v>33</v>
      </c>
      <c r="F6934" s="2" t="s">
        <v>2882</v>
      </c>
      <c r="G6934" s="1">
        <v>23.988</v>
      </c>
      <c r="H6934" s="1">
        <v>2</v>
      </c>
      <c r="I6934" s="1">
        <v>-13.993</v>
      </c>
    </row>
    <row r="6935" spans="1:9" x14ac:dyDescent="0.35">
      <c r="A6935" s="3" t="s">
        <v>3314</v>
      </c>
      <c r="B6935" s="1" t="s">
        <v>1656</v>
      </c>
      <c r="C6935" s="1" t="s">
        <v>74</v>
      </c>
      <c r="D6935" s="1" t="s">
        <v>75</v>
      </c>
      <c r="E6935" s="1" t="s">
        <v>29</v>
      </c>
      <c r="F6935" s="2" t="s">
        <v>3025</v>
      </c>
      <c r="G6935" s="1">
        <v>31.984000000000002</v>
      </c>
      <c r="H6935" s="1">
        <v>2</v>
      </c>
      <c r="I6935" s="1">
        <v>1.1994</v>
      </c>
    </row>
    <row r="6936" spans="1:9" x14ac:dyDescent="0.35">
      <c r="A6936" s="3" t="s">
        <v>3314</v>
      </c>
      <c r="B6936" s="1" t="s">
        <v>1656</v>
      </c>
      <c r="C6936" s="1" t="s">
        <v>74</v>
      </c>
      <c r="D6936" s="1" t="s">
        <v>75</v>
      </c>
      <c r="E6936" s="1" t="s">
        <v>31</v>
      </c>
      <c r="F6936" s="2" t="s">
        <v>1783</v>
      </c>
      <c r="G6936" s="1">
        <v>41.584000000000003</v>
      </c>
      <c r="H6936" s="1">
        <v>2</v>
      </c>
      <c r="I6936" s="1">
        <v>4.6782000000000004</v>
      </c>
    </row>
    <row r="6937" spans="1:9" x14ac:dyDescent="0.35">
      <c r="A6937" s="3" t="s">
        <v>3329</v>
      </c>
      <c r="B6937" s="1" t="s">
        <v>654</v>
      </c>
      <c r="C6937" s="1" t="s">
        <v>1766</v>
      </c>
      <c r="D6937" s="1" t="s">
        <v>52</v>
      </c>
      <c r="E6937" s="1" t="s">
        <v>81</v>
      </c>
      <c r="F6937" s="2" t="s">
        <v>223</v>
      </c>
      <c r="G6937" s="1">
        <v>95.975999999999999</v>
      </c>
      <c r="H6937" s="1">
        <v>3</v>
      </c>
      <c r="I6937" s="1">
        <v>-10.7973</v>
      </c>
    </row>
    <row r="6938" spans="1:9" x14ac:dyDescent="0.35">
      <c r="A6938" s="3">
        <v>42409</v>
      </c>
      <c r="B6938" s="1" t="s">
        <v>2300</v>
      </c>
      <c r="C6938" s="1" t="s">
        <v>154</v>
      </c>
      <c r="D6938" s="1" t="s">
        <v>106</v>
      </c>
      <c r="E6938" s="1" t="s">
        <v>29</v>
      </c>
      <c r="F6938" s="2" t="s">
        <v>3033</v>
      </c>
      <c r="G6938" s="1">
        <v>84.272000000000006</v>
      </c>
      <c r="H6938" s="1">
        <v>2</v>
      </c>
      <c r="I6938" s="1">
        <v>-75.844800000000006</v>
      </c>
    </row>
    <row r="6939" spans="1:9" x14ac:dyDescent="0.35">
      <c r="A6939" s="3" t="s">
        <v>3753</v>
      </c>
      <c r="B6939" s="1" t="s">
        <v>1836</v>
      </c>
      <c r="C6939" s="1" t="s">
        <v>1766</v>
      </c>
      <c r="D6939" s="1" t="s">
        <v>52</v>
      </c>
      <c r="E6939" s="1" t="s">
        <v>44</v>
      </c>
      <c r="F6939" s="2" t="s">
        <v>2957</v>
      </c>
      <c r="G6939" s="1">
        <v>36.543999999999997</v>
      </c>
      <c r="H6939" s="1">
        <v>2</v>
      </c>
      <c r="I6939" s="1">
        <v>11.876799999999999</v>
      </c>
    </row>
    <row r="6940" spans="1:9" x14ac:dyDescent="0.35">
      <c r="A6940" s="3">
        <v>42501</v>
      </c>
      <c r="B6940" s="1" t="s">
        <v>1509</v>
      </c>
      <c r="C6940" s="1" t="s">
        <v>47</v>
      </c>
      <c r="D6940" s="1" t="s">
        <v>48</v>
      </c>
      <c r="E6940" s="1" t="s">
        <v>81</v>
      </c>
      <c r="F6940" s="2" t="s">
        <v>3034</v>
      </c>
      <c r="G6940" s="1">
        <v>479.72</v>
      </c>
      <c r="H6940" s="1">
        <v>4</v>
      </c>
      <c r="I6940" s="1">
        <v>52.769199999999998</v>
      </c>
    </row>
    <row r="6941" spans="1:9" x14ac:dyDescent="0.35">
      <c r="A6941" s="3" t="s">
        <v>3420</v>
      </c>
      <c r="B6941" s="1" t="s">
        <v>2180</v>
      </c>
      <c r="C6941" s="1" t="s">
        <v>135</v>
      </c>
      <c r="D6941" s="1" t="s">
        <v>136</v>
      </c>
      <c r="E6941" s="1" t="s">
        <v>35</v>
      </c>
      <c r="F6941" s="2" t="s">
        <v>1167</v>
      </c>
      <c r="G6941" s="1">
        <v>102.36799999999999</v>
      </c>
      <c r="H6941" s="1">
        <v>2</v>
      </c>
      <c r="I6941" s="1">
        <v>37.108400000000003</v>
      </c>
    </row>
    <row r="6942" spans="1:9" x14ac:dyDescent="0.35">
      <c r="A6942" s="3" t="s">
        <v>3420</v>
      </c>
      <c r="B6942" s="1" t="s">
        <v>2180</v>
      </c>
      <c r="C6942" s="1" t="s">
        <v>135</v>
      </c>
      <c r="D6942" s="1" t="s">
        <v>136</v>
      </c>
      <c r="E6942" s="1" t="s">
        <v>289</v>
      </c>
      <c r="F6942" s="2" t="s">
        <v>1176</v>
      </c>
      <c r="G6942" s="1">
        <v>28.4</v>
      </c>
      <c r="H6942" s="1">
        <v>5</v>
      </c>
      <c r="I6942" s="1">
        <v>8.2360000000000007</v>
      </c>
    </row>
    <row r="6943" spans="1:9" x14ac:dyDescent="0.35">
      <c r="A6943" s="3" t="s">
        <v>3420</v>
      </c>
      <c r="B6943" s="1" t="s">
        <v>2180</v>
      </c>
      <c r="C6943" s="1" t="s">
        <v>135</v>
      </c>
      <c r="D6943" s="1" t="s">
        <v>136</v>
      </c>
      <c r="E6943" s="1" t="s">
        <v>26</v>
      </c>
      <c r="F6943" s="2" t="s">
        <v>925</v>
      </c>
      <c r="G6943" s="1">
        <v>713.88</v>
      </c>
      <c r="H6943" s="1">
        <v>4</v>
      </c>
      <c r="I6943" s="1">
        <v>214.16399999999999</v>
      </c>
    </row>
    <row r="6944" spans="1:9" x14ac:dyDescent="0.35">
      <c r="A6944" s="3" t="s">
        <v>3420</v>
      </c>
      <c r="B6944" s="1" t="s">
        <v>2180</v>
      </c>
      <c r="C6944" s="1" t="s">
        <v>135</v>
      </c>
      <c r="D6944" s="1" t="s">
        <v>136</v>
      </c>
      <c r="E6944" s="1" t="s">
        <v>44</v>
      </c>
      <c r="F6944" s="2" t="s">
        <v>2115</v>
      </c>
      <c r="G6944" s="1">
        <v>68.52</v>
      </c>
      <c r="H6944" s="1">
        <v>3</v>
      </c>
      <c r="I6944" s="1">
        <v>31.519200000000001</v>
      </c>
    </row>
    <row r="6945" spans="1:9" x14ac:dyDescent="0.35">
      <c r="A6945" s="3" t="s">
        <v>3261</v>
      </c>
      <c r="B6945" s="1" t="s">
        <v>2576</v>
      </c>
      <c r="C6945" s="1" t="s">
        <v>17</v>
      </c>
      <c r="D6945" s="1" t="s">
        <v>18</v>
      </c>
      <c r="E6945" s="1" t="s">
        <v>33</v>
      </c>
      <c r="F6945" s="2" t="s">
        <v>3035</v>
      </c>
      <c r="G6945" s="1">
        <v>623.96</v>
      </c>
      <c r="H6945" s="1">
        <v>5</v>
      </c>
      <c r="I6945" s="1">
        <v>38.997500000000002</v>
      </c>
    </row>
    <row r="6946" spans="1:9" x14ac:dyDescent="0.35">
      <c r="A6946" s="3" t="s">
        <v>3379</v>
      </c>
      <c r="B6946" s="1" t="s">
        <v>2910</v>
      </c>
      <c r="C6946" s="1" t="s">
        <v>303</v>
      </c>
      <c r="D6946" s="1" t="s">
        <v>124</v>
      </c>
      <c r="E6946" s="1" t="s">
        <v>35</v>
      </c>
      <c r="F6946" s="2" t="s">
        <v>1666</v>
      </c>
      <c r="G6946" s="1">
        <v>11.12</v>
      </c>
      <c r="H6946" s="1">
        <v>4</v>
      </c>
      <c r="I6946" s="1">
        <v>5.4488000000000003</v>
      </c>
    </row>
    <row r="6947" spans="1:9" x14ac:dyDescent="0.35">
      <c r="A6947" s="3" t="s">
        <v>3519</v>
      </c>
      <c r="B6947" s="1" t="s">
        <v>1501</v>
      </c>
      <c r="C6947" s="1" t="s">
        <v>135</v>
      </c>
      <c r="D6947" s="1" t="s">
        <v>136</v>
      </c>
      <c r="E6947" s="1" t="s">
        <v>12</v>
      </c>
      <c r="F6947" s="2" t="s">
        <v>2012</v>
      </c>
      <c r="G6947" s="1">
        <v>523.91999999999996</v>
      </c>
      <c r="H6947" s="1">
        <v>5</v>
      </c>
      <c r="I6947" s="1">
        <v>-26.196000000000002</v>
      </c>
    </row>
    <row r="6948" spans="1:9" x14ac:dyDescent="0.35">
      <c r="A6948" s="3">
        <v>42258</v>
      </c>
      <c r="B6948" s="1" t="s">
        <v>1023</v>
      </c>
      <c r="C6948" s="1" t="s">
        <v>283</v>
      </c>
      <c r="D6948" s="1" t="s">
        <v>18</v>
      </c>
      <c r="E6948" s="1" t="s">
        <v>137</v>
      </c>
      <c r="F6948" s="2" t="s">
        <v>585</v>
      </c>
      <c r="G6948" s="1">
        <v>2.48</v>
      </c>
      <c r="H6948" s="1">
        <v>2</v>
      </c>
      <c r="I6948" s="1">
        <v>1.1656</v>
      </c>
    </row>
    <row r="6949" spans="1:9" x14ac:dyDescent="0.35">
      <c r="A6949" s="3" t="s">
        <v>3338</v>
      </c>
      <c r="B6949" s="1" t="s">
        <v>908</v>
      </c>
      <c r="C6949" s="1" t="s">
        <v>228</v>
      </c>
      <c r="D6949" s="1" t="s">
        <v>106</v>
      </c>
      <c r="E6949" s="1" t="s">
        <v>26</v>
      </c>
      <c r="F6949" s="2" t="s">
        <v>1585</v>
      </c>
      <c r="G6949" s="1">
        <v>221.024</v>
      </c>
      <c r="H6949" s="1">
        <v>2</v>
      </c>
      <c r="I6949" s="1">
        <v>-55.256</v>
      </c>
    </row>
    <row r="6950" spans="1:9" x14ac:dyDescent="0.35">
      <c r="A6950" s="3" t="s">
        <v>3338</v>
      </c>
      <c r="B6950" s="1" t="s">
        <v>908</v>
      </c>
      <c r="C6950" s="1" t="s">
        <v>228</v>
      </c>
      <c r="D6950" s="1" t="s">
        <v>106</v>
      </c>
      <c r="E6950" s="1" t="s">
        <v>14</v>
      </c>
      <c r="F6950" s="2" t="s">
        <v>2554</v>
      </c>
      <c r="G6950" s="1">
        <v>128.05799999999999</v>
      </c>
      <c r="H6950" s="1">
        <v>3</v>
      </c>
      <c r="I6950" s="1">
        <v>-23.7822</v>
      </c>
    </row>
    <row r="6951" spans="1:9" x14ac:dyDescent="0.35">
      <c r="A6951" s="3" t="s">
        <v>3194</v>
      </c>
      <c r="B6951" s="1" t="s">
        <v>1450</v>
      </c>
      <c r="C6951" s="1" t="s">
        <v>135</v>
      </c>
      <c r="D6951" s="1" t="s">
        <v>136</v>
      </c>
      <c r="E6951" s="1" t="s">
        <v>35</v>
      </c>
      <c r="F6951" s="2" t="s">
        <v>1876</v>
      </c>
      <c r="G6951" s="1">
        <v>58.408000000000001</v>
      </c>
      <c r="H6951" s="1">
        <v>7</v>
      </c>
      <c r="I6951" s="1">
        <v>18.252500000000001</v>
      </c>
    </row>
    <row r="6952" spans="1:9" x14ac:dyDescent="0.35">
      <c r="A6952" s="3" t="s">
        <v>3194</v>
      </c>
      <c r="B6952" s="1" t="s">
        <v>1450</v>
      </c>
      <c r="C6952" s="1" t="s">
        <v>135</v>
      </c>
      <c r="D6952" s="1" t="s">
        <v>136</v>
      </c>
      <c r="E6952" s="1" t="s">
        <v>24</v>
      </c>
      <c r="F6952" s="2" t="s">
        <v>1634</v>
      </c>
      <c r="G6952" s="1">
        <v>79.974000000000004</v>
      </c>
      <c r="H6952" s="1">
        <v>3</v>
      </c>
      <c r="I6952" s="1">
        <v>-29.323799999999999</v>
      </c>
    </row>
    <row r="6953" spans="1:9" x14ac:dyDescent="0.35">
      <c r="A6953" s="3" t="s">
        <v>3495</v>
      </c>
      <c r="B6953" s="1" t="s">
        <v>561</v>
      </c>
      <c r="C6953" s="1" t="s">
        <v>399</v>
      </c>
      <c r="D6953" s="1" t="s">
        <v>52</v>
      </c>
      <c r="E6953" s="1" t="s">
        <v>338</v>
      </c>
      <c r="F6953" s="2" t="s">
        <v>3036</v>
      </c>
      <c r="G6953" s="1">
        <v>479.988</v>
      </c>
      <c r="H6953" s="1">
        <v>2</v>
      </c>
      <c r="I6953" s="1">
        <v>55.998600000000003</v>
      </c>
    </row>
    <row r="6954" spans="1:9" x14ac:dyDescent="0.35">
      <c r="A6954" s="3">
        <v>42045</v>
      </c>
      <c r="B6954" s="1" t="s">
        <v>165</v>
      </c>
      <c r="C6954" s="1" t="s">
        <v>17</v>
      </c>
      <c r="D6954" s="1" t="s">
        <v>18</v>
      </c>
      <c r="E6954" s="1" t="s">
        <v>35</v>
      </c>
      <c r="F6954" s="2" t="s">
        <v>1962</v>
      </c>
      <c r="G6954" s="1">
        <v>11.808</v>
      </c>
      <c r="H6954" s="1">
        <v>3</v>
      </c>
      <c r="I6954" s="1">
        <v>4.1327999999999996</v>
      </c>
    </row>
    <row r="6955" spans="1:9" x14ac:dyDescent="0.35">
      <c r="A6955" s="3">
        <v>42045</v>
      </c>
      <c r="B6955" s="1" t="s">
        <v>165</v>
      </c>
      <c r="C6955" s="1" t="s">
        <v>17</v>
      </c>
      <c r="D6955" s="1" t="s">
        <v>18</v>
      </c>
      <c r="E6955" s="1" t="s">
        <v>35</v>
      </c>
      <c r="F6955" s="2" t="s">
        <v>2656</v>
      </c>
      <c r="G6955" s="1">
        <v>53.567999999999998</v>
      </c>
      <c r="H6955" s="1">
        <v>4</v>
      </c>
      <c r="I6955" s="1">
        <v>19.418399999999998</v>
      </c>
    </row>
    <row r="6956" spans="1:9" x14ac:dyDescent="0.35">
      <c r="A6956" s="3">
        <v>42045</v>
      </c>
      <c r="B6956" s="1" t="s">
        <v>165</v>
      </c>
      <c r="C6956" s="1" t="s">
        <v>17</v>
      </c>
      <c r="D6956" s="1" t="s">
        <v>18</v>
      </c>
      <c r="E6956" s="1" t="s">
        <v>33</v>
      </c>
      <c r="F6956" s="2" t="s">
        <v>2268</v>
      </c>
      <c r="G6956" s="1">
        <v>503.96</v>
      </c>
      <c r="H6956" s="1">
        <v>5</v>
      </c>
      <c r="I6956" s="1">
        <v>50.396000000000001</v>
      </c>
    </row>
    <row r="6957" spans="1:9" x14ac:dyDescent="0.35">
      <c r="A6957" s="3" t="s">
        <v>3338</v>
      </c>
      <c r="B6957" s="1" t="s">
        <v>1199</v>
      </c>
      <c r="C6957" s="1" t="s">
        <v>17</v>
      </c>
      <c r="D6957" s="1" t="s">
        <v>18</v>
      </c>
      <c r="E6957" s="1" t="s">
        <v>87</v>
      </c>
      <c r="F6957" s="2" t="s">
        <v>1310</v>
      </c>
      <c r="G6957" s="1">
        <v>21.34</v>
      </c>
      <c r="H6957" s="1">
        <v>2</v>
      </c>
      <c r="I6957" s="1">
        <v>9.8163999999999998</v>
      </c>
    </row>
    <row r="6958" spans="1:9" x14ac:dyDescent="0.35">
      <c r="A6958" s="3" t="s">
        <v>3582</v>
      </c>
      <c r="B6958" s="1" t="s">
        <v>3037</v>
      </c>
      <c r="C6958" s="1" t="s">
        <v>249</v>
      </c>
      <c r="D6958" s="1" t="s">
        <v>604</v>
      </c>
      <c r="E6958" s="1" t="s">
        <v>35</v>
      </c>
      <c r="F6958" s="2" t="s">
        <v>2224</v>
      </c>
      <c r="G6958" s="1">
        <v>36.4</v>
      </c>
      <c r="H6958" s="1">
        <v>5</v>
      </c>
      <c r="I6958" s="1">
        <v>17.108000000000001</v>
      </c>
    </row>
    <row r="6959" spans="1:9" x14ac:dyDescent="0.35">
      <c r="A6959" s="3" t="s">
        <v>3582</v>
      </c>
      <c r="B6959" s="1" t="s">
        <v>3037</v>
      </c>
      <c r="C6959" s="1" t="s">
        <v>249</v>
      </c>
      <c r="D6959" s="1" t="s">
        <v>604</v>
      </c>
      <c r="E6959" s="1" t="s">
        <v>29</v>
      </c>
      <c r="F6959" s="2" t="s">
        <v>86</v>
      </c>
      <c r="G6959" s="1">
        <v>51.75</v>
      </c>
      <c r="H6959" s="1">
        <v>1</v>
      </c>
      <c r="I6959" s="1">
        <v>15.525</v>
      </c>
    </row>
    <row r="6960" spans="1:9" x14ac:dyDescent="0.35">
      <c r="A6960" s="3" t="s">
        <v>3393</v>
      </c>
      <c r="B6960" s="1" t="s">
        <v>2019</v>
      </c>
      <c r="C6960" s="1" t="s">
        <v>64</v>
      </c>
      <c r="D6960" s="1" t="s">
        <v>18</v>
      </c>
      <c r="E6960" s="1" t="s">
        <v>26</v>
      </c>
      <c r="F6960" s="2" t="s">
        <v>374</v>
      </c>
      <c r="G6960" s="1">
        <v>15.51</v>
      </c>
      <c r="H6960" s="1">
        <v>1</v>
      </c>
      <c r="I6960" s="1">
        <v>4.3428000000000004</v>
      </c>
    </row>
    <row r="6961" spans="1:9" x14ac:dyDescent="0.35">
      <c r="A6961" s="3" t="s">
        <v>3393</v>
      </c>
      <c r="B6961" s="1" t="s">
        <v>2019</v>
      </c>
      <c r="C6961" s="1" t="s">
        <v>64</v>
      </c>
      <c r="D6961" s="1" t="s">
        <v>18</v>
      </c>
      <c r="E6961" s="1" t="s">
        <v>44</v>
      </c>
      <c r="F6961" s="2" t="s">
        <v>280</v>
      </c>
      <c r="G6961" s="1">
        <v>146.82</v>
      </c>
      <c r="H6961" s="1">
        <v>3</v>
      </c>
      <c r="I6961" s="1">
        <v>73.41</v>
      </c>
    </row>
    <row r="6962" spans="1:9" x14ac:dyDescent="0.35">
      <c r="A6962" s="3" t="s">
        <v>3393</v>
      </c>
      <c r="B6962" s="1" t="s">
        <v>2019</v>
      </c>
      <c r="C6962" s="1" t="s">
        <v>64</v>
      </c>
      <c r="D6962" s="1" t="s">
        <v>18</v>
      </c>
      <c r="E6962" s="1" t="s">
        <v>44</v>
      </c>
      <c r="F6962" s="2" t="s">
        <v>878</v>
      </c>
      <c r="G6962" s="1">
        <v>12.96</v>
      </c>
      <c r="H6962" s="1">
        <v>2</v>
      </c>
      <c r="I6962" s="1">
        <v>6.2207999999999997</v>
      </c>
    </row>
    <row r="6963" spans="1:9" x14ac:dyDescent="0.35">
      <c r="A6963" s="3">
        <v>43019</v>
      </c>
      <c r="B6963" s="1" t="s">
        <v>1284</v>
      </c>
      <c r="C6963" s="1" t="s">
        <v>1263</v>
      </c>
      <c r="D6963" s="1" t="s">
        <v>18</v>
      </c>
      <c r="E6963" s="1" t="s">
        <v>31</v>
      </c>
      <c r="F6963" s="2" t="s">
        <v>1726</v>
      </c>
      <c r="G6963" s="1">
        <v>7.8</v>
      </c>
      <c r="H6963" s="1">
        <v>3</v>
      </c>
      <c r="I6963" s="1">
        <v>2.1059999999999999</v>
      </c>
    </row>
    <row r="6964" spans="1:9" x14ac:dyDescent="0.35">
      <c r="A6964" s="3" t="s">
        <v>3381</v>
      </c>
      <c r="B6964" s="1" t="s">
        <v>291</v>
      </c>
      <c r="C6964" s="1" t="s">
        <v>193</v>
      </c>
      <c r="D6964" s="1" t="s">
        <v>194</v>
      </c>
      <c r="E6964" s="1" t="s">
        <v>87</v>
      </c>
      <c r="F6964" s="2" t="s">
        <v>88</v>
      </c>
      <c r="G6964" s="1">
        <v>10.199999999999999</v>
      </c>
      <c r="H6964" s="1">
        <v>5</v>
      </c>
      <c r="I6964" s="1">
        <v>4.7939999999999996</v>
      </c>
    </row>
    <row r="6965" spans="1:9" x14ac:dyDescent="0.35">
      <c r="A6965" s="3" t="s">
        <v>3381</v>
      </c>
      <c r="B6965" s="1" t="s">
        <v>291</v>
      </c>
      <c r="C6965" s="1" t="s">
        <v>193</v>
      </c>
      <c r="D6965" s="1" t="s">
        <v>194</v>
      </c>
      <c r="E6965" s="1" t="s">
        <v>31</v>
      </c>
      <c r="F6965" s="2" t="s">
        <v>2413</v>
      </c>
      <c r="G6965" s="1">
        <v>22.32</v>
      </c>
      <c r="H6965" s="1">
        <v>3</v>
      </c>
      <c r="I6965" s="1">
        <v>5.58</v>
      </c>
    </row>
    <row r="6966" spans="1:9" x14ac:dyDescent="0.35">
      <c r="A6966" s="3" t="s">
        <v>3381</v>
      </c>
      <c r="B6966" s="1" t="s">
        <v>291</v>
      </c>
      <c r="C6966" s="1" t="s">
        <v>193</v>
      </c>
      <c r="D6966" s="1" t="s">
        <v>194</v>
      </c>
      <c r="E6966" s="1" t="s">
        <v>35</v>
      </c>
      <c r="F6966" s="2" t="s">
        <v>965</v>
      </c>
      <c r="G6966" s="1">
        <v>24.1</v>
      </c>
      <c r="H6966" s="1">
        <v>5</v>
      </c>
      <c r="I6966" s="1">
        <v>11.086</v>
      </c>
    </row>
    <row r="6967" spans="1:9" x14ac:dyDescent="0.35">
      <c r="A6967" s="3" t="s">
        <v>3381</v>
      </c>
      <c r="B6967" s="1" t="s">
        <v>291</v>
      </c>
      <c r="C6967" s="1" t="s">
        <v>193</v>
      </c>
      <c r="D6967" s="1" t="s">
        <v>194</v>
      </c>
      <c r="E6967" s="1" t="s">
        <v>81</v>
      </c>
      <c r="F6967" s="2" t="s">
        <v>2164</v>
      </c>
      <c r="G6967" s="1">
        <v>75.98</v>
      </c>
      <c r="H6967" s="1">
        <v>2</v>
      </c>
      <c r="I6967" s="1">
        <v>18.235199999999999</v>
      </c>
    </row>
    <row r="6968" spans="1:9" x14ac:dyDescent="0.35">
      <c r="A6968" s="3" t="s">
        <v>3381</v>
      </c>
      <c r="B6968" s="1" t="s">
        <v>291</v>
      </c>
      <c r="C6968" s="1" t="s">
        <v>193</v>
      </c>
      <c r="D6968" s="1" t="s">
        <v>194</v>
      </c>
      <c r="E6968" s="1" t="s">
        <v>35</v>
      </c>
      <c r="F6968" s="2" t="s">
        <v>905</v>
      </c>
      <c r="G6968" s="1">
        <v>6.46</v>
      </c>
      <c r="H6968" s="1">
        <v>2</v>
      </c>
      <c r="I6968" s="1">
        <v>3.1654</v>
      </c>
    </row>
    <row r="6969" spans="1:9" x14ac:dyDescent="0.35">
      <c r="A6969" s="3" t="s">
        <v>3381</v>
      </c>
      <c r="B6969" s="1" t="s">
        <v>291</v>
      </c>
      <c r="C6969" s="1" t="s">
        <v>193</v>
      </c>
      <c r="D6969" s="1" t="s">
        <v>194</v>
      </c>
      <c r="E6969" s="1" t="s">
        <v>44</v>
      </c>
      <c r="F6969" s="2" t="s">
        <v>2671</v>
      </c>
      <c r="G6969" s="1">
        <v>60.12</v>
      </c>
      <c r="H6969" s="1">
        <v>9</v>
      </c>
      <c r="I6969" s="1">
        <v>28.857600000000001</v>
      </c>
    </row>
    <row r="6970" spans="1:9" x14ac:dyDescent="0.35">
      <c r="A6970" s="3" t="s">
        <v>3754</v>
      </c>
      <c r="B6970" s="1" t="s">
        <v>699</v>
      </c>
      <c r="C6970" s="1" t="s">
        <v>135</v>
      </c>
      <c r="D6970" s="1" t="s">
        <v>136</v>
      </c>
      <c r="E6970" s="1" t="s">
        <v>33</v>
      </c>
      <c r="F6970" s="2" t="s">
        <v>1515</v>
      </c>
      <c r="G6970" s="1">
        <v>824.97</v>
      </c>
      <c r="H6970" s="1">
        <v>3</v>
      </c>
      <c r="I6970" s="1">
        <v>214.4922</v>
      </c>
    </row>
    <row r="6971" spans="1:9" x14ac:dyDescent="0.35">
      <c r="A6971" s="3">
        <v>42644</v>
      </c>
      <c r="B6971" s="1" t="s">
        <v>2446</v>
      </c>
      <c r="C6971" s="1" t="s">
        <v>2980</v>
      </c>
      <c r="D6971" s="1" t="s">
        <v>48</v>
      </c>
      <c r="E6971" s="1" t="s">
        <v>29</v>
      </c>
      <c r="F6971" s="2" t="s">
        <v>939</v>
      </c>
      <c r="G6971" s="1">
        <v>24.85</v>
      </c>
      <c r="H6971" s="1">
        <v>5</v>
      </c>
      <c r="I6971" s="1">
        <v>7.7035</v>
      </c>
    </row>
    <row r="6972" spans="1:9" x14ac:dyDescent="0.35">
      <c r="A6972" s="3" t="s">
        <v>3154</v>
      </c>
      <c r="B6972" s="1" t="s">
        <v>1641</v>
      </c>
      <c r="C6972" s="1" t="s">
        <v>272</v>
      </c>
      <c r="D6972" s="1" t="s">
        <v>158</v>
      </c>
      <c r="E6972" s="1" t="s">
        <v>26</v>
      </c>
      <c r="F6972" s="2" t="s">
        <v>2592</v>
      </c>
      <c r="G6972" s="1">
        <v>12.624000000000001</v>
      </c>
      <c r="H6972" s="1">
        <v>2</v>
      </c>
      <c r="I6972" s="1">
        <v>-2.5247999999999999</v>
      </c>
    </row>
    <row r="6973" spans="1:9" x14ac:dyDescent="0.35">
      <c r="A6973" s="3" t="s">
        <v>3154</v>
      </c>
      <c r="B6973" s="1" t="s">
        <v>1641</v>
      </c>
      <c r="C6973" s="1" t="s">
        <v>272</v>
      </c>
      <c r="D6973" s="1" t="s">
        <v>158</v>
      </c>
      <c r="E6973" s="1" t="s">
        <v>81</v>
      </c>
      <c r="F6973" s="2" t="s">
        <v>418</v>
      </c>
      <c r="G6973" s="1">
        <v>89.584000000000003</v>
      </c>
      <c r="H6973" s="1">
        <v>2</v>
      </c>
      <c r="I6973" s="1">
        <v>4.4791999999999996</v>
      </c>
    </row>
    <row r="6974" spans="1:9" x14ac:dyDescent="0.35">
      <c r="A6974" s="3" t="s">
        <v>3154</v>
      </c>
      <c r="B6974" s="1" t="s">
        <v>1641</v>
      </c>
      <c r="C6974" s="1" t="s">
        <v>272</v>
      </c>
      <c r="D6974" s="1" t="s">
        <v>158</v>
      </c>
      <c r="E6974" s="1" t="s">
        <v>33</v>
      </c>
      <c r="F6974" s="2" t="s">
        <v>2563</v>
      </c>
      <c r="G6974" s="1">
        <v>471.92</v>
      </c>
      <c r="H6974" s="1">
        <v>2</v>
      </c>
      <c r="I6974" s="1">
        <v>29.495000000000001</v>
      </c>
    </row>
    <row r="6975" spans="1:9" x14ac:dyDescent="0.35">
      <c r="A6975" s="3" t="s">
        <v>3154</v>
      </c>
      <c r="B6975" s="1" t="s">
        <v>1641</v>
      </c>
      <c r="C6975" s="1" t="s">
        <v>272</v>
      </c>
      <c r="D6975" s="1" t="s">
        <v>158</v>
      </c>
      <c r="E6975" s="1" t="s">
        <v>35</v>
      </c>
      <c r="F6975" s="2" t="s">
        <v>146</v>
      </c>
      <c r="G6975" s="1">
        <v>18.18</v>
      </c>
      <c r="H6975" s="1">
        <v>4</v>
      </c>
      <c r="I6975" s="1">
        <v>-13.938000000000001</v>
      </c>
    </row>
    <row r="6976" spans="1:9" x14ac:dyDescent="0.35">
      <c r="A6976" s="3" t="s">
        <v>3687</v>
      </c>
      <c r="B6976" s="1" t="s">
        <v>901</v>
      </c>
      <c r="C6976" s="1" t="s">
        <v>93</v>
      </c>
      <c r="D6976" s="1" t="s">
        <v>52</v>
      </c>
      <c r="E6976" s="1" t="s">
        <v>31</v>
      </c>
      <c r="F6976" s="2" t="s">
        <v>2615</v>
      </c>
      <c r="G6976" s="1">
        <v>31.744</v>
      </c>
      <c r="H6976" s="1">
        <v>2</v>
      </c>
      <c r="I6976" s="1">
        <v>8.3328000000000007</v>
      </c>
    </row>
    <row r="6977" spans="1:9" x14ac:dyDescent="0.35">
      <c r="A6977" s="3" t="s">
        <v>3755</v>
      </c>
      <c r="B6977" s="1" t="s">
        <v>1390</v>
      </c>
      <c r="C6977" s="1" t="s">
        <v>157</v>
      </c>
      <c r="D6977" s="1" t="s">
        <v>158</v>
      </c>
      <c r="E6977" s="1" t="s">
        <v>19</v>
      </c>
      <c r="F6977" s="2" t="s">
        <v>1902</v>
      </c>
      <c r="G6977" s="1">
        <v>5.9039999999999999</v>
      </c>
      <c r="H6977" s="1">
        <v>2</v>
      </c>
      <c r="I6977" s="1">
        <v>1.9925999999999999</v>
      </c>
    </row>
    <row r="6978" spans="1:9" x14ac:dyDescent="0.35">
      <c r="A6978" s="3" t="s">
        <v>3755</v>
      </c>
      <c r="B6978" s="1" t="s">
        <v>1390</v>
      </c>
      <c r="C6978" s="1" t="s">
        <v>157</v>
      </c>
      <c r="D6978" s="1" t="s">
        <v>158</v>
      </c>
      <c r="E6978" s="1" t="s">
        <v>29</v>
      </c>
      <c r="F6978" s="2" t="s">
        <v>1099</v>
      </c>
      <c r="G6978" s="1">
        <v>621.76</v>
      </c>
      <c r="H6978" s="1">
        <v>4</v>
      </c>
      <c r="I6978" s="1">
        <v>46.631999999999998</v>
      </c>
    </row>
    <row r="6979" spans="1:9" x14ac:dyDescent="0.35">
      <c r="A6979" s="3" t="s">
        <v>3399</v>
      </c>
      <c r="B6979" s="1" t="s">
        <v>851</v>
      </c>
      <c r="C6979" s="1" t="s">
        <v>1418</v>
      </c>
      <c r="D6979" s="1" t="s">
        <v>797</v>
      </c>
      <c r="E6979" s="1" t="s">
        <v>33</v>
      </c>
      <c r="F6979" s="2" t="s">
        <v>1665</v>
      </c>
      <c r="G6979" s="1">
        <v>59.98</v>
      </c>
      <c r="H6979" s="1">
        <v>2</v>
      </c>
      <c r="I6979" s="1">
        <v>17.994</v>
      </c>
    </row>
    <row r="6980" spans="1:9" x14ac:dyDescent="0.35">
      <c r="A6980" s="3" t="s">
        <v>3462</v>
      </c>
      <c r="B6980" s="1" t="s">
        <v>463</v>
      </c>
      <c r="C6980" s="1" t="s">
        <v>811</v>
      </c>
      <c r="D6980" s="1" t="s">
        <v>604</v>
      </c>
      <c r="E6980" s="1" t="s">
        <v>44</v>
      </c>
      <c r="F6980" s="2" t="s">
        <v>679</v>
      </c>
      <c r="G6980" s="1">
        <v>48.87</v>
      </c>
      <c r="H6980" s="1">
        <v>9</v>
      </c>
      <c r="I6980" s="1">
        <v>23.946300000000001</v>
      </c>
    </row>
    <row r="6981" spans="1:9" x14ac:dyDescent="0.35">
      <c r="A6981" s="3" t="s">
        <v>3512</v>
      </c>
      <c r="B6981" s="1" t="s">
        <v>21</v>
      </c>
      <c r="C6981" s="1" t="s">
        <v>17</v>
      </c>
      <c r="D6981" s="1" t="s">
        <v>18</v>
      </c>
      <c r="E6981" s="1" t="s">
        <v>44</v>
      </c>
      <c r="F6981" s="2" t="s">
        <v>2815</v>
      </c>
      <c r="G6981" s="1">
        <v>154.9</v>
      </c>
      <c r="H6981" s="1">
        <v>5</v>
      </c>
      <c r="I6981" s="1">
        <v>69.704999999999998</v>
      </c>
    </row>
    <row r="6982" spans="1:9" x14ac:dyDescent="0.35">
      <c r="A6982" s="3">
        <v>41831</v>
      </c>
      <c r="B6982" s="1" t="s">
        <v>654</v>
      </c>
      <c r="C6982" s="1" t="s">
        <v>135</v>
      </c>
      <c r="D6982" s="1" t="s">
        <v>136</v>
      </c>
      <c r="E6982" s="1" t="s">
        <v>137</v>
      </c>
      <c r="F6982" s="2" t="s">
        <v>1818</v>
      </c>
      <c r="G6982" s="1">
        <v>5.92</v>
      </c>
      <c r="H6982" s="1">
        <v>4</v>
      </c>
      <c r="I6982" s="1">
        <v>2.8416000000000001</v>
      </c>
    </row>
    <row r="6983" spans="1:9" x14ac:dyDescent="0.35">
      <c r="A6983" s="3">
        <v>41831</v>
      </c>
      <c r="B6983" s="1" t="s">
        <v>654</v>
      </c>
      <c r="C6983" s="1" t="s">
        <v>135</v>
      </c>
      <c r="D6983" s="1" t="s">
        <v>136</v>
      </c>
      <c r="E6983" s="1" t="s">
        <v>44</v>
      </c>
      <c r="F6983" s="2" t="s">
        <v>2670</v>
      </c>
      <c r="G6983" s="1">
        <v>30.18</v>
      </c>
      <c r="H6983" s="1">
        <v>3</v>
      </c>
      <c r="I6983" s="1">
        <v>13.8828</v>
      </c>
    </row>
    <row r="6984" spans="1:9" x14ac:dyDescent="0.35">
      <c r="A6984" s="3">
        <v>42378</v>
      </c>
      <c r="B6984" s="1" t="s">
        <v>1279</v>
      </c>
      <c r="C6984" s="1" t="s">
        <v>429</v>
      </c>
      <c r="D6984" s="1" t="s">
        <v>120</v>
      </c>
      <c r="E6984" s="1" t="s">
        <v>35</v>
      </c>
      <c r="F6984" s="2" t="s">
        <v>965</v>
      </c>
      <c r="G6984" s="1">
        <v>24.1</v>
      </c>
      <c r="H6984" s="1">
        <v>5</v>
      </c>
      <c r="I6984" s="1">
        <v>11.086</v>
      </c>
    </row>
    <row r="6985" spans="1:9" x14ac:dyDescent="0.35">
      <c r="A6985" s="3">
        <v>42378</v>
      </c>
      <c r="B6985" s="1" t="s">
        <v>1279</v>
      </c>
      <c r="C6985" s="1" t="s">
        <v>429</v>
      </c>
      <c r="D6985" s="1" t="s">
        <v>120</v>
      </c>
      <c r="E6985" s="1" t="s">
        <v>33</v>
      </c>
      <c r="F6985" s="2" t="s">
        <v>739</v>
      </c>
      <c r="G6985" s="1">
        <v>8.7799999999999994</v>
      </c>
      <c r="H6985" s="1">
        <v>1</v>
      </c>
      <c r="I6985" s="1">
        <v>2.2827999999999999</v>
      </c>
    </row>
    <row r="6986" spans="1:9" x14ac:dyDescent="0.35">
      <c r="A6986" s="3">
        <v>42378</v>
      </c>
      <c r="B6986" s="1" t="s">
        <v>1279</v>
      </c>
      <c r="C6986" s="1" t="s">
        <v>429</v>
      </c>
      <c r="D6986" s="1" t="s">
        <v>120</v>
      </c>
      <c r="E6986" s="1" t="s">
        <v>37</v>
      </c>
      <c r="F6986" s="2" t="s">
        <v>976</v>
      </c>
      <c r="G6986" s="1">
        <v>376.74</v>
      </c>
      <c r="H6986" s="1">
        <v>4</v>
      </c>
      <c r="I6986" s="1">
        <v>71.162000000000006</v>
      </c>
    </row>
    <row r="6987" spans="1:9" x14ac:dyDescent="0.35">
      <c r="A6987" s="3">
        <v>42378</v>
      </c>
      <c r="B6987" s="1" t="s">
        <v>1279</v>
      </c>
      <c r="C6987" s="1" t="s">
        <v>429</v>
      </c>
      <c r="D6987" s="1" t="s">
        <v>120</v>
      </c>
      <c r="E6987" s="1" t="s">
        <v>35</v>
      </c>
      <c r="F6987" s="2" t="s">
        <v>1333</v>
      </c>
      <c r="G6987" s="1">
        <v>29.52</v>
      </c>
      <c r="H6987" s="1">
        <v>4</v>
      </c>
      <c r="I6987" s="1">
        <v>14.4648</v>
      </c>
    </row>
    <row r="6988" spans="1:9" x14ac:dyDescent="0.35">
      <c r="A6988" s="3">
        <v>42378</v>
      </c>
      <c r="B6988" s="1" t="s">
        <v>1279</v>
      </c>
      <c r="C6988" s="1" t="s">
        <v>429</v>
      </c>
      <c r="D6988" s="1" t="s">
        <v>120</v>
      </c>
      <c r="E6988" s="1" t="s">
        <v>31</v>
      </c>
      <c r="F6988" s="2" t="s">
        <v>1483</v>
      </c>
      <c r="G6988" s="1">
        <v>11.96</v>
      </c>
      <c r="H6988" s="1">
        <v>2</v>
      </c>
      <c r="I6988" s="1">
        <v>2.99</v>
      </c>
    </row>
    <row r="6989" spans="1:9" x14ac:dyDescent="0.35">
      <c r="A6989" s="3">
        <v>42378</v>
      </c>
      <c r="B6989" s="1" t="s">
        <v>1279</v>
      </c>
      <c r="C6989" s="1" t="s">
        <v>429</v>
      </c>
      <c r="D6989" s="1" t="s">
        <v>120</v>
      </c>
      <c r="E6989" s="1" t="s">
        <v>35</v>
      </c>
      <c r="F6989" s="2" t="s">
        <v>1819</v>
      </c>
      <c r="G6989" s="1">
        <v>26.4</v>
      </c>
      <c r="H6989" s="1">
        <v>5</v>
      </c>
      <c r="I6989" s="1">
        <v>12.672000000000001</v>
      </c>
    </row>
    <row r="6990" spans="1:9" x14ac:dyDescent="0.35">
      <c r="A6990" s="3">
        <v>43050</v>
      </c>
      <c r="B6990" s="1" t="s">
        <v>722</v>
      </c>
      <c r="C6990" s="1" t="s">
        <v>22</v>
      </c>
      <c r="D6990" s="1" t="s">
        <v>23</v>
      </c>
      <c r="E6990" s="1" t="s">
        <v>37</v>
      </c>
      <c r="F6990" s="2" t="s">
        <v>2257</v>
      </c>
      <c r="G6990" s="1">
        <v>1158.1199999999999</v>
      </c>
      <c r="H6990" s="1">
        <v>5</v>
      </c>
      <c r="I6990" s="1">
        <v>130.2885</v>
      </c>
    </row>
    <row r="6991" spans="1:9" x14ac:dyDescent="0.35">
      <c r="A6991" s="3">
        <v>43051</v>
      </c>
      <c r="B6991" s="1" t="s">
        <v>2113</v>
      </c>
      <c r="C6991" s="1" t="s">
        <v>3038</v>
      </c>
      <c r="D6991" s="1" t="s">
        <v>52</v>
      </c>
      <c r="E6991" s="1" t="s">
        <v>37</v>
      </c>
      <c r="F6991" s="2" t="s">
        <v>3039</v>
      </c>
      <c r="G6991" s="1">
        <v>1.3919999999999999</v>
      </c>
      <c r="H6991" s="1">
        <v>2</v>
      </c>
      <c r="I6991" s="1">
        <v>-3.7584</v>
      </c>
    </row>
    <row r="6992" spans="1:9" x14ac:dyDescent="0.35">
      <c r="A6992" s="3">
        <v>42227</v>
      </c>
      <c r="B6992" s="1" t="s">
        <v>2096</v>
      </c>
      <c r="C6992" s="1" t="s">
        <v>2782</v>
      </c>
      <c r="D6992" s="1" t="s">
        <v>163</v>
      </c>
      <c r="E6992" s="1" t="s">
        <v>37</v>
      </c>
      <c r="F6992" s="2" t="s">
        <v>1165</v>
      </c>
      <c r="G6992" s="1">
        <v>44.43</v>
      </c>
      <c r="H6992" s="1">
        <v>3</v>
      </c>
      <c r="I6992" s="1">
        <v>18.660599999999999</v>
      </c>
    </row>
    <row r="6993" spans="1:9" x14ac:dyDescent="0.35">
      <c r="A6993" s="3">
        <v>42227</v>
      </c>
      <c r="B6993" s="1" t="s">
        <v>2096</v>
      </c>
      <c r="C6993" s="1" t="s">
        <v>2782</v>
      </c>
      <c r="D6993" s="1" t="s">
        <v>163</v>
      </c>
      <c r="E6993" s="1" t="s">
        <v>33</v>
      </c>
      <c r="F6993" s="2" t="s">
        <v>2334</v>
      </c>
      <c r="G6993" s="1">
        <v>226.2</v>
      </c>
      <c r="H6993" s="1">
        <v>5</v>
      </c>
      <c r="I6993" s="1">
        <v>58.811999999999998</v>
      </c>
    </row>
    <row r="6994" spans="1:9" x14ac:dyDescent="0.35">
      <c r="A6994" s="3">
        <v>42227</v>
      </c>
      <c r="B6994" s="1" t="s">
        <v>2096</v>
      </c>
      <c r="C6994" s="1" t="s">
        <v>2782</v>
      </c>
      <c r="D6994" s="1" t="s">
        <v>163</v>
      </c>
      <c r="E6994" s="1" t="s">
        <v>29</v>
      </c>
      <c r="F6994" s="2" t="s">
        <v>2145</v>
      </c>
      <c r="G6994" s="1">
        <v>186.54</v>
      </c>
      <c r="H6994" s="1">
        <v>3</v>
      </c>
      <c r="I6994" s="1">
        <v>41.038800000000002</v>
      </c>
    </row>
    <row r="6995" spans="1:9" x14ac:dyDescent="0.35">
      <c r="A6995" s="3">
        <v>42227</v>
      </c>
      <c r="B6995" s="1" t="s">
        <v>2096</v>
      </c>
      <c r="C6995" s="1" t="s">
        <v>2782</v>
      </c>
      <c r="D6995" s="1" t="s">
        <v>163</v>
      </c>
      <c r="E6995" s="1" t="s">
        <v>31</v>
      </c>
      <c r="F6995" s="2" t="s">
        <v>246</v>
      </c>
      <c r="G6995" s="1">
        <v>265.86</v>
      </c>
      <c r="H6995" s="1">
        <v>7</v>
      </c>
      <c r="I6995" s="1">
        <v>79.757999999999996</v>
      </c>
    </row>
    <row r="6996" spans="1:9" x14ac:dyDescent="0.35">
      <c r="A6996" s="3">
        <v>42227</v>
      </c>
      <c r="B6996" s="1" t="s">
        <v>2096</v>
      </c>
      <c r="C6996" s="1" t="s">
        <v>2782</v>
      </c>
      <c r="D6996" s="1" t="s">
        <v>163</v>
      </c>
      <c r="E6996" s="1" t="s">
        <v>31</v>
      </c>
      <c r="F6996" s="2" t="s">
        <v>586</v>
      </c>
      <c r="G6996" s="1">
        <v>27.9</v>
      </c>
      <c r="H6996" s="1">
        <v>5</v>
      </c>
      <c r="I6996" s="1">
        <v>6.9749999999999996</v>
      </c>
    </row>
    <row r="6997" spans="1:9" x14ac:dyDescent="0.35">
      <c r="A6997" s="3" t="s">
        <v>3433</v>
      </c>
      <c r="B6997" s="1" t="s">
        <v>2297</v>
      </c>
      <c r="C6997" s="1" t="s">
        <v>658</v>
      </c>
      <c r="D6997" s="1" t="s">
        <v>659</v>
      </c>
      <c r="E6997" s="1" t="s">
        <v>37</v>
      </c>
      <c r="F6997" s="2" t="s">
        <v>1743</v>
      </c>
      <c r="G6997" s="1">
        <v>31.08</v>
      </c>
      <c r="H6997" s="1">
        <v>4</v>
      </c>
      <c r="I6997" s="1">
        <v>8.3916000000000004</v>
      </c>
    </row>
    <row r="6998" spans="1:9" x14ac:dyDescent="0.35">
      <c r="A6998" s="3" t="s">
        <v>3414</v>
      </c>
      <c r="B6998" s="1" t="s">
        <v>349</v>
      </c>
      <c r="C6998" s="1" t="s">
        <v>1354</v>
      </c>
      <c r="D6998" s="1" t="s">
        <v>106</v>
      </c>
      <c r="E6998" s="1" t="s">
        <v>35</v>
      </c>
      <c r="F6998" s="2" t="s">
        <v>334</v>
      </c>
      <c r="G6998" s="1">
        <v>13.84</v>
      </c>
      <c r="H6998" s="1">
        <v>4</v>
      </c>
      <c r="I6998" s="1">
        <v>-22.143999999999998</v>
      </c>
    </row>
    <row r="6999" spans="1:9" x14ac:dyDescent="0.35">
      <c r="A6999" s="3" t="s">
        <v>3414</v>
      </c>
      <c r="B6999" s="1" t="s">
        <v>349</v>
      </c>
      <c r="C6999" s="1" t="s">
        <v>1354</v>
      </c>
      <c r="D6999" s="1" t="s">
        <v>106</v>
      </c>
      <c r="E6999" s="1" t="s">
        <v>44</v>
      </c>
      <c r="F6999" s="2" t="s">
        <v>1815</v>
      </c>
      <c r="G6999" s="1">
        <v>175.87200000000001</v>
      </c>
      <c r="H6999" s="1">
        <v>4</v>
      </c>
      <c r="I6999" s="1">
        <v>63.753599999999999</v>
      </c>
    </row>
    <row r="7000" spans="1:9" x14ac:dyDescent="0.35">
      <c r="A7000" s="3" t="s">
        <v>3756</v>
      </c>
      <c r="B7000" s="1" t="s">
        <v>2159</v>
      </c>
      <c r="C7000" s="1" t="s">
        <v>1734</v>
      </c>
      <c r="D7000" s="1" t="s">
        <v>18</v>
      </c>
      <c r="E7000" s="1" t="s">
        <v>44</v>
      </c>
      <c r="F7000" s="2" t="s">
        <v>2604</v>
      </c>
      <c r="G7000" s="1">
        <v>12.96</v>
      </c>
      <c r="H7000" s="1">
        <v>2</v>
      </c>
      <c r="I7000" s="1">
        <v>6.3503999999999996</v>
      </c>
    </row>
    <row r="7001" spans="1:9" x14ac:dyDescent="0.35">
      <c r="A7001" s="3" t="s">
        <v>3757</v>
      </c>
      <c r="B7001" s="1" t="s">
        <v>686</v>
      </c>
      <c r="C7001" s="1" t="s">
        <v>697</v>
      </c>
      <c r="D7001" s="1" t="s">
        <v>11</v>
      </c>
      <c r="E7001" s="1" t="s">
        <v>37</v>
      </c>
      <c r="F7001" s="2" t="s">
        <v>2851</v>
      </c>
      <c r="G7001" s="1">
        <v>208.44</v>
      </c>
      <c r="H7001" s="1">
        <v>3</v>
      </c>
      <c r="I7001" s="1">
        <v>62.531999999999996</v>
      </c>
    </row>
    <row r="7002" spans="1:9" x14ac:dyDescent="0.35">
      <c r="A7002" s="3" t="s">
        <v>3757</v>
      </c>
      <c r="B7002" s="1" t="s">
        <v>686</v>
      </c>
      <c r="C7002" s="1" t="s">
        <v>697</v>
      </c>
      <c r="D7002" s="1" t="s">
        <v>11</v>
      </c>
      <c r="E7002" s="1" t="s">
        <v>289</v>
      </c>
      <c r="F7002" s="2" t="s">
        <v>902</v>
      </c>
      <c r="G7002" s="1">
        <v>25.76</v>
      </c>
      <c r="H7002" s="1">
        <v>2</v>
      </c>
      <c r="I7002" s="1">
        <v>0.77280000000000004</v>
      </c>
    </row>
    <row r="7003" spans="1:9" x14ac:dyDescent="0.35">
      <c r="A7003" s="3" t="s">
        <v>3724</v>
      </c>
      <c r="B7003" s="1" t="s">
        <v>2383</v>
      </c>
      <c r="C7003" s="1" t="s">
        <v>3040</v>
      </c>
      <c r="D7003" s="1" t="s">
        <v>106</v>
      </c>
      <c r="E7003" s="1" t="s">
        <v>14</v>
      </c>
      <c r="F7003" s="2" t="s">
        <v>2641</v>
      </c>
      <c r="G7003" s="1">
        <v>366.74400000000003</v>
      </c>
      <c r="H7003" s="1">
        <v>4</v>
      </c>
      <c r="I7003" s="1">
        <v>-110.0232</v>
      </c>
    </row>
    <row r="7004" spans="1:9" x14ac:dyDescent="0.35">
      <c r="A7004" s="3" t="s">
        <v>3500</v>
      </c>
      <c r="B7004" s="1" t="s">
        <v>2515</v>
      </c>
      <c r="C7004" s="1" t="s">
        <v>17</v>
      </c>
      <c r="D7004" s="1" t="s">
        <v>18</v>
      </c>
      <c r="E7004" s="1" t="s">
        <v>29</v>
      </c>
      <c r="F7004" s="2" t="s">
        <v>863</v>
      </c>
      <c r="G7004" s="1">
        <v>289.24</v>
      </c>
      <c r="H7004" s="1">
        <v>7</v>
      </c>
      <c r="I7004" s="1">
        <v>26.031600000000001</v>
      </c>
    </row>
    <row r="7005" spans="1:9" x14ac:dyDescent="0.35">
      <c r="A7005" s="3" t="s">
        <v>3500</v>
      </c>
      <c r="B7005" s="1" t="s">
        <v>2515</v>
      </c>
      <c r="C7005" s="1" t="s">
        <v>17</v>
      </c>
      <c r="D7005" s="1" t="s">
        <v>18</v>
      </c>
      <c r="E7005" s="1" t="s">
        <v>35</v>
      </c>
      <c r="F7005" s="2" t="s">
        <v>2179</v>
      </c>
      <c r="G7005" s="1">
        <v>69.456000000000003</v>
      </c>
      <c r="H7005" s="1">
        <v>2</v>
      </c>
      <c r="I7005" s="1">
        <v>22.5732</v>
      </c>
    </row>
    <row r="7006" spans="1:9" x14ac:dyDescent="0.35">
      <c r="A7006" s="3" t="s">
        <v>3352</v>
      </c>
      <c r="B7006" s="1" t="s">
        <v>1940</v>
      </c>
      <c r="C7006" s="1" t="s">
        <v>2742</v>
      </c>
      <c r="D7006" s="1" t="s">
        <v>52</v>
      </c>
      <c r="E7006" s="1" t="s">
        <v>44</v>
      </c>
      <c r="F7006" s="2" t="s">
        <v>2314</v>
      </c>
      <c r="G7006" s="1">
        <v>5.1840000000000002</v>
      </c>
      <c r="H7006" s="1">
        <v>1</v>
      </c>
      <c r="I7006" s="1">
        <v>1.8144</v>
      </c>
    </row>
    <row r="7007" spans="1:9" x14ac:dyDescent="0.35">
      <c r="A7007" s="3">
        <v>42015</v>
      </c>
      <c r="B7007" s="1" t="s">
        <v>883</v>
      </c>
      <c r="C7007" s="1" t="s">
        <v>135</v>
      </c>
      <c r="D7007" s="1" t="s">
        <v>136</v>
      </c>
      <c r="E7007" s="1" t="s">
        <v>14</v>
      </c>
      <c r="F7007" s="2" t="s">
        <v>2929</v>
      </c>
      <c r="G7007" s="1">
        <v>205.16399999999999</v>
      </c>
      <c r="H7007" s="1">
        <v>2</v>
      </c>
      <c r="I7007" s="1">
        <v>13.6776</v>
      </c>
    </row>
    <row r="7008" spans="1:9" x14ac:dyDescent="0.35">
      <c r="A7008" s="3" t="s">
        <v>3661</v>
      </c>
      <c r="B7008" s="1" t="s">
        <v>553</v>
      </c>
      <c r="C7008" s="1" t="s">
        <v>154</v>
      </c>
      <c r="D7008" s="1" t="s">
        <v>106</v>
      </c>
      <c r="E7008" s="1" t="s">
        <v>29</v>
      </c>
      <c r="F7008" s="2" t="s">
        <v>2399</v>
      </c>
      <c r="G7008" s="1">
        <v>8.5440000000000005</v>
      </c>
      <c r="H7008" s="1">
        <v>2</v>
      </c>
      <c r="I7008" s="1">
        <v>-7.476</v>
      </c>
    </row>
    <row r="7009" spans="1:9" x14ac:dyDescent="0.35">
      <c r="A7009" s="3" t="s">
        <v>3577</v>
      </c>
      <c r="B7009" s="1" t="s">
        <v>1686</v>
      </c>
      <c r="C7009" s="1" t="s">
        <v>162</v>
      </c>
      <c r="D7009" s="1" t="s">
        <v>250</v>
      </c>
      <c r="E7009" s="1" t="s">
        <v>35</v>
      </c>
      <c r="F7009" s="2" t="s">
        <v>749</v>
      </c>
      <c r="G7009" s="1">
        <v>12.827999999999999</v>
      </c>
      <c r="H7009" s="1">
        <v>2</v>
      </c>
      <c r="I7009" s="1">
        <v>-8.9795999999999996</v>
      </c>
    </row>
    <row r="7010" spans="1:9" x14ac:dyDescent="0.35">
      <c r="A7010" s="3" t="s">
        <v>3577</v>
      </c>
      <c r="B7010" s="1" t="s">
        <v>1686</v>
      </c>
      <c r="C7010" s="1" t="s">
        <v>162</v>
      </c>
      <c r="D7010" s="1" t="s">
        <v>250</v>
      </c>
      <c r="E7010" s="1" t="s">
        <v>14</v>
      </c>
      <c r="F7010" s="2" t="s">
        <v>836</v>
      </c>
      <c r="G7010" s="1">
        <v>598.45799999999997</v>
      </c>
      <c r="H7010" s="1">
        <v>3</v>
      </c>
      <c r="I7010" s="1">
        <v>-42.747</v>
      </c>
    </row>
    <row r="7011" spans="1:9" x14ac:dyDescent="0.35">
      <c r="A7011" s="3" t="s">
        <v>3577</v>
      </c>
      <c r="B7011" s="1" t="s">
        <v>1686</v>
      </c>
      <c r="C7011" s="1" t="s">
        <v>162</v>
      </c>
      <c r="D7011" s="1" t="s">
        <v>250</v>
      </c>
      <c r="E7011" s="1" t="s">
        <v>29</v>
      </c>
      <c r="F7011" s="2" t="s">
        <v>2539</v>
      </c>
      <c r="G7011" s="1">
        <v>25.984000000000002</v>
      </c>
      <c r="H7011" s="1">
        <v>1</v>
      </c>
      <c r="I7011" s="1">
        <v>-3.8976000000000002</v>
      </c>
    </row>
    <row r="7012" spans="1:9" x14ac:dyDescent="0.35">
      <c r="A7012" s="3" t="s">
        <v>3737</v>
      </c>
      <c r="B7012" s="1" t="s">
        <v>869</v>
      </c>
      <c r="C7012" s="1" t="s">
        <v>135</v>
      </c>
      <c r="D7012" s="1" t="s">
        <v>136</v>
      </c>
      <c r="E7012" s="1" t="s">
        <v>35</v>
      </c>
      <c r="F7012" s="2" t="s">
        <v>581</v>
      </c>
      <c r="G7012" s="1">
        <v>17.96</v>
      </c>
      <c r="H7012" s="1">
        <v>5</v>
      </c>
      <c r="I7012" s="1">
        <v>5.8369999999999997</v>
      </c>
    </row>
    <row r="7013" spans="1:9" x14ac:dyDescent="0.35">
      <c r="A7013" s="3" t="s">
        <v>3737</v>
      </c>
      <c r="B7013" s="1" t="s">
        <v>869</v>
      </c>
      <c r="C7013" s="1" t="s">
        <v>135</v>
      </c>
      <c r="D7013" s="1" t="s">
        <v>136</v>
      </c>
      <c r="E7013" s="1" t="s">
        <v>289</v>
      </c>
      <c r="F7013" s="2" t="s">
        <v>2622</v>
      </c>
      <c r="G7013" s="1">
        <v>5.04</v>
      </c>
      <c r="H7013" s="1">
        <v>2</v>
      </c>
      <c r="I7013" s="1">
        <v>0.1512</v>
      </c>
    </row>
    <row r="7014" spans="1:9" x14ac:dyDescent="0.35">
      <c r="A7014" s="3" t="s">
        <v>3737</v>
      </c>
      <c r="B7014" s="1" t="s">
        <v>869</v>
      </c>
      <c r="C7014" s="1" t="s">
        <v>135</v>
      </c>
      <c r="D7014" s="1" t="s">
        <v>136</v>
      </c>
      <c r="E7014" s="1" t="s">
        <v>37</v>
      </c>
      <c r="F7014" s="2" t="s">
        <v>183</v>
      </c>
      <c r="G7014" s="1">
        <v>208.16</v>
      </c>
      <c r="H7014" s="1">
        <v>1</v>
      </c>
      <c r="I7014" s="1">
        <v>56.203200000000002</v>
      </c>
    </row>
    <row r="7015" spans="1:9" x14ac:dyDescent="0.35">
      <c r="A7015" s="3">
        <v>42990</v>
      </c>
      <c r="B7015" s="1" t="s">
        <v>2255</v>
      </c>
      <c r="C7015" s="1" t="s">
        <v>1185</v>
      </c>
      <c r="D7015" s="1" t="s">
        <v>18</v>
      </c>
      <c r="E7015" s="1" t="s">
        <v>12</v>
      </c>
      <c r="F7015" s="2" t="s">
        <v>1172</v>
      </c>
      <c r="G7015" s="1">
        <v>148.25700000000001</v>
      </c>
      <c r="H7015" s="1">
        <v>3</v>
      </c>
      <c r="I7015" s="1">
        <v>15.697800000000001</v>
      </c>
    </row>
    <row r="7016" spans="1:9" x14ac:dyDescent="0.35">
      <c r="A7016" s="3">
        <v>41946</v>
      </c>
      <c r="B7016" s="1" t="s">
        <v>1855</v>
      </c>
      <c r="C7016" s="1" t="s">
        <v>693</v>
      </c>
      <c r="D7016" s="1" t="s">
        <v>11</v>
      </c>
      <c r="E7016" s="1" t="s">
        <v>37</v>
      </c>
      <c r="F7016" s="2" t="s">
        <v>754</v>
      </c>
      <c r="G7016" s="1">
        <v>146.76</v>
      </c>
      <c r="H7016" s="1">
        <v>3</v>
      </c>
      <c r="I7016" s="1">
        <v>38.157600000000002</v>
      </c>
    </row>
    <row r="7017" spans="1:9" x14ac:dyDescent="0.35">
      <c r="A7017" s="3">
        <v>41946</v>
      </c>
      <c r="B7017" s="1" t="s">
        <v>1855</v>
      </c>
      <c r="C7017" s="1" t="s">
        <v>693</v>
      </c>
      <c r="D7017" s="1" t="s">
        <v>11</v>
      </c>
      <c r="E7017" s="1" t="s">
        <v>81</v>
      </c>
      <c r="F7017" s="2" t="s">
        <v>1183</v>
      </c>
      <c r="G7017" s="1">
        <v>32.96</v>
      </c>
      <c r="H7017" s="1">
        <v>2</v>
      </c>
      <c r="I7017" s="1">
        <v>14.172800000000001</v>
      </c>
    </row>
    <row r="7018" spans="1:9" x14ac:dyDescent="0.35">
      <c r="A7018" s="3">
        <v>41946</v>
      </c>
      <c r="B7018" s="1" t="s">
        <v>1855</v>
      </c>
      <c r="C7018" s="1" t="s">
        <v>693</v>
      </c>
      <c r="D7018" s="1" t="s">
        <v>11</v>
      </c>
      <c r="E7018" s="1" t="s">
        <v>33</v>
      </c>
      <c r="F7018" s="2" t="s">
        <v>847</v>
      </c>
      <c r="G7018" s="1">
        <v>587.97</v>
      </c>
      <c r="H7018" s="1">
        <v>3</v>
      </c>
      <c r="I7018" s="1">
        <v>164.63159999999999</v>
      </c>
    </row>
    <row r="7019" spans="1:9" x14ac:dyDescent="0.35">
      <c r="A7019" s="3">
        <v>41946</v>
      </c>
      <c r="B7019" s="1" t="s">
        <v>1855</v>
      </c>
      <c r="C7019" s="1" t="s">
        <v>693</v>
      </c>
      <c r="D7019" s="1" t="s">
        <v>11</v>
      </c>
      <c r="E7019" s="1" t="s">
        <v>44</v>
      </c>
      <c r="F7019" s="2" t="s">
        <v>2428</v>
      </c>
      <c r="G7019" s="1">
        <v>14.94</v>
      </c>
      <c r="H7019" s="1">
        <v>3</v>
      </c>
      <c r="I7019" s="1">
        <v>7.0217999999999998</v>
      </c>
    </row>
    <row r="7020" spans="1:9" x14ac:dyDescent="0.35">
      <c r="A7020" s="3" t="s">
        <v>3476</v>
      </c>
      <c r="B7020" s="1" t="s">
        <v>1205</v>
      </c>
      <c r="C7020" s="1" t="s">
        <v>135</v>
      </c>
      <c r="D7020" s="1" t="s">
        <v>136</v>
      </c>
      <c r="E7020" s="1" t="s">
        <v>19</v>
      </c>
      <c r="F7020" s="2" t="s">
        <v>2741</v>
      </c>
      <c r="G7020" s="1">
        <v>25.83</v>
      </c>
      <c r="H7020" s="1">
        <v>7</v>
      </c>
      <c r="I7020" s="1">
        <v>12.1401</v>
      </c>
    </row>
    <row r="7021" spans="1:9" x14ac:dyDescent="0.35">
      <c r="A7021" s="3" t="s">
        <v>3739</v>
      </c>
      <c r="B7021" s="1" t="s">
        <v>1038</v>
      </c>
      <c r="C7021" s="1" t="s">
        <v>395</v>
      </c>
      <c r="D7021" s="1" t="s">
        <v>229</v>
      </c>
      <c r="E7021" s="1" t="s">
        <v>44</v>
      </c>
      <c r="F7021" s="2" t="s">
        <v>3041</v>
      </c>
      <c r="G7021" s="1">
        <v>15.552</v>
      </c>
      <c r="H7021" s="1">
        <v>3</v>
      </c>
      <c r="I7021" s="1">
        <v>5.4432</v>
      </c>
    </row>
    <row r="7022" spans="1:9" x14ac:dyDescent="0.35">
      <c r="A7022" s="3" t="s">
        <v>3739</v>
      </c>
      <c r="B7022" s="1" t="s">
        <v>1038</v>
      </c>
      <c r="C7022" s="1" t="s">
        <v>395</v>
      </c>
      <c r="D7022" s="1" t="s">
        <v>229</v>
      </c>
      <c r="E7022" s="1" t="s">
        <v>289</v>
      </c>
      <c r="F7022" s="2" t="s">
        <v>2958</v>
      </c>
      <c r="G7022" s="1">
        <v>6.8</v>
      </c>
      <c r="H7022" s="1">
        <v>1</v>
      </c>
      <c r="I7022" s="1">
        <v>0.51</v>
      </c>
    </row>
    <row r="7023" spans="1:9" x14ac:dyDescent="0.35">
      <c r="A7023" s="3" t="s">
        <v>3739</v>
      </c>
      <c r="B7023" s="1" t="s">
        <v>1038</v>
      </c>
      <c r="C7023" s="1" t="s">
        <v>395</v>
      </c>
      <c r="D7023" s="1" t="s">
        <v>229</v>
      </c>
      <c r="E7023" s="1" t="s">
        <v>29</v>
      </c>
      <c r="F7023" s="2" t="s">
        <v>491</v>
      </c>
      <c r="G7023" s="1">
        <v>4.2240000000000002</v>
      </c>
      <c r="H7023" s="1">
        <v>3</v>
      </c>
      <c r="I7023" s="1">
        <v>1.2672000000000001</v>
      </c>
    </row>
    <row r="7024" spans="1:9" x14ac:dyDescent="0.35">
      <c r="A7024" s="3" t="s">
        <v>3739</v>
      </c>
      <c r="B7024" s="1" t="s">
        <v>1038</v>
      </c>
      <c r="C7024" s="1" t="s">
        <v>395</v>
      </c>
      <c r="D7024" s="1" t="s">
        <v>229</v>
      </c>
      <c r="E7024" s="1" t="s">
        <v>33</v>
      </c>
      <c r="F7024" s="2" t="s">
        <v>769</v>
      </c>
      <c r="G7024" s="1">
        <v>143.63999999999999</v>
      </c>
      <c r="H7024" s="1">
        <v>9</v>
      </c>
      <c r="I7024" s="1">
        <v>10.773</v>
      </c>
    </row>
    <row r="7025" spans="1:9" x14ac:dyDescent="0.35">
      <c r="A7025" s="3" t="s">
        <v>3739</v>
      </c>
      <c r="B7025" s="1" t="s">
        <v>1038</v>
      </c>
      <c r="C7025" s="1" t="s">
        <v>395</v>
      </c>
      <c r="D7025" s="1" t="s">
        <v>229</v>
      </c>
      <c r="E7025" s="1" t="s">
        <v>44</v>
      </c>
      <c r="F7025" s="2" t="s">
        <v>1234</v>
      </c>
      <c r="G7025" s="1">
        <v>31.103999999999999</v>
      </c>
      <c r="H7025" s="1">
        <v>6</v>
      </c>
      <c r="I7025" s="1">
        <v>10.8864</v>
      </c>
    </row>
    <row r="7026" spans="1:9" x14ac:dyDescent="0.35">
      <c r="A7026" s="3" t="s">
        <v>3739</v>
      </c>
      <c r="B7026" s="1" t="s">
        <v>1038</v>
      </c>
      <c r="C7026" s="1" t="s">
        <v>395</v>
      </c>
      <c r="D7026" s="1" t="s">
        <v>229</v>
      </c>
      <c r="E7026" s="1" t="s">
        <v>44</v>
      </c>
      <c r="F7026" s="2" t="s">
        <v>1729</v>
      </c>
      <c r="G7026" s="1">
        <v>223.05600000000001</v>
      </c>
      <c r="H7026" s="1">
        <v>9</v>
      </c>
      <c r="I7026" s="1">
        <v>69.704999999999998</v>
      </c>
    </row>
    <row r="7027" spans="1:9" x14ac:dyDescent="0.35">
      <c r="A7027" s="3">
        <v>42888</v>
      </c>
      <c r="B7027" s="1" t="s">
        <v>989</v>
      </c>
      <c r="C7027" s="1" t="s">
        <v>135</v>
      </c>
      <c r="D7027" s="1" t="s">
        <v>136</v>
      </c>
      <c r="E7027" s="1" t="s">
        <v>33</v>
      </c>
      <c r="F7027" s="2" t="s">
        <v>941</v>
      </c>
      <c r="G7027" s="1">
        <v>227.46</v>
      </c>
      <c r="H7027" s="1">
        <v>6</v>
      </c>
      <c r="I7027" s="1">
        <v>65.963399999999993</v>
      </c>
    </row>
    <row r="7028" spans="1:9" x14ac:dyDescent="0.35">
      <c r="A7028" s="3">
        <v>42888</v>
      </c>
      <c r="B7028" s="1" t="s">
        <v>989</v>
      </c>
      <c r="C7028" s="1" t="s">
        <v>135</v>
      </c>
      <c r="D7028" s="1" t="s">
        <v>136</v>
      </c>
      <c r="E7028" s="1" t="s">
        <v>35</v>
      </c>
      <c r="F7028" s="2" t="s">
        <v>2996</v>
      </c>
      <c r="G7028" s="1">
        <v>46.24</v>
      </c>
      <c r="H7028" s="1">
        <v>4</v>
      </c>
      <c r="I7028" s="1">
        <v>15.606</v>
      </c>
    </row>
    <row r="7029" spans="1:9" x14ac:dyDescent="0.35">
      <c r="A7029" s="3" t="s">
        <v>3470</v>
      </c>
      <c r="B7029" s="1" t="s">
        <v>1309</v>
      </c>
      <c r="C7029" s="1" t="s">
        <v>135</v>
      </c>
      <c r="D7029" s="1" t="s">
        <v>136</v>
      </c>
      <c r="E7029" s="1" t="s">
        <v>19</v>
      </c>
      <c r="F7029" s="2" t="s">
        <v>1231</v>
      </c>
      <c r="G7029" s="1">
        <v>5.22</v>
      </c>
      <c r="H7029" s="1">
        <v>2</v>
      </c>
      <c r="I7029" s="1">
        <v>2.4011999999999998</v>
      </c>
    </row>
    <row r="7030" spans="1:9" x14ac:dyDescent="0.35">
      <c r="A7030" s="3" t="s">
        <v>3408</v>
      </c>
      <c r="B7030" s="1" t="s">
        <v>1569</v>
      </c>
      <c r="C7030" s="1" t="s">
        <v>69</v>
      </c>
      <c r="D7030" s="1" t="s">
        <v>70</v>
      </c>
      <c r="E7030" s="1" t="s">
        <v>44</v>
      </c>
      <c r="F7030" s="2" t="s">
        <v>1655</v>
      </c>
      <c r="G7030" s="1">
        <v>33.9</v>
      </c>
      <c r="H7030" s="1">
        <v>5</v>
      </c>
      <c r="I7030" s="1">
        <v>15.593999999999999</v>
      </c>
    </row>
    <row r="7031" spans="1:9" x14ac:dyDescent="0.35">
      <c r="A7031" s="3">
        <v>42685</v>
      </c>
      <c r="B7031" s="1" t="s">
        <v>1753</v>
      </c>
      <c r="C7031" s="1" t="s">
        <v>135</v>
      </c>
      <c r="D7031" s="1" t="s">
        <v>136</v>
      </c>
      <c r="E7031" s="1" t="s">
        <v>26</v>
      </c>
      <c r="F7031" s="2" t="s">
        <v>1191</v>
      </c>
      <c r="G7031" s="1">
        <v>28.14</v>
      </c>
      <c r="H7031" s="1">
        <v>3</v>
      </c>
      <c r="I7031" s="1">
        <v>7.8792</v>
      </c>
    </row>
    <row r="7032" spans="1:9" x14ac:dyDescent="0.35">
      <c r="A7032" s="3">
        <v>42685</v>
      </c>
      <c r="B7032" s="1" t="s">
        <v>1753</v>
      </c>
      <c r="C7032" s="1" t="s">
        <v>135</v>
      </c>
      <c r="D7032" s="1" t="s">
        <v>136</v>
      </c>
      <c r="E7032" s="1" t="s">
        <v>81</v>
      </c>
      <c r="F7032" s="2" t="s">
        <v>2574</v>
      </c>
      <c r="G7032" s="1">
        <v>36</v>
      </c>
      <c r="H7032" s="1">
        <v>2</v>
      </c>
      <c r="I7032" s="1">
        <v>6.48</v>
      </c>
    </row>
    <row r="7033" spans="1:9" x14ac:dyDescent="0.35">
      <c r="A7033" s="3">
        <v>42685</v>
      </c>
      <c r="B7033" s="1" t="s">
        <v>1753</v>
      </c>
      <c r="C7033" s="1" t="s">
        <v>135</v>
      </c>
      <c r="D7033" s="1" t="s">
        <v>136</v>
      </c>
      <c r="E7033" s="1" t="s">
        <v>31</v>
      </c>
      <c r="F7033" s="2" t="s">
        <v>554</v>
      </c>
      <c r="G7033" s="1">
        <v>92.94</v>
      </c>
      <c r="H7033" s="1">
        <v>3</v>
      </c>
      <c r="I7033" s="1">
        <v>25.093800000000002</v>
      </c>
    </row>
    <row r="7034" spans="1:9" x14ac:dyDescent="0.35">
      <c r="A7034" s="3">
        <v>42685</v>
      </c>
      <c r="B7034" s="1" t="s">
        <v>1753</v>
      </c>
      <c r="C7034" s="1" t="s">
        <v>135</v>
      </c>
      <c r="D7034" s="1" t="s">
        <v>136</v>
      </c>
      <c r="E7034" s="1" t="s">
        <v>14</v>
      </c>
      <c r="F7034" s="2" t="s">
        <v>1997</v>
      </c>
      <c r="G7034" s="1">
        <v>245.64599999999999</v>
      </c>
      <c r="H7034" s="1">
        <v>3</v>
      </c>
      <c r="I7034" s="1">
        <v>8.1882000000000001</v>
      </c>
    </row>
    <row r="7035" spans="1:9" x14ac:dyDescent="0.35">
      <c r="A7035" s="3">
        <v>42685</v>
      </c>
      <c r="B7035" s="1" t="s">
        <v>1753</v>
      </c>
      <c r="C7035" s="1" t="s">
        <v>135</v>
      </c>
      <c r="D7035" s="1" t="s">
        <v>136</v>
      </c>
      <c r="E7035" s="1" t="s">
        <v>35</v>
      </c>
      <c r="F7035" s="2" t="s">
        <v>1232</v>
      </c>
      <c r="G7035" s="1">
        <v>55.008000000000003</v>
      </c>
      <c r="H7035" s="1">
        <v>3</v>
      </c>
      <c r="I7035" s="1">
        <v>17.190000000000001</v>
      </c>
    </row>
    <row r="7036" spans="1:9" x14ac:dyDescent="0.35">
      <c r="A7036" s="3">
        <v>42685</v>
      </c>
      <c r="B7036" s="1" t="s">
        <v>1753</v>
      </c>
      <c r="C7036" s="1" t="s">
        <v>135</v>
      </c>
      <c r="D7036" s="1" t="s">
        <v>136</v>
      </c>
      <c r="E7036" s="1" t="s">
        <v>35</v>
      </c>
      <c r="F7036" s="2" t="s">
        <v>1523</v>
      </c>
      <c r="G7036" s="1">
        <v>35.231999999999999</v>
      </c>
      <c r="H7036" s="1">
        <v>3</v>
      </c>
      <c r="I7036" s="1">
        <v>11.4504</v>
      </c>
    </row>
    <row r="7037" spans="1:9" x14ac:dyDescent="0.35">
      <c r="A7037" s="3">
        <v>42989</v>
      </c>
      <c r="B7037" s="1" t="s">
        <v>1881</v>
      </c>
      <c r="C7037" s="1" t="s">
        <v>461</v>
      </c>
      <c r="D7037" s="1" t="s">
        <v>18</v>
      </c>
      <c r="E7037" s="1" t="s">
        <v>14</v>
      </c>
      <c r="F7037" s="2" t="s">
        <v>1117</v>
      </c>
      <c r="G7037" s="1">
        <v>523.39200000000005</v>
      </c>
      <c r="H7037" s="1">
        <v>3</v>
      </c>
      <c r="I7037" s="1">
        <v>52.339199999999998</v>
      </c>
    </row>
    <row r="7038" spans="1:9" x14ac:dyDescent="0.35">
      <c r="A7038" s="3">
        <v>41675</v>
      </c>
      <c r="B7038" s="1" t="s">
        <v>2822</v>
      </c>
      <c r="C7038" s="1" t="s">
        <v>835</v>
      </c>
      <c r="D7038" s="1" t="s">
        <v>23</v>
      </c>
      <c r="E7038" s="1" t="s">
        <v>579</v>
      </c>
      <c r="F7038" s="2" t="s">
        <v>1437</v>
      </c>
      <c r="G7038" s="1">
        <v>479.98399999999998</v>
      </c>
      <c r="H7038" s="1">
        <v>2</v>
      </c>
      <c r="I7038" s="1">
        <v>89.997</v>
      </c>
    </row>
    <row r="7039" spans="1:9" x14ac:dyDescent="0.35">
      <c r="A7039" s="3" t="s">
        <v>3351</v>
      </c>
      <c r="B7039" s="1" t="s">
        <v>1076</v>
      </c>
      <c r="C7039" s="1" t="s">
        <v>1627</v>
      </c>
      <c r="D7039" s="1" t="s">
        <v>604</v>
      </c>
      <c r="E7039" s="1" t="s">
        <v>44</v>
      </c>
      <c r="F7039" s="2" t="s">
        <v>2200</v>
      </c>
      <c r="G7039" s="1">
        <v>12.96</v>
      </c>
      <c r="H7039" s="1">
        <v>2</v>
      </c>
      <c r="I7039" s="1">
        <v>6.2207999999999997</v>
      </c>
    </row>
    <row r="7040" spans="1:9" x14ac:dyDescent="0.35">
      <c r="A7040" s="3" t="s">
        <v>3351</v>
      </c>
      <c r="B7040" s="1" t="s">
        <v>1076</v>
      </c>
      <c r="C7040" s="1" t="s">
        <v>1627</v>
      </c>
      <c r="D7040" s="1" t="s">
        <v>604</v>
      </c>
      <c r="E7040" s="1" t="s">
        <v>31</v>
      </c>
      <c r="F7040" s="2" t="s">
        <v>3042</v>
      </c>
      <c r="G7040" s="1">
        <v>17.940000000000001</v>
      </c>
      <c r="H7040" s="1">
        <v>3</v>
      </c>
      <c r="I7040" s="1">
        <v>6.4584000000000001</v>
      </c>
    </row>
    <row r="7041" spans="1:9" x14ac:dyDescent="0.35">
      <c r="A7041" s="3" t="s">
        <v>3274</v>
      </c>
      <c r="B7041" s="1" t="s">
        <v>951</v>
      </c>
      <c r="C7041" s="1" t="s">
        <v>135</v>
      </c>
      <c r="D7041" s="1" t="s">
        <v>136</v>
      </c>
      <c r="E7041" s="1" t="s">
        <v>26</v>
      </c>
      <c r="F7041" s="2" t="s">
        <v>455</v>
      </c>
      <c r="G7041" s="1">
        <v>166.72</v>
      </c>
      <c r="H7041" s="1">
        <v>2</v>
      </c>
      <c r="I7041" s="1">
        <v>41.68</v>
      </c>
    </row>
    <row r="7042" spans="1:9" x14ac:dyDescent="0.35">
      <c r="A7042" s="3" t="s">
        <v>3274</v>
      </c>
      <c r="B7042" s="1" t="s">
        <v>951</v>
      </c>
      <c r="C7042" s="1" t="s">
        <v>135</v>
      </c>
      <c r="D7042" s="1" t="s">
        <v>136</v>
      </c>
      <c r="E7042" s="1" t="s">
        <v>35</v>
      </c>
      <c r="F7042" s="2" t="s">
        <v>2216</v>
      </c>
      <c r="G7042" s="1">
        <v>24.815999999999999</v>
      </c>
      <c r="H7042" s="1">
        <v>3</v>
      </c>
      <c r="I7042" s="1">
        <v>8.3754000000000008</v>
      </c>
    </row>
    <row r="7043" spans="1:9" x14ac:dyDescent="0.35">
      <c r="A7043" s="3" t="s">
        <v>3274</v>
      </c>
      <c r="B7043" s="1" t="s">
        <v>951</v>
      </c>
      <c r="C7043" s="1" t="s">
        <v>135</v>
      </c>
      <c r="D7043" s="1" t="s">
        <v>136</v>
      </c>
      <c r="E7043" s="1" t="s">
        <v>29</v>
      </c>
      <c r="F7043" s="2" t="s">
        <v>2145</v>
      </c>
      <c r="G7043" s="1">
        <v>124.36</v>
      </c>
      <c r="H7043" s="1">
        <v>2</v>
      </c>
      <c r="I7043" s="1">
        <v>27.359200000000001</v>
      </c>
    </row>
    <row r="7044" spans="1:9" x14ac:dyDescent="0.35">
      <c r="A7044" s="3" t="s">
        <v>3471</v>
      </c>
      <c r="B7044" s="1" t="s">
        <v>1046</v>
      </c>
      <c r="C7044" s="1" t="s">
        <v>74</v>
      </c>
      <c r="D7044" s="1" t="s">
        <v>75</v>
      </c>
      <c r="E7044" s="1" t="s">
        <v>579</v>
      </c>
      <c r="F7044" s="2" t="s">
        <v>2806</v>
      </c>
      <c r="G7044" s="1">
        <v>599.97</v>
      </c>
      <c r="H7044" s="1">
        <v>5</v>
      </c>
      <c r="I7044" s="1">
        <v>69.996499999999997</v>
      </c>
    </row>
    <row r="7045" spans="1:9" x14ac:dyDescent="0.35">
      <c r="A7045" s="3" t="s">
        <v>3471</v>
      </c>
      <c r="B7045" s="1" t="s">
        <v>1046</v>
      </c>
      <c r="C7045" s="1" t="s">
        <v>74</v>
      </c>
      <c r="D7045" s="1" t="s">
        <v>75</v>
      </c>
      <c r="E7045" s="1" t="s">
        <v>14</v>
      </c>
      <c r="F7045" s="2" t="s">
        <v>856</v>
      </c>
      <c r="G7045" s="1">
        <v>198.744</v>
      </c>
      <c r="H7045" s="1">
        <v>4</v>
      </c>
      <c r="I7045" s="1">
        <v>-14.196</v>
      </c>
    </row>
    <row r="7046" spans="1:9" x14ac:dyDescent="0.35">
      <c r="A7046" s="3" t="s">
        <v>3471</v>
      </c>
      <c r="B7046" s="1" t="s">
        <v>1046</v>
      </c>
      <c r="C7046" s="1" t="s">
        <v>74</v>
      </c>
      <c r="D7046" s="1" t="s">
        <v>75</v>
      </c>
      <c r="E7046" s="1" t="s">
        <v>289</v>
      </c>
      <c r="F7046" s="2" t="s">
        <v>2190</v>
      </c>
      <c r="G7046" s="1">
        <v>9.1839999999999993</v>
      </c>
      <c r="H7046" s="1">
        <v>2</v>
      </c>
      <c r="I7046" s="1">
        <v>1.1479999999999999</v>
      </c>
    </row>
    <row r="7047" spans="1:9" x14ac:dyDescent="0.35">
      <c r="A7047" s="3">
        <v>42440</v>
      </c>
      <c r="B7047" s="1" t="s">
        <v>2150</v>
      </c>
      <c r="C7047" s="1" t="s">
        <v>399</v>
      </c>
      <c r="D7047" s="1" t="s">
        <v>52</v>
      </c>
      <c r="E7047" s="1" t="s">
        <v>44</v>
      </c>
      <c r="F7047" s="2" t="s">
        <v>2004</v>
      </c>
      <c r="G7047" s="1">
        <v>9.2479999999999993</v>
      </c>
      <c r="H7047" s="1">
        <v>2</v>
      </c>
      <c r="I7047" s="1">
        <v>3.3523999999999998</v>
      </c>
    </row>
    <row r="7048" spans="1:9" x14ac:dyDescent="0.35">
      <c r="A7048" s="3">
        <v>41855</v>
      </c>
      <c r="B7048" s="1" t="s">
        <v>555</v>
      </c>
      <c r="C7048" s="1" t="s">
        <v>42</v>
      </c>
      <c r="D7048" s="1" t="s">
        <v>18</v>
      </c>
      <c r="E7048" s="1" t="s">
        <v>24</v>
      </c>
      <c r="F7048" s="2" t="s">
        <v>431</v>
      </c>
      <c r="G7048" s="1">
        <v>99.591999999999999</v>
      </c>
      <c r="H7048" s="1">
        <v>1</v>
      </c>
      <c r="I7048" s="1">
        <v>2.4897999999999998</v>
      </c>
    </row>
    <row r="7049" spans="1:9" x14ac:dyDescent="0.35">
      <c r="A7049" s="3">
        <v>41855</v>
      </c>
      <c r="B7049" s="1" t="s">
        <v>555</v>
      </c>
      <c r="C7049" s="1" t="s">
        <v>42</v>
      </c>
      <c r="D7049" s="1" t="s">
        <v>18</v>
      </c>
      <c r="E7049" s="1" t="s">
        <v>81</v>
      </c>
      <c r="F7049" s="2" t="s">
        <v>563</v>
      </c>
      <c r="G7049" s="1">
        <v>399.96</v>
      </c>
      <c r="H7049" s="1">
        <v>4</v>
      </c>
      <c r="I7049" s="1">
        <v>139.98599999999999</v>
      </c>
    </row>
    <row r="7050" spans="1:9" x14ac:dyDescent="0.35">
      <c r="A7050" s="3" t="s">
        <v>3641</v>
      </c>
      <c r="B7050" s="1" t="s">
        <v>1153</v>
      </c>
      <c r="C7050" s="1" t="s">
        <v>2272</v>
      </c>
      <c r="D7050" s="1" t="s">
        <v>171</v>
      </c>
      <c r="E7050" s="1" t="s">
        <v>44</v>
      </c>
      <c r="F7050" s="2" t="s">
        <v>2588</v>
      </c>
      <c r="G7050" s="1">
        <v>15.552</v>
      </c>
      <c r="H7050" s="1">
        <v>3</v>
      </c>
      <c r="I7050" s="1">
        <v>5.4432</v>
      </c>
    </row>
    <row r="7051" spans="1:9" x14ac:dyDescent="0.35">
      <c r="A7051" s="3" t="s">
        <v>3264</v>
      </c>
      <c r="B7051" s="1" t="s">
        <v>2128</v>
      </c>
      <c r="C7051" s="1" t="s">
        <v>228</v>
      </c>
      <c r="D7051" s="1" t="s">
        <v>229</v>
      </c>
      <c r="E7051" s="1" t="s">
        <v>31</v>
      </c>
      <c r="F7051" s="2" t="s">
        <v>2638</v>
      </c>
      <c r="G7051" s="1">
        <v>14.576000000000001</v>
      </c>
      <c r="H7051" s="1">
        <v>2</v>
      </c>
      <c r="I7051" s="1">
        <v>2.3685999999999998</v>
      </c>
    </row>
    <row r="7052" spans="1:9" x14ac:dyDescent="0.35">
      <c r="A7052" s="3">
        <v>42686</v>
      </c>
      <c r="B7052" s="1" t="s">
        <v>2071</v>
      </c>
      <c r="C7052" s="1" t="s">
        <v>871</v>
      </c>
      <c r="D7052" s="1" t="s">
        <v>18</v>
      </c>
      <c r="E7052" s="1" t="s">
        <v>35</v>
      </c>
      <c r="F7052" s="2" t="s">
        <v>522</v>
      </c>
      <c r="G7052" s="1">
        <v>209.6</v>
      </c>
      <c r="H7052" s="1">
        <v>5</v>
      </c>
      <c r="I7052" s="1">
        <v>68.12</v>
      </c>
    </row>
    <row r="7053" spans="1:9" x14ac:dyDescent="0.35">
      <c r="A7053" s="3">
        <v>42686</v>
      </c>
      <c r="B7053" s="1" t="s">
        <v>2071</v>
      </c>
      <c r="C7053" s="1" t="s">
        <v>871</v>
      </c>
      <c r="D7053" s="1" t="s">
        <v>18</v>
      </c>
      <c r="E7053" s="1" t="s">
        <v>31</v>
      </c>
      <c r="F7053" s="2" t="s">
        <v>2933</v>
      </c>
      <c r="G7053" s="1">
        <v>23.32</v>
      </c>
      <c r="H7053" s="1">
        <v>2</v>
      </c>
      <c r="I7053" s="1">
        <v>6.0632000000000001</v>
      </c>
    </row>
    <row r="7054" spans="1:9" x14ac:dyDescent="0.35">
      <c r="A7054" s="3">
        <v>42686</v>
      </c>
      <c r="B7054" s="1" t="s">
        <v>2071</v>
      </c>
      <c r="C7054" s="1" t="s">
        <v>871</v>
      </c>
      <c r="D7054" s="1" t="s">
        <v>18</v>
      </c>
      <c r="E7054" s="1" t="s">
        <v>44</v>
      </c>
      <c r="F7054" s="2" t="s">
        <v>1951</v>
      </c>
      <c r="G7054" s="1">
        <v>30.98</v>
      </c>
      <c r="H7054" s="1">
        <v>1</v>
      </c>
      <c r="I7054" s="1">
        <v>13.941000000000001</v>
      </c>
    </row>
    <row r="7055" spans="1:9" x14ac:dyDescent="0.35">
      <c r="A7055" s="3">
        <v>42686</v>
      </c>
      <c r="B7055" s="1" t="s">
        <v>2071</v>
      </c>
      <c r="C7055" s="1" t="s">
        <v>871</v>
      </c>
      <c r="D7055" s="1" t="s">
        <v>18</v>
      </c>
      <c r="E7055" s="1" t="s">
        <v>81</v>
      </c>
      <c r="F7055" s="2" t="s">
        <v>1112</v>
      </c>
      <c r="G7055" s="1">
        <v>119.96</v>
      </c>
      <c r="H7055" s="1">
        <v>4</v>
      </c>
      <c r="I7055" s="1">
        <v>25.191600000000001</v>
      </c>
    </row>
    <row r="7056" spans="1:9" x14ac:dyDescent="0.35">
      <c r="A7056" s="3">
        <v>42686</v>
      </c>
      <c r="B7056" s="1" t="s">
        <v>2071</v>
      </c>
      <c r="C7056" s="1" t="s">
        <v>871</v>
      </c>
      <c r="D7056" s="1" t="s">
        <v>18</v>
      </c>
      <c r="E7056" s="1" t="s">
        <v>14</v>
      </c>
      <c r="F7056" s="2" t="s">
        <v>1997</v>
      </c>
      <c r="G7056" s="1">
        <v>363.92</v>
      </c>
      <c r="H7056" s="1">
        <v>5</v>
      </c>
      <c r="I7056" s="1">
        <v>-31.843</v>
      </c>
    </row>
    <row r="7057" spans="1:9" x14ac:dyDescent="0.35">
      <c r="A7057" s="3">
        <v>42686</v>
      </c>
      <c r="B7057" s="1" t="s">
        <v>2071</v>
      </c>
      <c r="C7057" s="1" t="s">
        <v>871</v>
      </c>
      <c r="D7057" s="1" t="s">
        <v>18</v>
      </c>
      <c r="E7057" s="1" t="s">
        <v>35</v>
      </c>
      <c r="F7057" s="2" t="s">
        <v>940</v>
      </c>
      <c r="G7057" s="1">
        <v>35.808</v>
      </c>
      <c r="H7057" s="1">
        <v>3</v>
      </c>
      <c r="I7057" s="1">
        <v>11.19</v>
      </c>
    </row>
    <row r="7058" spans="1:9" x14ac:dyDescent="0.35">
      <c r="A7058" s="3">
        <v>42686</v>
      </c>
      <c r="B7058" s="1" t="s">
        <v>2071</v>
      </c>
      <c r="C7058" s="1" t="s">
        <v>871</v>
      </c>
      <c r="D7058" s="1" t="s">
        <v>18</v>
      </c>
      <c r="E7058" s="1" t="s">
        <v>35</v>
      </c>
      <c r="F7058" s="2" t="s">
        <v>1401</v>
      </c>
      <c r="G7058" s="1">
        <v>122.688</v>
      </c>
      <c r="H7058" s="1">
        <v>9</v>
      </c>
      <c r="I7058" s="1">
        <v>39.873600000000003</v>
      </c>
    </row>
    <row r="7059" spans="1:9" x14ac:dyDescent="0.35">
      <c r="A7059" s="3">
        <v>42686</v>
      </c>
      <c r="B7059" s="1" t="s">
        <v>2071</v>
      </c>
      <c r="C7059" s="1" t="s">
        <v>871</v>
      </c>
      <c r="D7059" s="1" t="s">
        <v>18</v>
      </c>
      <c r="E7059" s="1" t="s">
        <v>24</v>
      </c>
      <c r="F7059" s="2" t="s">
        <v>1511</v>
      </c>
      <c r="G7059" s="1">
        <v>892.13599999999997</v>
      </c>
      <c r="H7059" s="1">
        <v>7</v>
      </c>
      <c r="I7059" s="1">
        <v>111.517</v>
      </c>
    </row>
    <row r="7060" spans="1:9" x14ac:dyDescent="0.35">
      <c r="A7060" s="3">
        <v>42686</v>
      </c>
      <c r="B7060" s="1" t="s">
        <v>2071</v>
      </c>
      <c r="C7060" s="1" t="s">
        <v>871</v>
      </c>
      <c r="D7060" s="1" t="s">
        <v>18</v>
      </c>
      <c r="E7060" s="1" t="s">
        <v>26</v>
      </c>
      <c r="F7060" s="2" t="s">
        <v>2949</v>
      </c>
      <c r="G7060" s="1">
        <v>50.22</v>
      </c>
      <c r="H7060" s="1">
        <v>3</v>
      </c>
      <c r="I7060" s="1">
        <v>2.0087999999999999</v>
      </c>
    </row>
    <row r="7061" spans="1:9" x14ac:dyDescent="0.35">
      <c r="A7061" s="3">
        <v>42686</v>
      </c>
      <c r="B7061" s="1" t="s">
        <v>2071</v>
      </c>
      <c r="C7061" s="1" t="s">
        <v>871</v>
      </c>
      <c r="D7061" s="1" t="s">
        <v>18</v>
      </c>
      <c r="E7061" s="1" t="s">
        <v>37</v>
      </c>
      <c r="F7061" s="2" t="s">
        <v>1034</v>
      </c>
      <c r="G7061" s="1">
        <v>83.42</v>
      </c>
      <c r="H7061" s="1">
        <v>2</v>
      </c>
      <c r="I7061" s="1">
        <v>24.191800000000001</v>
      </c>
    </row>
    <row r="7062" spans="1:9" x14ac:dyDescent="0.35">
      <c r="A7062" s="3">
        <v>42686</v>
      </c>
      <c r="B7062" s="1" t="s">
        <v>2071</v>
      </c>
      <c r="C7062" s="1" t="s">
        <v>871</v>
      </c>
      <c r="D7062" s="1" t="s">
        <v>18</v>
      </c>
      <c r="E7062" s="1" t="s">
        <v>35</v>
      </c>
      <c r="F7062" s="2" t="s">
        <v>3043</v>
      </c>
      <c r="G7062" s="1">
        <v>5.8719999999999999</v>
      </c>
      <c r="H7062" s="1">
        <v>2</v>
      </c>
      <c r="I7062" s="1">
        <v>2.1286</v>
      </c>
    </row>
    <row r="7063" spans="1:9" x14ac:dyDescent="0.35">
      <c r="A7063" s="3">
        <v>42065</v>
      </c>
      <c r="B7063" s="1" t="s">
        <v>712</v>
      </c>
      <c r="C7063" s="1" t="s">
        <v>1619</v>
      </c>
      <c r="D7063" s="1" t="s">
        <v>61</v>
      </c>
      <c r="E7063" s="1" t="s">
        <v>35</v>
      </c>
      <c r="F7063" s="2" t="s">
        <v>1486</v>
      </c>
      <c r="G7063" s="1">
        <v>12.144</v>
      </c>
      <c r="H7063" s="1">
        <v>3</v>
      </c>
      <c r="I7063" s="1">
        <v>4.0986000000000002</v>
      </c>
    </row>
    <row r="7064" spans="1:9" x14ac:dyDescent="0.35">
      <c r="A7064" s="3" t="s">
        <v>3218</v>
      </c>
      <c r="B7064" s="1" t="s">
        <v>446</v>
      </c>
      <c r="C7064" s="1" t="s">
        <v>162</v>
      </c>
      <c r="D7064" s="1" t="s">
        <v>212</v>
      </c>
      <c r="E7064" s="1" t="s">
        <v>87</v>
      </c>
      <c r="F7064" s="2" t="s">
        <v>2874</v>
      </c>
      <c r="G7064" s="1">
        <v>27.792000000000002</v>
      </c>
      <c r="H7064" s="1">
        <v>3</v>
      </c>
      <c r="I7064" s="1">
        <v>10.422000000000001</v>
      </c>
    </row>
    <row r="7065" spans="1:9" x14ac:dyDescent="0.35">
      <c r="A7065" s="3" t="s">
        <v>3268</v>
      </c>
      <c r="B7065" s="1" t="s">
        <v>1614</v>
      </c>
      <c r="C7065" s="1" t="s">
        <v>909</v>
      </c>
      <c r="D7065" s="1" t="s">
        <v>212</v>
      </c>
      <c r="E7065" s="1" t="s">
        <v>289</v>
      </c>
      <c r="F7065" s="2" t="s">
        <v>2605</v>
      </c>
      <c r="G7065" s="1">
        <v>6.2080000000000002</v>
      </c>
      <c r="H7065" s="1">
        <v>2</v>
      </c>
      <c r="I7065" s="1">
        <v>0.69840000000000002</v>
      </c>
    </row>
    <row r="7066" spans="1:9" x14ac:dyDescent="0.35">
      <c r="A7066" s="3">
        <v>42827</v>
      </c>
      <c r="B7066" s="1" t="s">
        <v>1057</v>
      </c>
      <c r="C7066" s="1" t="s">
        <v>197</v>
      </c>
      <c r="D7066" s="1" t="s">
        <v>136</v>
      </c>
      <c r="E7066" s="1" t="s">
        <v>37</v>
      </c>
      <c r="F7066" s="2" t="s">
        <v>1559</v>
      </c>
      <c r="G7066" s="1">
        <v>32.67</v>
      </c>
      <c r="H7066" s="1">
        <v>3</v>
      </c>
      <c r="I7066" s="1">
        <v>8.4941999999999993</v>
      </c>
    </row>
    <row r="7067" spans="1:9" x14ac:dyDescent="0.35">
      <c r="A7067" s="3">
        <v>41802</v>
      </c>
      <c r="B7067" s="1" t="s">
        <v>1041</v>
      </c>
      <c r="C7067" s="1" t="s">
        <v>17</v>
      </c>
      <c r="D7067" s="1" t="s">
        <v>18</v>
      </c>
      <c r="E7067" s="1" t="s">
        <v>26</v>
      </c>
      <c r="F7067" s="2" t="s">
        <v>1269</v>
      </c>
      <c r="G7067" s="1">
        <v>1261.33</v>
      </c>
      <c r="H7067" s="1">
        <v>7</v>
      </c>
      <c r="I7067" s="1">
        <v>327.94580000000002</v>
      </c>
    </row>
    <row r="7068" spans="1:9" x14ac:dyDescent="0.35">
      <c r="A7068" s="3" t="s">
        <v>3633</v>
      </c>
      <c r="B7068" s="1" t="s">
        <v>2321</v>
      </c>
      <c r="C7068" s="1" t="s">
        <v>17</v>
      </c>
      <c r="D7068" s="1" t="s">
        <v>18</v>
      </c>
      <c r="E7068" s="1" t="s">
        <v>44</v>
      </c>
      <c r="F7068" s="2" t="s">
        <v>2381</v>
      </c>
      <c r="G7068" s="1">
        <v>38.880000000000003</v>
      </c>
      <c r="H7068" s="1">
        <v>6</v>
      </c>
      <c r="I7068" s="1">
        <v>18.662400000000002</v>
      </c>
    </row>
    <row r="7069" spans="1:9" x14ac:dyDescent="0.35">
      <c r="A7069" s="3" t="s">
        <v>3540</v>
      </c>
      <c r="B7069" s="1" t="s">
        <v>634</v>
      </c>
      <c r="C7069" s="1" t="s">
        <v>399</v>
      </c>
      <c r="D7069" s="1" t="s">
        <v>52</v>
      </c>
      <c r="E7069" s="1" t="s">
        <v>35</v>
      </c>
      <c r="F7069" s="2" t="s">
        <v>390</v>
      </c>
      <c r="G7069" s="1">
        <v>1.964</v>
      </c>
      <c r="H7069" s="1">
        <v>2</v>
      </c>
      <c r="I7069" s="1">
        <v>-3.2406000000000001</v>
      </c>
    </row>
    <row r="7070" spans="1:9" x14ac:dyDescent="0.35">
      <c r="A7070" s="3" t="s">
        <v>3540</v>
      </c>
      <c r="B7070" s="1" t="s">
        <v>634</v>
      </c>
      <c r="C7070" s="1" t="s">
        <v>399</v>
      </c>
      <c r="D7070" s="1" t="s">
        <v>52</v>
      </c>
      <c r="E7070" s="1" t="s">
        <v>44</v>
      </c>
      <c r="F7070" s="2" t="s">
        <v>1204</v>
      </c>
      <c r="G7070" s="1">
        <v>82.656000000000006</v>
      </c>
      <c r="H7070" s="1">
        <v>9</v>
      </c>
      <c r="I7070" s="1">
        <v>30.995999999999999</v>
      </c>
    </row>
    <row r="7071" spans="1:9" x14ac:dyDescent="0.35">
      <c r="A7071" s="3">
        <v>41890</v>
      </c>
      <c r="B7071" s="1" t="s">
        <v>1543</v>
      </c>
      <c r="C7071" s="1" t="s">
        <v>1510</v>
      </c>
      <c r="D7071" s="1" t="s">
        <v>18</v>
      </c>
      <c r="E7071" s="1" t="s">
        <v>44</v>
      </c>
      <c r="F7071" s="2" t="s">
        <v>826</v>
      </c>
      <c r="G7071" s="1">
        <v>5.98</v>
      </c>
      <c r="H7071" s="1">
        <v>1</v>
      </c>
      <c r="I7071" s="1">
        <v>2.6909999999999998</v>
      </c>
    </row>
    <row r="7072" spans="1:9" x14ac:dyDescent="0.35">
      <c r="A7072" s="3">
        <v>42499</v>
      </c>
      <c r="B7072" s="1" t="s">
        <v>2581</v>
      </c>
      <c r="C7072" s="1" t="s">
        <v>154</v>
      </c>
      <c r="D7072" s="1" t="s">
        <v>106</v>
      </c>
      <c r="E7072" s="1" t="s">
        <v>44</v>
      </c>
      <c r="F7072" s="2" t="s">
        <v>1074</v>
      </c>
      <c r="G7072" s="1">
        <v>9.2479999999999993</v>
      </c>
      <c r="H7072" s="1">
        <v>2</v>
      </c>
      <c r="I7072" s="1">
        <v>3.3523999999999998</v>
      </c>
    </row>
    <row r="7073" spans="1:9" x14ac:dyDescent="0.35">
      <c r="A7073" s="3" t="s">
        <v>3520</v>
      </c>
      <c r="B7073" s="1" t="s">
        <v>921</v>
      </c>
      <c r="C7073" s="1" t="s">
        <v>2720</v>
      </c>
      <c r="D7073" s="1" t="s">
        <v>52</v>
      </c>
      <c r="E7073" s="1" t="s">
        <v>31</v>
      </c>
      <c r="F7073" s="2" t="s">
        <v>2456</v>
      </c>
      <c r="G7073" s="1">
        <v>4.4480000000000004</v>
      </c>
      <c r="H7073" s="1">
        <v>2</v>
      </c>
      <c r="I7073" s="1">
        <v>0.33360000000000001</v>
      </c>
    </row>
    <row r="7074" spans="1:9" x14ac:dyDescent="0.35">
      <c r="A7074" s="3" t="s">
        <v>3520</v>
      </c>
      <c r="B7074" s="1" t="s">
        <v>921</v>
      </c>
      <c r="C7074" s="1" t="s">
        <v>2720</v>
      </c>
      <c r="D7074" s="1" t="s">
        <v>52</v>
      </c>
      <c r="E7074" s="1" t="s">
        <v>44</v>
      </c>
      <c r="F7074" s="2" t="s">
        <v>1860</v>
      </c>
      <c r="G7074" s="1">
        <v>5.1840000000000002</v>
      </c>
      <c r="H7074" s="1">
        <v>1</v>
      </c>
      <c r="I7074" s="1">
        <v>1.8144</v>
      </c>
    </row>
    <row r="7075" spans="1:9" x14ac:dyDescent="0.35">
      <c r="A7075" s="3" t="s">
        <v>3520</v>
      </c>
      <c r="B7075" s="1" t="s">
        <v>921</v>
      </c>
      <c r="C7075" s="1" t="s">
        <v>2720</v>
      </c>
      <c r="D7075" s="1" t="s">
        <v>52</v>
      </c>
      <c r="E7075" s="1" t="s">
        <v>31</v>
      </c>
      <c r="F7075" s="2" t="s">
        <v>737</v>
      </c>
      <c r="G7075" s="1">
        <v>175.92</v>
      </c>
      <c r="H7075" s="1">
        <v>5</v>
      </c>
      <c r="I7075" s="1">
        <v>15.393000000000001</v>
      </c>
    </row>
    <row r="7076" spans="1:9" x14ac:dyDescent="0.35">
      <c r="A7076" s="3" t="s">
        <v>3520</v>
      </c>
      <c r="B7076" s="1" t="s">
        <v>921</v>
      </c>
      <c r="C7076" s="1" t="s">
        <v>2720</v>
      </c>
      <c r="D7076" s="1" t="s">
        <v>52</v>
      </c>
      <c r="E7076" s="1" t="s">
        <v>35</v>
      </c>
      <c r="F7076" s="2" t="s">
        <v>578</v>
      </c>
      <c r="G7076" s="1">
        <v>4.7519999999999998</v>
      </c>
      <c r="H7076" s="1">
        <v>4</v>
      </c>
      <c r="I7076" s="1">
        <v>-8.3160000000000007</v>
      </c>
    </row>
    <row r="7077" spans="1:9" x14ac:dyDescent="0.35">
      <c r="A7077" s="3" t="s">
        <v>3520</v>
      </c>
      <c r="B7077" s="1" t="s">
        <v>921</v>
      </c>
      <c r="C7077" s="1" t="s">
        <v>2720</v>
      </c>
      <c r="D7077" s="1" t="s">
        <v>52</v>
      </c>
      <c r="E7077" s="1" t="s">
        <v>289</v>
      </c>
      <c r="F7077" s="2" t="s">
        <v>1780</v>
      </c>
      <c r="G7077" s="1">
        <v>13.343999999999999</v>
      </c>
      <c r="H7077" s="1">
        <v>2</v>
      </c>
      <c r="I7077" s="1">
        <v>1.0007999999999999</v>
      </c>
    </row>
    <row r="7078" spans="1:9" x14ac:dyDescent="0.35">
      <c r="A7078" s="3">
        <v>42709</v>
      </c>
      <c r="B7078" s="1" t="s">
        <v>2864</v>
      </c>
      <c r="C7078" s="1" t="s">
        <v>47</v>
      </c>
      <c r="D7078" s="1" t="s">
        <v>48</v>
      </c>
      <c r="E7078" s="1" t="s">
        <v>87</v>
      </c>
      <c r="F7078" s="2" t="s">
        <v>1058</v>
      </c>
      <c r="G7078" s="1">
        <v>54.9</v>
      </c>
      <c r="H7078" s="1">
        <v>5</v>
      </c>
      <c r="I7078" s="1">
        <v>26.901</v>
      </c>
    </row>
    <row r="7079" spans="1:9" x14ac:dyDescent="0.35">
      <c r="A7079" s="3">
        <v>42409</v>
      </c>
      <c r="B7079" s="1" t="s">
        <v>1981</v>
      </c>
      <c r="C7079" s="1" t="s">
        <v>234</v>
      </c>
      <c r="D7079" s="1" t="s">
        <v>43</v>
      </c>
      <c r="E7079" s="1" t="s">
        <v>35</v>
      </c>
      <c r="F7079" s="2" t="s">
        <v>1115</v>
      </c>
      <c r="G7079" s="1">
        <v>22.911000000000001</v>
      </c>
      <c r="H7079" s="1">
        <v>7</v>
      </c>
      <c r="I7079" s="1">
        <v>-17.565100000000001</v>
      </c>
    </row>
    <row r="7080" spans="1:9" x14ac:dyDescent="0.35">
      <c r="A7080" s="3">
        <v>42409</v>
      </c>
      <c r="B7080" s="1" t="s">
        <v>1981</v>
      </c>
      <c r="C7080" s="1" t="s">
        <v>234</v>
      </c>
      <c r="D7080" s="1" t="s">
        <v>43</v>
      </c>
      <c r="E7080" s="1" t="s">
        <v>37</v>
      </c>
      <c r="F7080" s="2" t="s">
        <v>2367</v>
      </c>
      <c r="G7080" s="1">
        <v>309.45600000000002</v>
      </c>
      <c r="H7080" s="1">
        <v>9</v>
      </c>
      <c r="I7080" s="1">
        <v>34.813800000000001</v>
      </c>
    </row>
    <row r="7081" spans="1:9" x14ac:dyDescent="0.35">
      <c r="A7081" s="3">
        <v>42409</v>
      </c>
      <c r="B7081" s="1" t="s">
        <v>1981</v>
      </c>
      <c r="C7081" s="1" t="s">
        <v>234</v>
      </c>
      <c r="D7081" s="1" t="s">
        <v>43</v>
      </c>
      <c r="E7081" s="1" t="s">
        <v>31</v>
      </c>
      <c r="F7081" s="2" t="s">
        <v>874</v>
      </c>
      <c r="G7081" s="1">
        <v>19.456</v>
      </c>
      <c r="H7081" s="1">
        <v>4</v>
      </c>
      <c r="I7081" s="1">
        <v>3.4047999999999998</v>
      </c>
    </row>
    <row r="7082" spans="1:9" x14ac:dyDescent="0.35">
      <c r="A7082" s="3">
        <v>42409</v>
      </c>
      <c r="B7082" s="1" t="s">
        <v>1981</v>
      </c>
      <c r="C7082" s="1" t="s">
        <v>234</v>
      </c>
      <c r="D7082" s="1" t="s">
        <v>43</v>
      </c>
      <c r="E7082" s="1" t="s">
        <v>24</v>
      </c>
      <c r="F7082" s="2" t="s">
        <v>256</v>
      </c>
      <c r="G7082" s="1">
        <v>472.51799999999997</v>
      </c>
      <c r="H7082" s="1">
        <v>3</v>
      </c>
      <c r="I7082" s="1">
        <v>-149.63069999999999</v>
      </c>
    </row>
    <row r="7083" spans="1:9" x14ac:dyDescent="0.35">
      <c r="A7083" s="3">
        <v>42409</v>
      </c>
      <c r="B7083" s="1" t="s">
        <v>1981</v>
      </c>
      <c r="C7083" s="1" t="s">
        <v>234</v>
      </c>
      <c r="D7083" s="1" t="s">
        <v>43</v>
      </c>
      <c r="E7083" s="1" t="s">
        <v>81</v>
      </c>
      <c r="F7083" s="2" t="s">
        <v>1797</v>
      </c>
      <c r="G7083" s="1">
        <v>1012.68</v>
      </c>
      <c r="H7083" s="1">
        <v>3</v>
      </c>
      <c r="I7083" s="1">
        <v>303.80399999999997</v>
      </c>
    </row>
    <row r="7084" spans="1:9" x14ac:dyDescent="0.35">
      <c r="A7084" s="3">
        <v>42409</v>
      </c>
      <c r="B7084" s="1" t="s">
        <v>1981</v>
      </c>
      <c r="C7084" s="1" t="s">
        <v>234</v>
      </c>
      <c r="D7084" s="1" t="s">
        <v>43</v>
      </c>
      <c r="E7084" s="1" t="s">
        <v>35</v>
      </c>
      <c r="F7084" s="2" t="s">
        <v>2365</v>
      </c>
      <c r="G7084" s="1">
        <v>17.22</v>
      </c>
      <c r="H7084" s="1">
        <v>5</v>
      </c>
      <c r="I7084" s="1">
        <v>-12.628</v>
      </c>
    </row>
    <row r="7085" spans="1:9" x14ac:dyDescent="0.35">
      <c r="A7085" s="3" t="s">
        <v>3528</v>
      </c>
      <c r="B7085" s="1" t="s">
        <v>979</v>
      </c>
      <c r="C7085" s="1" t="s">
        <v>42</v>
      </c>
      <c r="D7085" s="1" t="s">
        <v>18</v>
      </c>
      <c r="E7085" s="1" t="s">
        <v>31</v>
      </c>
      <c r="F7085" s="2" t="s">
        <v>2111</v>
      </c>
      <c r="G7085" s="1">
        <v>3.52</v>
      </c>
      <c r="H7085" s="1">
        <v>2</v>
      </c>
      <c r="I7085" s="1">
        <v>1.6896</v>
      </c>
    </row>
    <row r="7086" spans="1:9" x14ac:dyDescent="0.35">
      <c r="A7086" s="3" t="s">
        <v>3528</v>
      </c>
      <c r="B7086" s="1" t="s">
        <v>979</v>
      </c>
      <c r="C7086" s="1" t="s">
        <v>42</v>
      </c>
      <c r="D7086" s="1" t="s">
        <v>18</v>
      </c>
      <c r="E7086" s="1" t="s">
        <v>33</v>
      </c>
      <c r="F7086" s="2" t="s">
        <v>1589</v>
      </c>
      <c r="G7086" s="1">
        <v>1626.192</v>
      </c>
      <c r="H7086" s="1">
        <v>9</v>
      </c>
      <c r="I7086" s="1">
        <v>121.9644</v>
      </c>
    </row>
    <row r="7087" spans="1:9" x14ac:dyDescent="0.35">
      <c r="A7087" s="3" t="s">
        <v>3339</v>
      </c>
      <c r="B7087" s="1" t="s">
        <v>1252</v>
      </c>
      <c r="C7087" s="1" t="s">
        <v>1024</v>
      </c>
      <c r="D7087" s="1" t="s">
        <v>75</v>
      </c>
      <c r="E7087" s="1" t="s">
        <v>35</v>
      </c>
      <c r="F7087" s="2" t="s">
        <v>2582</v>
      </c>
      <c r="G7087" s="1">
        <v>8.5950000000000006</v>
      </c>
      <c r="H7087" s="1">
        <v>5</v>
      </c>
      <c r="I7087" s="1">
        <v>-6.3029999999999999</v>
      </c>
    </row>
    <row r="7088" spans="1:9" x14ac:dyDescent="0.35">
      <c r="A7088" s="3" t="s">
        <v>3339</v>
      </c>
      <c r="B7088" s="1" t="s">
        <v>1252</v>
      </c>
      <c r="C7088" s="1" t="s">
        <v>1024</v>
      </c>
      <c r="D7088" s="1" t="s">
        <v>75</v>
      </c>
      <c r="E7088" s="1" t="s">
        <v>289</v>
      </c>
      <c r="F7088" s="2" t="s">
        <v>2352</v>
      </c>
      <c r="G7088" s="1">
        <v>190.89599999999999</v>
      </c>
      <c r="H7088" s="1">
        <v>2</v>
      </c>
      <c r="I7088" s="1">
        <v>-42.951599999999999</v>
      </c>
    </row>
    <row r="7089" spans="1:9" x14ac:dyDescent="0.35">
      <c r="A7089" s="3">
        <v>42802</v>
      </c>
      <c r="B7089" s="1" t="s">
        <v>2361</v>
      </c>
      <c r="C7089" s="1" t="s">
        <v>17</v>
      </c>
      <c r="D7089" s="1" t="s">
        <v>18</v>
      </c>
      <c r="E7089" s="1" t="s">
        <v>26</v>
      </c>
      <c r="F7089" s="2" t="s">
        <v>2144</v>
      </c>
      <c r="G7089" s="1">
        <v>99.87</v>
      </c>
      <c r="H7089" s="1">
        <v>3</v>
      </c>
      <c r="I7089" s="1">
        <v>23.968800000000002</v>
      </c>
    </row>
    <row r="7090" spans="1:9" x14ac:dyDescent="0.35">
      <c r="A7090" s="3" t="s">
        <v>3543</v>
      </c>
      <c r="B7090" s="1" t="s">
        <v>892</v>
      </c>
      <c r="C7090" s="1" t="s">
        <v>2210</v>
      </c>
      <c r="D7090" s="1" t="s">
        <v>659</v>
      </c>
      <c r="E7090" s="1" t="s">
        <v>31</v>
      </c>
      <c r="F7090" s="2" t="s">
        <v>1752</v>
      </c>
      <c r="G7090" s="1">
        <v>79.36</v>
      </c>
      <c r="H7090" s="1">
        <v>4</v>
      </c>
      <c r="I7090" s="1">
        <v>23.808</v>
      </c>
    </row>
    <row r="7091" spans="1:9" x14ac:dyDescent="0.35">
      <c r="A7091" s="3" t="s">
        <v>3282</v>
      </c>
      <c r="B7091" s="1" t="s">
        <v>488</v>
      </c>
      <c r="C7091" s="1" t="s">
        <v>17</v>
      </c>
      <c r="D7091" s="1" t="s">
        <v>18</v>
      </c>
      <c r="E7091" s="1" t="s">
        <v>33</v>
      </c>
      <c r="F7091" s="2" t="s">
        <v>1969</v>
      </c>
      <c r="G7091" s="1">
        <v>119.96</v>
      </c>
      <c r="H7091" s="1">
        <v>1</v>
      </c>
      <c r="I7091" s="1">
        <v>7.4974999999999996</v>
      </c>
    </row>
    <row r="7092" spans="1:9" x14ac:dyDescent="0.35">
      <c r="A7092" s="3">
        <v>42248</v>
      </c>
      <c r="B7092" s="1" t="s">
        <v>1873</v>
      </c>
      <c r="C7092" s="1" t="s">
        <v>10</v>
      </c>
      <c r="D7092" s="1" t="s">
        <v>11</v>
      </c>
      <c r="E7092" s="1" t="s">
        <v>44</v>
      </c>
      <c r="F7092" s="2" t="s">
        <v>94</v>
      </c>
      <c r="G7092" s="1">
        <v>106.32</v>
      </c>
      <c r="H7092" s="1">
        <v>3</v>
      </c>
      <c r="I7092" s="1">
        <v>49.970399999999998</v>
      </c>
    </row>
    <row r="7093" spans="1:9" x14ac:dyDescent="0.35">
      <c r="A7093" s="3">
        <v>42248</v>
      </c>
      <c r="B7093" s="1" t="s">
        <v>1873</v>
      </c>
      <c r="C7093" s="1" t="s">
        <v>10</v>
      </c>
      <c r="D7093" s="1" t="s">
        <v>11</v>
      </c>
      <c r="E7093" s="1" t="s">
        <v>37</v>
      </c>
      <c r="F7093" s="2" t="s">
        <v>2176</v>
      </c>
      <c r="G7093" s="1">
        <v>163.44</v>
      </c>
      <c r="H7093" s="1">
        <v>3</v>
      </c>
      <c r="I7093" s="1">
        <v>45.763199999999998</v>
      </c>
    </row>
    <row r="7094" spans="1:9" x14ac:dyDescent="0.35">
      <c r="A7094" s="3">
        <v>42248</v>
      </c>
      <c r="B7094" s="1" t="s">
        <v>1873</v>
      </c>
      <c r="C7094" s="1" t="s">
        <v>10</v>
      </c>
      <c r="D7094" s="1" t="s">
        <v>11</v>
      </c>
      <c r="E7094" s="1" t="s">
        <v>31</v>
      </c>
      <c r="F7094" s="2" t="s">
        <v>2310</v>
      </c>
      <c r="G7094" s="1">
        <v>42.76</v>
      </c>
      <c r="H7094" s="1">
        <v>2</v>
      </c>
      <c r="I7094" s="1">
        <v>11.117599999999999</v>
      </c>
    </row>
    <row r="7095" spans="1:9" x14ac:dyDescent="0.35">
      <c r="A7095" s="3">
        <v>42248</v>
      </c>
      <c r="B7095" s="1" t="s">
        <v>1873</v>
      </c>
      <c r="C7095" s="1" t="s">
        <v>10</v>
      </c>
      <c r="D7095" s="1" t="s">
        <v>11</v>
      </c>
      <c r="E7095" s="1" t="s">
        <v>44</v>
      </c>
      <c r="F7095" s="2" t="s">
        <v>2565</v>
      </c>
      <c r="G7095" s="1">
        <v>51.55</v>
      </c>
      <c r="H7095" s="1">
        <v>5</v>
      </c>
      <c r="I7095" s="1">
        <v>24.2285</v>
      </c>
    </row>
    <row r="7096" spans="1:9" x14ac:dyDescent="0.35">
      <c r="A7096" s="3">
        <v>42249</v>
      </c>
      <c r="B7096" s="1" t="s">
        <v>1893</v>
      </c>
      <c r="C7096" s="1" t="s">
        <v>181</v>
      </c>
      <c r="D7096" s="1" t="s">
        <v>106</v>
      </c>
      <c r="E7096" s="1" t="s">
        <v>81</v>
      </c>
      <c r="F7096" s="2" t="s">
        <v>563</v>
      </c>
      <c r="G7096" s="1">
        <v>479.952</v>
      </c>
      <c r="H7096" s="1">
        <v>6</v>
      </c>
      <c r="I7096" s="1">
        <v>89.991</v>
      </c>
    </row>
    <row r="7097" spans="1:9" x14ac:dyDescent="0.35">
      <c r="A7097" s="3" t="s">
        <v>3758</v>
      </c>
      <c r="B7097" s="1" t="s">
        <v>993</v>
      </c>
      <c r="C7097" s="1" t="s">
        <v>135</v>
      </c>
      <c r="D7097" s="1" t="s">
        <v>136</v>
      </c>
      <c r="E7097" s="1" t="s">
        <v>35</v>
      </c>
      <c r="F7097" s="2" t="s">
        <v>1670</v>
      </c>
      <c r="G7097" s="1">
        <v>146.68799999999999</v>
      </c>
      <c r="H7097" s="1">
        <v>6</v>
      </c>
      <c r="I7097" s="1">
        <v>55.008000000000003</v>
      </c>
    </row>
    <row r="7098" spans="1:9" x14ac:dyDescent="0.35">
      <c r="A7098" s="3" t="s">
        <v>3758</v>
      </c>
      <c r="B7098" s="1" t="s">
        <v>993</v>
      </c>
      <c r="C7098" s="1" t="s">
        <v>135</v>
      </c>
      <c r="D7098" s="1" t="s">
        <v>136</v>
      </c>
      <c r="E7098" s="1" t="s">
        <v>35</v>
      </c>
      <c r="F7098" s="2" t="s">
        <v>2650</v>
      </c>
      <c r="G7098" s="1">
        <v>276.78399999999999</v>
      </c>
      <c r="H7098" s="1">
        <v>2</v>
      </c>
      <c r="I7098" s="1">
        <v>89.954800000000006</v>
      </c>
    </row>
    <row r="7099" spans="1:9" x14ac:dyDescent="0.35">
      <c r="A7099" s="3" t="s">
        <v>3758</v>
      </c>
      <c r="B7099" s="1" t="s">
        <v>993</v>
      </c>
      <c r="C7099" s="1" t="s">
        <v>135</v>
      </c>
      <c r="D7099" s="1" t="s">
        <v>136</v>
      </c>
      <c r="E7099" s="1" t="s">
        <v>35</v>
      </c>
      <c r="F7099" s="2" t="s">
        <v>1452</v>
      </c>
      <c r="G7099" s="1">
        <v>25.32</v>
      </c>
      <c r="H7099" s="1">
        <v>5</v>
      </c>
      <c r="I7099" s="1">
        <v>9.1784999999999997</v>
      </c>
    </row>
    <row r="7100" spans="1:9" x14ac:dyDescent="0.35">
      <c r="A7100" s="3">
        <v>42897</v>
      </c>
      <c r="B7100" s="1" t="s">
        <v>1003</v>
      </c>
      <c r="C7100" s="1" t="s">
        <v>135</v>
      </c>
      <c r="D7100" s="1" t="s">
        <v>136</v>
      </c>
      <c r="E7100" s="1" t="s">
        <v>44</v>
      </c>
      <c r="F7100" s="2" t="s">
        <v>2889</v>
      </c>
      <c r="G7100" s="1">
        <v>318.95999999999998</v>
      </c>
      <c r="H7100" s="1">
        <v>9</v>
      </c>
      <c r="I7100" s="1">
        <v>149.91120000000001</v>
      </c>
    </row>
    <row r="7101" spans="1:9" x14ac:dyDescent="0.35">
      <c r="A7101" s="3" t="s">
        <v>3632</v>
      </c>
      <c r="B7101" s="1" t="s">
        <v>2347</v>
      </c>
      <c r="C7101" s="1" t="s">
        <v>135</v>
      </c>
      <c r="D7101" s="1" t="s">
        <v>136</v>
      </c>
      <c r="E7101" s="1" t="s">
        <v>44</v>
      </c>
      <c r="F7101" s="2" t="s">
        <v>2889</v>
      </c>
      <c r="G7101" s="1">
        <v>212.64</v>
      </c>
      <c r="H7101" s="1">
        <v>6</v>
      </c>
      <c r="I7101" s="1">
        <v>99.940799999999996</v>
      </c>
    </row>
    <row r="7102" spans="1:9" x14ac:dyDescent="0.35">
      <c r="A7102" s="3" t="s">
        <v>3437</v>
      </c>
      <c r="B7102" s="1" t="s">
        <v>1205</v>
      </c>
      <c r="C7102" s="1" t="s">
        <v>311</v>
      </c>
      <c r="D7102" s="1" t="s">
        <v>158</v>
      </c>
      <c r="E7102" s="1" t="s">
        <v>87</v>
      </c>
      <c r="F7102" s="2" t="s">
        <v>332</v>
      </c>
      <c r="G7102" s="1">
        <v>23.472000000000001</v>
      </c>
      <c r="H7102" s="1">
        <v>3</v>
      </c>
      <c r="I7102" s="1">
        <v>8.8019999999999996</v>
      </c>
    </row>
    <row r="7103" spans="1:9" x14ac:dyDescent="0.35">
      <c r="A7103" s="3">
        <v>42377</v>
      </c>
      <c r="B7103" s="1" t="s">
        <v>2719</v>
      </c>
      <c r="C7103" s="1" t="s">
        <v>757</v>
      </c>
      <c r="D7103" s="1" t="s">
        <v>52</v>
      </c>
      <c r="E7103" s="1" t="s">
        <v>44</v>
      </c>
      <c r="F7103" s="2" t="s">
        <v>94</v>
      </c>
      <c r="G7103" s="1">
        <v>19.648</v>
      </c>
      <c r="H7103" s="1">
        <v>2</v>
      </c>
      <c r="I7103" s="1">
        <v>6.6311999999999998</v>
      </c>
    </row>
    <row r="7104" spans="1:9" x14ac:dyDescent="0.35">
      <c r="A7104" s="3" t="s">
        <v>3258</v>
      </c>
      <c r="B7104" s="1" t="s">
        <v>1481</v>
      </c>
      <c r="C7104" s="1" t="s">
        <v>74</v>
      </c>
      <c r="D7104" s="1" t="s">
        <v>75</v>
      </c>
      <c r="E7104" s="1" t="s">
        <v>35</v>
      </c>
      <c r="F7104" s="2" t="s">
        <v>649</v>
      </c>
      <c r="G7104" s="1">
        <v>6.57</v>
      </c>
      <c r="H7104" s="1">
        <v>3</v>
      </c>
      <c r="I7104" s="1">
        <v>-5.0369999999999999</v>
      </c>
    </row>
    <row r="7105" spans="1:9" x14ac:dyDescent="0.35">
      <c r="A7105" s="3">
        <v>42834</v>
      </c>
      <c r="B7105" s="1" t="s">
        <v>1506</v>
      </c>
      <c r="C7105" s="1" t="s">
        <v>1144</v>
      </c>
      <c r="D7105" s="1" t="s">
        <v>18</v>
      </c>
      <c r="E7105" s="1" t="s">
        <v>26</v>
      </c>
      <c r="F7105" s="2" t="s">
        <v>2784</v>
      </c>
      <c r="G7105" s="1">
        <v>421.1</v>
      </c>
      <c r="H7105" s="1">
        <v>2</v>
      </c>
      <c r="I7105" s="1">
        <v>105.27500000000001</v>
      </c>
    </row>
    <row r="7106" spans="1:9" x14ac:dyDescent="0.35">
      <c r="A7106" s="3" t="s">
        <v>3502</v>
      </c>
      <c r="B7106" s="1" t="s">
        <v>1923</v>
      </c>
      <c r="C7106" s="1" t="s">
        <v>303</v>
      </c>
      <c r="D7106" s="1" t="s">
        <v>250</v>
      </c>
      <c r="E7106" s="1" t="s">
        <v>14</v>
      </c>
      <c r="F7106" s="2" t="s">
        <v>607</v>
      </c>
      <c r="G7106" s="1">
        <v>760.11599999999999</v>
      </c>
      <c r="H7106" s="1">
        <v>6</v>
      </c>
      <c r="I7106" s="1">
        <v>-43.435200000000002</v>
      </c>
    </row>
    <row r="7107" spans="1:9" x14ac:dyDescent="0.35">
      <c r="A7107" s="3" t="s">
        <v>3502</v>
      </c>
      <c r="B7107" s="1" t="s">
        <v>1923</v>
      </c>
      <c r="C7107" s="1" t="s">
        <v>303</v>
      </c>
      <c r="D7107" s="1" t="s">
        <v>250</v>
      </c>
      <c r="E7107" s="1" t="s">
        <v>29</v>
      </c>
      <c r="F7107" s="2" t="s">
        <v>2270</v>
      </c>
      <c r="G7107" s="1">
        <v>38.783999999999999</v>
      </c>
      <c r="H7107" s="1">
        <v>3</v>
      </c>
      <c r="I7107" s="1">
        <v>7.2720000000000002</v>
      </c>
    </row>
    <row r="7108" spans="1:9" x14ac:dyDescent="0.35">
      <c r="A7108" s="3" t="s">
        <v>3502</v>
      </c>
      <c r="B7108" s="1" t="s">
        <v>1923</v>
      </c>
      <c r="C7108" s="1" t="s">
        <v>303</v>
      </c>
      <c r="D7108" s="1" t="s">
        <v>250</v>
      </c>
      <c r="E7108" s="1" t="s">
        <v>81</v>
      </c>
      <c r="F7108" s="2" t="s">
        <v>2690</v>
      </c>
      <c r="G7108" s="1">
        <v>122.328</v>
      </c>
      <c r="H7108" s="1">
        <v>9</v>
      </c>
      <c r="I7108" s="1">
        <v>1.5290999999999999</v>
      </c>
    </row>
    <row r="7109" spans="1:9" x14ac:dyDescent="0.35">
      <c r="A7109" s="3" t="s">
        <v>3759</v>
      </c>
      <c r="B7109" s="1" t="s">
        <v>148</v>
      </c>
      <c r="C7109" s="1" t="s">
        <v>135</v>
      </c>
      <c r="D7109" s="1" t="s">
        <v>136</v>
      </c>
      <c r="E7109" s="1" t="s">
        <v>33</v>
      </c>
      <c r="F7109" s="2" t="s">
        <v>1236</v>
      </c>
      <c r="G7109" s="1">
        <v>25.98</v>
      </c>
      <c r="H7109" s="1">
        <v>2</v>
      </c>
      <c r="I7109" s="1">
        <v>0.77939999999999998</v>
      </c>
    </row>
    <row r="7110" spans="1:9" x14ac:dyDescent="0.35">
      <c r="A7110" s="3" t="s">
        <v>3759</v>
      </c>
      <c r="B7110" s="1" t="s">
        <v>148</v>
      </c>
      <c r="C7110" s="1" t="s">
        <v>135</v>
      </c>
      <c r="D7110" s="1" t="s">
        <v>136</v>
      </c>
      <c r="E7110" s="1" t="s">
        <v>31</v>
      </c>
      <c r="F7110" s="2" t="s">
        <v>1986</v>
      </c>
      <c r="G7110" s="1">
        <v>3.28</v>
      </c>
      <c r="H7110" s="1">
        <v>2</v>
      </c>
      <c r="I7110" s="1">
        <v>1.476</v>
      </c>
    </row>
    <row r="7111" spans="1:9" x14ac:dyDescent="0.35">
      <c r="A7111" s="3" t="s">
        <v>3759</v>
      </c>
      <c r="B7111" s="1" t="s">
        <v>148</v>
      </c>
      <c r="C7111" s="1" t="s">
        <v>135</v>
      </c>
      <c r="D7111" s="1" t="s">
        <v>136</v>
      </c>
      <c r="E7111" s="1" t="s">
        <v>26</v>
      </c>
      <c r="F7111" s="2" t="s">
        <v>340</v>
      </c>
      <c r="G7111" s="1">
        <v>459.88</v>
      </c>
      <c r="H7111" s="1">
        <v>4</v>
      </c>
      <c r="I7111" s="1">
        <v>13.7964</v>
      </c>
    </row>
    <row r="7112" spans="1:9" x14ac:dyDescent="0.35">
      <c r="A7112" s="3" t="s">
        <v>3759</v>
      </c>
      <c r="B7112" s="1" t="s">
        <v>148</v>
      </c>
      <c r="C7112" s="1" t="s">
        <v>135</v>
      </c>
      <c r="D7112" s="1" t="s">
        <v>136</v>
      </c>
      <c r="E7112" s="1" t="s">
        <v>289</v>
      </c>
      <c r="F7112" s="2" t="s">
        <v>2605</v>
      </c>
      <c r="G7112" s="1">
        <v>7.76</v>
      </c>
      <c r="H7112" s="1">
        <v>2</v>
      </c>
      <c r="I7112" s="1">
        <v>2.2504</v>
      </c>
    </row>
    <row r="7113" spans="1:9" x14ac:dyDescent="0.35">
      <c r="A7113" s="3" t="s">
        <v>3759</v>
      </c>
      <c r="B7113" s="1" t="s">
        <v>148</v>
      </c>
      <c r="C7113" s="1" t="s">
        <v>135</v>
      </c>
      <c r="D7113" s="1" t="s">
        <v>136</v>
      </c>
      <c r="E7113" s="1" t="s">
        <v>31</v>
      </c>
      <c r="F7113" s="2" t="s">
        <v>1534</v>
      </c>
      <c r="G7113" s="1">
        <v>71.959999999999994</v>
      </c>
      <c r="H7113" s="1">
        <v>2</v>
      </c>
      <c r="I7113" s="1">
        <v>17.989999999999998</v>
      </c>
    </row>
    <row r="7114" spans="1:9" x14ac:dyDescent="0.35">
      <c r="A7114" s="3" t="s">
        <v>3759</v>
      </c>
      <c r="B7114" s="1" t="s">
        <v>148</v>
      </c>
      <c r="C7114" s="1" t="s">
        <v>135</v>
      </c>
      <c r="D7114" s="1" t="s">
        <v>136</v>
      </c>
      <c r="E7114" s="1" t="s">
        <v>289</v>
      </c>
      <c r="F7114" s="2" t="s">
        <v>290</v>
      </c>
      <c r="G7114" s="1">
        <v>54.9</v>
      </c>
      <c r="H7114" s="1">
        <v>5</v>
      </c>
      <c r="I7114" s="1">
        <v>15.372</v>
      </c>
    </row>
    <row r="7115" spans="1:9" x14ac:dyDescent="0.35">
      <c r="A7115" s="3" t="s">
        <v>3759</v>
      </c>
      <c r="B7115" s="1" t="s">
        <v>148</v>
      </c>
      <c r="C7115" s="1" t="s">
        <v>135</v>
      </c>
      <c r="D7115" s="1" t="s">
        <v>136</v>
      </c>
      <c r="E7115" s="1" t="s">
        <v>35</v>
      </c>
      <c r="F7115" s="2" t="s">
        <v>2420</v>
      </c>
      <c r="G7115" s="1">
        <v>9.2799999999999994</v>
      </c>
      <c r="H7115" s="1">
        <v>2</v>
      </c>
      <c r="I7115" s="1">
        <v>3.2480000000000002</v>
      </c>
    </row>
    <row r="7116" spans="1:9" x14ac:dyDescent="0.35">
      <c r="A7116" s="3">
        <v>42495</v>
      </c>
      <c r="B7116" s="1" t="s">
        <v>1283</v>
      </c>
      <c r="C7116" s="1" t="s">
        <v>10</v>
      </c>
      <c r="D7116" s="1" t="s">
        <v>659</v>
      </c>
      <c r="E7116" s="1" t="s">
        <v>24</v>
      </c>
      <c r="F7116" s="2" t="s">
        <v>2767</v>
      </c>
      <c r="G7116" s="1">
        <v>1685.88</v>
      </c>
      <c r="H7116" s="1">
        <v>6</v>
      </c>
      <c r="I7116" s="1">
        <v>320.31720000000001</v>
      </c>
    </row>
    <row r="7117" spans="1:9" x14ac:dyDescent="0.35">
      <c r="A7117" s="3">
        <v>42495</v>
      </c>
      <c r="B7117" s="1" t="s">
        <v>1283</v>
      </c>
      <c r="C7117" s="1" t="s">
        <v>10</v>
      </c>
      <c r="D7117" s="1" t="s">
        <v>659</v>
      </c>
      <c r="E7117" s="1" t="s">
        <v>35</v>
      </c>
      <c r="F7117" s="2" t="s">
        <v>369</v>
      </c>
      <c r="G7117" s="1">
        <v>5.7279999999999998</v>
      </c>
      <c r="H7117" s="1">
        <v>2</v>
      </c>
      <c r="I7117" s="1">
        <v>2.0047999999999999</v>
      </c>
    </row>
    <row r="7118" spans="1:9" x14ac:dyDescent="0.35">
      <c r="A7118" s="3" t="s">
        <v>3612</v>
      </c>
      <c r="B7118" s="1" t="s">
        <v>1744</v>
      </c>
      <c r="C7118" s="1" t="s">
        <v>47</v>
      </c>
      <c r="D7118" s="1" t="s">
        <v>48</v>
      </c>
      <c r="E7118" s="1" t="s">
        <v>44</v>
      </c>
      <c r="F7118" s="2" t="s">
        <v>1827</v>
      </c>
      <c r="G7118" s="1">
        <v>61.96</v>
      </c>
      <c r="H7118" s="1">
        <v>2</v>
      </c>
      <c r="I7118" s="1">
        <v>27.882000000000001</v>
      </c>
    </row>
    <row r="7119" spans="1:9" x14ac:dyDescent="0.35">
      <c r="A7119" s="3" t="s">
        <v>3612</v>
      </c>
      <c r="B7119" s="1" t="s">
        <v>1744</v>
      </c>
      <c r="C7119" s="1" t="s">
        <v>47</v>
      </c>
      <c r="D7119" s="1" t="s">
        <v>48</v>
      </c>
      <c r="E7119" s="1" t="s">
        <v>35</v>
      </c>
      <c r="F7119" s="2" t="s">
        <v>2215</v>
      </c>
      <c r="G7119" s="1">
        <v>1.3440000000000001</v>
      </c>
      <c r="H7119" s="1">
        <v>1</v>
      </c>
      <c r="I7119" s="1">
        <v>0.47039999999999998</v>
      </c>
    </row>
    <row r="7120" spans="1:9" x14ac:dyDescent="0.35">
      <c r="A7120" s="3" t="s">
        <v>3243</v>
      </c>
      <c r="B7120" s="1" t="s">
        <v>2485</v>
      </c>
      <c r="C7120" s="1" t="s">
        <v>135</v>
      </c>
      <c r="D7120" s="1" t="s">
        <v>136</v>
      </c>
      <c r="E7120" s="1" t="s">
        <v>44</v>
      </c>
      <c r="F7120" s="2" t="s">
        <v>2201</v>
      </c>
      <c r="G7120" s="1">
        <v>17.940000000000001</v>
      </c>
      <c r="H7120" s="1">
        <v>3</v>
      </c>
      <c r="I7120" s="1">
        <v>8.7905999999999995</v>
      </c>
    </row>
    <row r="7121" spans="1:9" x14ac:dyDescent="0.35">
      <c r="A7121" s="3" t="s">
        <v>3272</v>
      </c>
      <c r="B7121" s="1" t="s">
        <v>257</v>
      </c>
      <c r="C7121" s="1" t="s">
        <v>47</v>
      </c>
      <c r="D7121" s="1" t="s">
        <v>48</v>
      </c>
      <c r="E7121" s="1" t="s">
        <v>35</v>
      </c>
      <c r="F7121" s="2" t="s">
        <v>943</v>
      </c>
      <c r="G7121" s="1">
        <v>13.904</v>
      </c>
      <c r="H7121" s="1">
        <v>2</v>
      </c>
      <c r="I7121" s="1">
        <v>4.5187999999999997</v>
      </c>
    </row>
    <row r="7122" spans="1:9" x14ac:dyDescent="0.35">
      <c r="A7122" s="3" t="s">
        <v>3674</v>
      </c>
      <c r="B7122" s="1" t="s">
        <v>625</v>
      </c>
      <c r="C7122" s="1" t="s">
        <v>1627</v>
      </c>
      <c r="D7122" s="1" t="s">
        <v>171</v>
      </c>
      <c r="E7122" s="1" t="s">
        <v>35</v>
      </c>
      <c r="F7122" s="2" t="s">
        <v>1971</v>
      </c>
      <c r="G7122" s="1">
        <v>67.194000000000003</v>
      </c>
      <c r="H7122" s="1">
        <v>1</v>
      </c>
      <c r="I7122" s="1">
        <v>-51.5154</v>
      </c>
    </row>
    <row r="7123" spans="1:9" x14ac:dyDescent="0.35">
      <c r="A7123" s="3">
        <v>42747</v>
      </c>
      <c r="B7123" s="1" t="s">
        <v>21</v>
      </c>
      <c r="C7123" s="1" t="s">
        <v>47</v>
      </c>
      <c r="D7123" s="1" t="s">
        <v>48</v>
      </c>
      <c r="E7123" s="1" t="s">
        <v>44</v>
      </c>
      <c r="F7123" s="2" t="s">
        <v>2971</v>
      </c>
      <c r="G7123" s="1">
        <v>41.86</v>
      </c>
      <c r="H7123" s="1">
        <v>7</v>
      </c>
      <c r="I7123" s="1">
        <v>18.837</v>
      </c>
    </row>
    <row r="7124" spans="1:9" x14ac:dyDescent="0.35">
      <c r="A7124" s="3">
        <v>42747</v>
      </c>
      <c r="B7124" s="1" t="s">
        <v>21</v>
      </c>
      <c r="C7124" s="1" t="s">
        <v>47</v>
      </c>
      <c r="D7124" s="1" t="s">
        <v>48</v>
      </c>
      <c r="E7124" s="1" t="s">
        <v>12</v>
      </c>
      <c r="F7124" s="2" t="s">
        <v>2548</v>
      </c>
      <c r="G7124" s="1">
        <v>141.96</v>
      </c>
      <c r="H7124" s="1">
        <v>2</v>
      </c>
      <c r="I7124" s="1">
        <v>41.168399999999998</v>
      </c>
    </row>
    <row r="7125" spans="1:9" x14ac:dyDescent="0.35">
      <c r="A7125" s="3">
        <v>42255</v>
      </c>
      <c r="B7125" s="1" t="s">
        <v>2828</v>
      </c>
      <c r="C7125" s="1" t="s">
        <v>135</v>
      </c>
      <c r="D7125" s="1" t="s">
        <v>136</v>
      </c>
      <c r="E7125" s="1" t="s">
        <v>29</v>
      </c>
      <c r="F7125" s="2" t="s">
        <v>2553</v>
      </c>
      <c r="G7125" s="1">
        <v>10.02</v>
      </c>
      <c r="H7125" s="1">
        <v>3</v>
      </c>
      <c r="I7125" s="1">
        <v>4.4088000000000003</v>
      </c>
    </row>
    <row r="7126" spans="1:9" x14ac:dyDescent="0.35">
      <c r="A7126" s="3">
        <v>42255</v>
      </c>
      <c r="B7126" s="1" t="s">
        <v>2828</v>
      </c>
      <c r="C7126" s="1" t="s">
        <v>135</v>
      </c>
      <c r="D7126" s="1" t="s">
        <v>136</v>
      </c>
      <c r="E7126" s="1" t="s">
        <v>44</v>
      </c>
      <c r="F7126" s="2" t="s">
        <v>2341</v>
      </c>
      <c r="G7126" s="1">
        <v>144.12</v>
      </c>
      <c r="H7126" s="1">
        <v>3</v>
      </c>
      <c r="I7126" s="1">
        <v>69.177599999999998</v>
      </c>
    </row>
    <row r="7127" spans="1:9" x14ac:dyDescent="0.35">
      <c r="A7127" s="3" t="s">
        <v>3645</v>
      </c>
      <c r="B7127" s="1" t="s">
        <v>1796</v>
      </c>
      <c r="C7127" s="1" t="s">
        <v>811</v>
      </c>
      <c r="D7127" s="1" t="s">
        <v>604</v>
      </c>
      <c r="E7127" s="1" t="s">
        <v>44</v>
      </c>
      <c r="F7127" s="2" t="s">
        <v>2151</v>
      </c>
      <c r="G7127" s="1">
        <v>17.940000000000001</v>
      </c>
      <c r="H7127" s="1">
        <v>3</v>
      </c>
      <c r="I7127" s="1">
        <v>8.7905999999999995</v>
      </c>
    </row>
    <row r="7128" spans="1:9" x14ac:dyDescent="0.35">
      <c r="A7128" s="3" t="s">
        <v>3645</v>
      </c>
      <c r="B7128" s="1" t="s">
        <v>1796</v>
      </c>
      <c r="C7128" s="1" t="s">
        <v>811</v>
      </c>
      <c r="D7128" s="1" t="s">
        <v>604</v>
      </c>
      <c r="E7128" s="1" t="s">
        <v>31</v>
      </c>
      <c r="F7128" s="2" t="s">
        <v>384</v>
      </c>
      <c r="G7128" s="1">
        <v>13.89</v>
      </c>
      <c r="H7128" s="1">
        <v>3</v>
      </c>
      <c r="I7128" s="1">
        <v>4.5837000000000003</v>
      </c>
    </row>
    <row r="7129" spans="1:9" x14ac:dyDescent="0.35">
      <c r="A7129" s="3" t="s">
        <v>3564</v>
      </c>
      <c r="B7129" s="1" t="s">
        <v>2129</v>
      </c>
      <c r="C7129" s="1" t="s">
        <v>303</v>
      </c>
      <c r="D7129" s="1" t="s">
        <v>124</v>
      </c>
      <c r="E7129" s="1" t="s">
        <v>44</v>
      </c>
      <c r="F7129" s="2" t="s">
        <v>1880</v>
      </c>
      <c r="G7129" s="1">
        <v>16.45</v>
      </c>
      <c r="H7129" s="1">
        <v>5</v>
      </c>
      <c r="I7129" s="1">
        <v>7.5670000000000002</v>
      </c>
    </row>
    <row r="7130" spans="1:9" x14ac:dyDescent="0.35">
      <c r="A7130" s="3" t="s">
        <v>3564</v>
      </c>
      <c r="B7130" s="1" t="s">
        <v>2129</v>
      </c>
      <c r="C7130" s="1" t="s">
        <v>303</v>
      </c>
      <c r="D7130" s="1" t="s">
        <v>124</v>
      </c>
      <c r="E7130" s="1" t="s">
        <v>29</v>
      </c>
      <c r="F7130" s="2" t="s">
        <v>2436</v>
      </c>
      <c r="G7130" s="1">
        <v>19.920000000000002</v>
      </c>
      <c r="H7130" s="1">
        <v>4</v>
      </c>
      <c r="I7130" s="1">
        <v>6.5735999999999999</v>
      </c>
    </row>
    <row r="7131" spans="1:9" x14ac:dyDescent="0.35">
      <c r="A7131" s="3" t="s">
        <v>3509</v>
      </c>
      <c r="B7131" s="1" t="s">
        <v>55</v>
      </c>
      <c r="C7131" s="1" t="s">
        <v>2272</v>
      </c>
      <c r="D7131" s="1" t="s">
        <v>171</v>
      </c>
      <c r="E7131" s="1" t="s">
        <v>81</v>
      </c>
      <c r="F7131" s="2" t="s">
        <v>1536</v>
      </c>
      <c r="G7131" s="1">
        <v>35.167999999999999</v>
      </c>
      <c r="H7131" s="1">
        <v>4</v>
      </c>
      <c r="I7131" s="1">
        <v>8.3523999999999994</v>
      </c>
    </row>
    <row r="7132" spans="1:9" x14ac:dyDescent="0.35">
      <c r="A7132" s="3" t="s">
        <v>3509</v>
      </c>
      <c r="B7132" s="1" t="s">
        <v>55</v>
      </c>
      <c r="C7132" s="1" t="s">
        <v>2272</v>
      </c>
      <c r="D7132" s="1" t="s">
        <v>171</v>
      </c>
      <c r="E7132" s="1" t="s">
        <v>44</v>
      </c>
      <c r="F7132" s="2" t="s">
        <v>2894</v>
      </c>
      <c r="G7132" s="1">
        <v>123.08799999999999</v>
      </c>
      <c r="H7132" s="1">
        <v>7</v>
      </c>
      <c r="I7132" s="1">
        <v>40.003599999999999</v>
      </c>
    </row>
    <row r="7133" spans="1:9" x14ac:dyDescent="0.35">
      <c r="A7133" s="3" t="s">
        <v>3425</v>
      </c>
      <c r="B7133" s="1" t="s">
        <v>1768</v>
      </c>
      <c r="C7133" s="1" t="s">
        <v>693</v>
      </c>
      <c r="D7133" s="1" t="s">
        <v>129</v>
      </c>
      <c r="E7133" s="1" t="s">
        <v>24</v>
      </c>
      <c r="F7133" s="2" t="s">
        <v>1421</v>
      </c>
      <c r="G7133" s="1">
        <v>257.94</v>
      </c>
      <c r="H7133" s="1">
        <v>3</v>
      </c>
      <c r="I7133" s="1">
        <v>67.064400000000006</v>
      </c>
    </row>
    <row r="7134" spans="1:9" x14ac:dyDescent="0.35">
      <c r="A7134" s="3" t="s">
        <v>3425</v>
      </c>
      <c r="B7134" s="1" t="s">
        <v>1768</v>
      </c>
      <c r="C7134" s="1" t="s">
        <v>693</v>
      </c>
      <c r="D7134" s="1" t="s">
        <v>129</v>
      </c>
      <c r="E7134" s="1" t="s">
        <v>33</v>
      </c>
      <c r="F7134" s="2" t="s">
        <v>1913</v>
      </c>
      <c r="G7134" s="1">
        <v>1879.96</v>
      </c>
      <c r="H7134" s="1">
        <v>4</v>
      </c>
      <c r="I7134" s="1">
        <v>545.1884</v>
      </c>
    </row>
    <row r="7135" spans="1:9" x14ac:dyDescent="0.35">
      <c r="A7135" s="3" t="s">
        <v>3425</v>
      </c>
      <c r="B7135" s="1" t="s">
        <v>1768</v>
      </c>
      <c r="C7135" s="1" t="s">
        <v>693</v>
      </c>
      <c r="D7135" s="1" t="s">
        <v>129</v>
      </c>
      <c r="E7135" s="1" t="s">
        <v>29</v>
      </c>
      <c r="F7135" s="2" t="s">
        <v>1677</v>
      </c>
      <c r="G7135" s="1">
        <v>27.46</v>
      </c>
      <c r="H7135" s="1">
        <v>2</v>
      </c>
      <c r="I7135" s="1">
        <v>9.8856000000000002</v>
      </c>
    </row>
    <row r="7136" spans="1:9" x14ac:dyDescent="0.35">
      <c r="A7136" s="3" t="s">
        <v>3425</v>
      </c>
      <c r="B7136" s="1" t="s">
        <v>1768</v>
      </c>
      <c r="C7136" s="1" t="s">
        <v>693</v>
      </c>
      <c r="D7136" s="1" t="s">
        <v>129</v>
      </c>
      <c r="E7136" s="1" t="s">
        <v>33</v>
      </c>
      <c r="F7136" s="2" t="s">
        <v>1393</v>
      </c>
      <c r="G7136" s="1">
        <v>89.98</v>
      </c>
      <c r="H7136" s="1">
        <v>2</v>
      </c>
      <c r="I7136" s="1">
        <v>43.190399999999997</v>
      </c>
    </row>
    <row r="7137" spans="1:9" x14ac:dyDescent="0.35">
      <c r="A7137" s="3" t="s">
        <v>3425</v>
      </c>
      <c r="B7137" s="1" t="s">
        <v>1768</v>
      </c>
      <c r="C7137" s="1" t="s">
        <v>693</v>
      </c>
      <c r="D7137" s="1" t="s">
        <v>129</v>
      </c>
      <c r="E7137" s="1" t="s">
        <v>14</v>
      </c>
      <c r="F7137" s="2" t="s">
        <v>341</v>
      </c>
      <c r="G7137" s="1">
        <v>828.6</v>
      </c>
      <c r="H7137" s="1">
        <v>3</v>
      </c>
      <c r="I7137" s="1">
        <v>240.29400000000001</v>
      </c>
    </row>
    <row r="7138" spans="1:9" x14ac:dyDescent="0.35">
      <c r="A7138" s="3" t="s">
        <v>3495</v>
      </c>
      <c r="B7138" s="1" t="s">
        <v>1073</v>
      </c>
      <c r="C7138" s="1" t="s">
        <v>672</v>
      </c>
      <c r="D7138" s="1" t="s">
        <v>23</v>
      </c>
      <c r="E7138" s="1" t="s">
        <v>35</v>
      </c>
      <c r="F7138" s="2" t="s">
        <v>965</v>
      </c>
      <c r="G7138" s="1">
        <v>7.23</v>
      </c>
      <c r="H7138" s="1">
        <v>5</v>
      </c>
      <c r="I7138" s="1">
        <v>-5.7839999999999998</v>
      </c>
    </row>
    <row r="7139" spans="1:9" x14ac:dyDescent="0.35">
      <c r="A7139" s="3" t="s">
        <v>3495</v>
      </c>
      <c r="B7139" s="1" t="s">
        <v>1073</v>
      </c>
      <c r="C7139" s="1" t="s">
        <v>672</v>
      </c>
      <c r="D7139" s="1" t="s">
        <v>23</v>
      </c>
      <c r="E7139" s="1" t="s">
        <v>26</v>
      </c>
      <c r="F7139" s="2" t="s">
        <v>702</v>
      </c>
      <c r="G7139" s="1">
        <v>17.440000000000001</v>
      </c>
      <c r="H7139" s="1">
        <v>2</v>
      </c>
      <c r="I7139" s="1">
        <v>1.3080000000000001</v>
      </c>
    </row>
    <row r="7140" spans="1:9" x14ac:dyDescent="0.35">
      <c r="A7140" s="3" t="s">
        <v>3495</v>
      </c>
      <c r="B7140" s="1" t="s">
        <v>1073</v>
      </c>
      <c r="C7140" s="1" t="s">
        <v>672</v>
      </c>
      <c r="D7140" s="1" t="s">
        <v>23</v>
      </c>
      <c r="E7140" s="1" t="s">
        <v>35</v>
      </c>
      <c r="F7140" s="2" t="s">
        <v>522</v>
      </c>
      <c r="G7140" s="1">
        <v>62.88</v>
      </c>
      <c r="H7140" s="1">
        <v>4</v>
      </c>
      <c r="I7140" s="1">
        <v>-50.304000000000002</v>
      </c>
    </row>
    <row r="7141" spans="1:9" x14ac:dyDescent="0.35">
      <c r="A7141" s="3" t="s">
        <v>3495</v>
      </c>
      <c r="B7141" s="1" t="s">
        <v>1073</v>
      </c>
      <c r="C7141" s="1" t="s">
        <v>672</v>
      </c>
      <c r="D7141" s="1" t="s">
        <v>23</v>
      </c>
      <c r="E7141" s="1" t="s">
        <v>12</v>
      </c>
      <c r="F7141" s="2" t="s">
        <v>780</v>
      </c>
      <c r="G7141" s="1">
        <v>290.35199999999998</v>
      </c>
      <c r="H7141" s="1">
        <v>3</v>
      </c>
      <c r="I7141" s="1">
        <v>-36.293999999999997</v>
      </c>
    </row>
    <row r="7142" spans="1:9" x14ac:dyDescent="0.35">
      <c r="A7142" s="3">
        <v>42925</v>
      </c>
      <c r="B7142" s="1" t="s">
        <v>897</v>
      </c>
      <c r="C7142" s="1" t="s">
        <v>3044</v>
      </c>
      <c r="D7142" s="1" t="s">
        <v>298</v>
      </c>
      <c r="E7142" s="1" t="s">
        <v>81</v>
      </c>
      <c r="F7142" s="2" t="s">
        <v>1249</v>
      </c>
      <c r="G7142" s="1">
        <v>113.52</v>
      </c>
      <c r="H7142" s="1">
        <v>4</v>
      </c>
      <c r="I7142" s="1">
        <v>46.543199999999999</v>
      </c>
    </row>
    <row r="7143" spans="1:9" x14ac:dyDescent="0.35">
      <c r="A7143" s="3">
        <v>42925</v>
      </c>
      <c r="B7143" s="1" t="s">
        <v>897</v>
      </c>
      <c r="C7143" s="1" t="s">
        <v>3044</v>
      </c>
      <c r="D7143" s="1" t="s">
        <v>298</v>
      </c>
      <c r="E7143" s="1" t="s">
        <v>29</v>
      </c>
      <c r="F7143" s="2" t="s">
        <v>2066</v>
      </c>
      <c r="G7143" s="1">
        <v>135.30000000000001</v>
      </c>
      <c r="H7143" s="1">
        <v>5</v>
      </c>
      <c r="I7143" s="1">
        <v>37.884</v>
      </c>
    </row>
    <row r="7144" spans="1:9" x14ac:dyDescent="0.35">
      <c r="A7144" s="3" t="s">
        <v>3459</v>
      </c>
      <c r="B7144" s="1" t="s">
        <v>50</v>
      </c>
      <c r="C7144" s="1" t="s">
        <v>1306</v>
      </c>
      <c r="D7144" s="1" t="s">
        <v>163</v>
      </c>
      <c r="E7144" s="1" t="s">
        <v>29</v>
      </c>
      <c r="F7144" s="2" t="s">
        <v>2284</v>
      </c>
      <c r="G7144" s="1">
        <v>111.15</v>
      </c>
      <c r="H7144" s="1">
        <v>5</v>
      </c>
      <c r="I7144" s="1">
        <v>48.905999999999999</v>
      </c>
    </row>
    <row r="7145" spans="1:9" x14ac:dyDescent="0.35">
      <c r="A7145" s="3">
        <v>43042</v>
      </c>
      <c r="B7145" s="1" t="s">
        <v>2900</v>
      </c>
      <c r="C7145" s="1" t="s">
        <v>74</v>
      </c>
      <c r="D7145" s="1" t="s">
        <v>75</v>
      </c>
      <c r="E7145" s="1" t="s">
        <v>33</v>
      </c>
      <c r="F7145" s="2" t="s">
        <v>2262</v>
      </c>
      <c r="G7145" s="1">
        <v>776.85</v>
      </c>
      <c r="H7145" s="1">
        <v>5</v>
      </c>
      <c r="I7145" s="1">
        <v>-181.26499999999999</v>
      </c>
    </row>
    <row r="7146" spans="1:9" x14ac:dyDescent="0.35">
      <c r="A7146" s="3">
        <v>43042</v>
      </c>
      <c r="B7146" s="1" t="s">
        <v>2900</v>
      </c>
      <c r="C7146" s="1" t="s">
        <v>74</v>
      </c>
      <c r="D7146" s="1" t="s">
        <v>75</v>
      </c>
      <c r="E7146" s="1" t="s">
        <v>35</v>
      </c>
      <c r="F7146" s="2" t="s">
        <v>232</v>
      </c>
      <c r="G7146" s="1">
        <v>12.294</v>
      </c>
      <c r="H7146" s="1">
        <v>1</v>
      </c>
      <c r="I7146" s="1">
        <v>-8.6058000000000003</v>
      </c>
    </row>
    <row r="7147" spans="1:9" x14ac:dyDescent="0.35">
      <c r="A7147" s="3">
        <v>43042</v>
      </c>
      <c r="B7147" s="1" t="s">
        <v>2900</v>
      </c>
      <c r="C7147" s="1" t="s">
        <v>74</v>
      </c>
      <c r="D7147" s="1" t="s">
        <v>75</v>
      </c>
      <c r="E7147" s="1" t="s">
        <v>24</v>
      </c>
      <c r="F7147" s="2" t="s">
        <v>1421</v>
      </c>
      <c r="G7147" s="1">
        <v>154.76400000000001</v>
      </c>
      <c r="H7147" s="1">
        <v>3</v>
      </c>
      <c r="I7147" s="1">
        <v>-46.429200000000002</v>
      </c>
    </row>
    <row r="7148" spans="1:9" x14ac:dyDescent="0.35">
      <c r="A7148" s="3">
        <v>43042</v>
      </c>
      <c r="B7148" s="1" t="s">
        <v>2900</v>
      </c>
      <c r="C7148" s="1" t="s">
        <v>74</v>
      </c>
      <c r="D7148" s="1" t="s">
        <v>75</v>
      </c>
      <c r="E7148" s="1" t="s">
        <v>26</v>
      </c>
      <c r="F7148" s="2" t="s">
        <v>3004</v>
      </c>
      <c r="G7148" s="1">
        <v>43.28</v>
      </c>
      <c r="H7148" s="1">
        <v>1</v>
      </c>
      <c r="I7148" s="1">
        <v>3.246</v>
      </c>
    </row>
    <row r="7149" spans="1:9" x14ac:dyDescent="0.35">
      <c r="A7149" s="3">
        <v>42710</v>
      </c>
      <c r="B7149" s="1" t="s">
        <v>2001</v>
      </c>
      <c r="C7149" s="1" t="s">
        <v>559</v>
      </c>
      <c r="D7149" s="1" t="s">
        <v>136</v>
      </c>
      <c r="E7149" s="1" t="s">
        <v>44</v>
      </c>
      <c r="F7149" s="2" t="s">
        <v>1951</v>
      </c>
      <c r="G7149" s="1">
        <v>92.94</v>
      </c>
      <c r="H7149" s="1">
        <v>3</v>
      </c>
      <c r="I7149" s="1">
        <v>41.823</v>
      </c>
    </row>
    <row r="7150" spans="1:9" x14ac:dyDescent="0.35">
      <c r="A7150" s="3">
        <v>42710</v>
      </c>
      <c r="B7150" s="1" t="s">
        <v>2001</v>
      </c>
      <c r="C7150" s="1" t="s">
        <v>559</v>
      </c>
      <c r="D7150" s="1" t="s">
        <v>136</v>
      </c>
      <c r="E7150" s="1" t="s">
        <v>37</v>
      </c>
      <c r="F7150" s="2" t="s">
        <v>2152</v>
      </c>
      <c r="G7150" s="1">
        <v>52.56</v>
      </c>
      <c r="H7150" s="1">
        <v>3</v>
      </c>
      <c r="I7150" s="1">
        <v>18.396000000000001</v>
      </c>
    </row>
    <row r="7151" spans="1:9" x14ac:dyDescent="0.35">
      <c r="A7151" s="3" t="s">
        <v>3760</v>
      </c>
      <c r="B7151" s="1" t="s">
        <v>433</v>
      </c>
      <c r="C7151" s="1" t="s">
        <v>93</v>
      </c>
      <c r="D7151" s="1" t="s">
        <v>52</v>
      </c>
      <c r="E7151" s="1" t="s">
        <v>33</v>
      </c>
      <c r="F7151" s="2" t="s">
        <v>2057</v>
      </c>
      <c r="G7151" s="1">
        <v>971.88</v>
      </c>
      <c r="H7151" s="1">
        <v>3</v>
      </c>
      <c r="I7151" s="1">
        <v>109.3365</v>
      </c>
    </row>
    <row r="7152" spans="1:9" x14ac:dyDescent="0.35">
      <c r="A7152" s="3" t="s">
        <v>3180</v>
      </c>
      <c r="B7152" s="1" t="s">
        <v>2443</v>
      </c>
      <c r="C7152" s="1" t="s">
        <v>2850</v>
      </c>
      <c r="D7152" s="1" t="s">
        <v>182</v>
      </c>
      <c r="E7152" s="1" t="s">
        <v>14</v>
      </c>
      <c r="F7152" s="2" t="s">
        <v>856</v>
      </c>
      <c r="G7152" s="1">
        <v>141.96</v>
      </c>
      <c r="H7152" s="1">
        <v>2</v>
      </c>
      <c r="I7152" s="1">
        <v>35.49</v>
      </c>
    </row>
    <row r="7153" spans="1:9" x14ac:dyDescent="0.35">
      <c r="A7153" s="3" t="s">
        <v>3180</v>
      </c>
      <c r="B7153" s="1" t="s">
        <v>2755</v>
      </c>
      <c r="C7153" s="1" t="s">
        <v>849</v>
      </c>
      <c r="D7153" s="1" t="s">
        <v>158</v>
      </c>
      <c r="E7153" s="1" t="s">
        <v>24</v>
      </c>
      <c r="F7153" s="2" t="s">
        <v>1618</v>
      </c>
      <c r="G7153" s="1">
        <v>182.55</v>
      </c>
      <c r="H7153" s="1">
        <v>2</v>
      </c>
      <c r="I7153" s="1">
        <v>-135.08699999999999</v>
      </c>
    </row>
    <row r="7154" spans="1:9" x14ac:dyDescent="0.35">
      <c r="A7154" s="3">
        <v>41892</v>
      </c>
      <c r="B7154" s="1" t="s">
        <v>654</v>
      </c>
      <c r="C7154" s="1" t="s">
        <v>719</v>
      </c>
      <c r="D7154" s="1" t="s">
        <v>43</v>
      </c>
      <c r="E7154" s="1" t="s">
        <v>44</v>
      </c>
      <c r="F7154" s="2" t="s">
        <v>761</v>
      </c>
      <c r="G7154" s="1">
        <v>88.768000000000001</v>
      </c>
      <c r="H7154" s="1">
        <v>2</v>
      </c>
      <c r="I7154" s="1">
        <v>31.0688</v>
      </c>
    </row>
    <row r="7155" spans="1:9" x14ac:dyDescent="0.35">
      <c r="A7155" s="3">
        <v>42289</v>
      </c>
      <c r="B7155" s="1" t="s">
        <v>1751</v>
      </c>
      <c r="C7155" s="1" t="s">
        <v>154</v>
      </c>
      <c r="D7155" s="1" t="s">
        <v>106</v>
      </c>
      <c r="E7155" s="1" t="s">
        <v>37</v>
      </c>
      <c r="F7155" s="2" t="s">
        <v>1650</v>
      </c>
      <c r="G7155" s="1">
        <v>53.088000000000001</v>
      </c>
      <c r="H7155" s="1">
        <v>7</v>
      </c>
      <c r="I7155" s="1">
        <v>-108.8304</v>
      </c>
    </row>
    <row r="7156" spans="1:9" x14ac:dyDescent="0.35">
      <c r="A7156" s="3" t="s">
        <v>3200</v>
      </c>
      <c r="B7156" s="1" t="s">
        <v>122</v>
      </c>
      <c r="C7156" s="1" t="s">
        <v>249</v>
      </c>
      <c r="D7156" s="1" t="s">
        <v>604</v>
      </c>
      <c r="E7156" s="1" t="s">
        <v>29</v>
      </c>
      <c r="F7156" s="2" t="s">
        <v>2945</v>
      </c>
      <c r="G7156" s="1">
        <v>275.88</v>
      </c>
      <c r="H7156" s="1">
        <v>6</v>
      </c>
      <c r="I7156" s="1">
        <v>46.8996</v>
      </c>
    </row>
    <row r="7157" spans="1:9" x14ac:dyDescent="0.35">
      <c r="A7157" s="3" t="s">
        <v>3200</v>
      </c>
      <c r="B7157" s="1" t="s">
        <v>122</v>
      </c>
      <c r="C7157" s="1" t="s">
        <v>249</v>
      </c>
      <c r="D7157" s="1" t="s">
        <v>604</v>
      </c>
      <c r="E7157" s="1" t="s">
        <v>35</v>
      </c>
      <c r="F7157" s="2" t="s">
        <v>660</v>
      </c>
      <c r="G7157" s="1">
        <v>157.9</v>
      </c>
      <c r="H7157" s="1">
        <v>5</v>
      </c>
      <c r="I7157" s="1">
        <v>74.212999999999994</v>
      </c>
    </row>
    <row r="7158" spans="1:9" x14ac:dyDescent="0.35">
      <c r="A7158" s="3" t="s">
        <v>3761</v>
      </c>
      <c r="B7158" s="1" t="s">
        <v>1493</v>
      </c>
      <c r="C7158" s="1" t="s">
        <v>2401</v>
      </c>
      <c r="D7158" s="1" t="s">
        <v>388</v>
      </c>
      <c r="E7158" s="1" t="s">
        <v>19</v>
      </c>
      <c r="F7158" s="2" t="s">
        <v>1288</v>
      </c>
      <c r="G7158" s="1">
        <v>4.91</v>
      </c>
      <c r="H7158" s="1">
        <v>1</v>
      </c>
      <c r="I7158" s="1">
        <v>2.4058999999999999</v>
      </c>
    </row>
    <row r="7159" spans="1:9" x14ac:dyDescent="0.35">
      <c r="A7159" s="3" t="s">
        <v>3762</v>
      </c>
      <c r="B7159" s="1" t="s">
        <v>1524</v>
      </c>
      <c r="C7159" s="1" t="s">
        <v>17</v>
      </c>
      <c r="D7159" s="1" t="s">
        <v>18</v>
      </c>
      <c r="E7159" s="1" t="s">
        <v>26</v>
      </c>
      <c r="F7159" s="2" t="s">
        <v>432</v>
      </c>
      <c r="G7159" s="1">
        <v>87.92</v>
      </c>
      <c r="H7159" s="1">
        <v>4</v>
      </c>
      <c r="I7159" s="1">
        <v>0.87919999999999998</v>
      </c>
    </row>
    <row r="7160" spans="1:9" x14ac:dyDescent="0.35">
      <c r="A7160" s="3" t="s">
        <v>3762</v>
      </c>
      <c r="B7160" s="1" t="s">
        <v>1524</v>
      </c>
      <c r="C7160" s="1" t="s">
        <v>17</v>
      </c>
      <c r="D7160" s="1" t="s">
        <v>18</v>
      </c>
      <c r="E7160" s="1" t="s">
        <v>44</v>
      </c>
      <c r="F7160" s="2" t="s">
        <v>3045</v>
      </c>
      <c r="G7160" s="1">
        <v>5.98</v>
      </c>
      <c r="H7160" s="1">
        <v>1</v>
      </c>
      <c r="I7160" s="1">
        <v>2.9302000000000001</v>
      </c>
    </row>
    <row r="7161" spans="1:9" x14ac:dyDescent="0.35">
      <c r="A7161" s="3" t="s">
        <v>3763</v>
      </c>
      <c r="B7161" s="1" t="s">
        <v>1488</v>
      </c>
      <c r="C7161" s="1" t="s">
        <v>154</v>
      </c>
      <c r="D7161" s="1" t="s">
        <v>106</v>
      </c>
      <c r="E7161" s="1" t="s">
        <v>33</v>
      </c>
      <c r="F7161" s="2" t="s">
        <v>1473</v>
      </c>
      <c r="G7161" s="1">
        <v>222.38399999999999</v>
      </c>
      <c r="H7161" s="1">
        <v>2</v>
      </c>
      <c r="I7161" s="1">
        <v>16.678799999999999</v>
      </c>
    </row>
    <row r="7162" spans="1:9" x14ac:dyDescent="0.35">
      <c r="A7162" s="3" t="s">
        <v>3763</v>
      </c>
      <c r="B7162" s="1" t="s">
        <v>1488</v>
      </c>
      <c r="C7162" s="1" t="s">
        <v>154</v>
      </c>
      <c r="D7162" s="1" t="s">
        <v>106</v>
      </c>
      <c r="E7162" s="1" t="s">
        <v>137</v>
      </c>
      <c r="F7162" s="2" t="s">
        <v>1157</v>
      </c>
      <c r="G7162" s="1">
        <v>16</v>
      </c>
      <c r="H7162" s="1">
        <v>4</v>
      </c>
      <c r="I7162" s="1">
        <v>5.6</v>
      </c>
    </row>
    <row r="7163" spans="1:9" x14ac:dyDescent="0.35">
      <c r="A7163" s="3">
        <v>41736</v>
      </c>
      <c r="B7163" s="1" t="s">
        <v>1700</v>
      </c>
      <c r="C7163" s="1" t="s">
        <v>693</v>
      </c>
      <c r="D7163" s="1" t="s">
        <v>163</v>
      </c>
      <c r="E7163" s="1" t="s">
        <v>44</v>
      </c>
      <c r="F7163" s="2" t="s">
        <v>635</v>
      </c>
      <c r="G7163" s="1">
        <v>21.84</v>
      </c>
      <c r="H7163" s="1">
        <v>3</v>
      </c>
      <c r="I7163" s="1">
        <v>10.92</v>
      </c>
    </row>
    <row r="7164" spans="1:9" x14ac:dyDescent="0.35">
      <c r="A7164" s="3">
        <v>41736</v>
      </c>
      <c r="B7164" s="1" t="s">
        <v>1700</v>
      </c>
      <c r="C7164" s="1" t="s">
        <v>693</v>
      </c>
      <c r="D7164" s="1" t="s">
        <v>163</v>
      </c>
      <c r="E7164" s="1" t="s">
        <v>35</v>
      </c>
      <c r="F7164" s="2" t="s">
        <v>1285</v>
      </c>
      <c r="G7164" s="1">
        <v>15.6</v>
      </c>
      <c r="H7164" s="1">
        <v>5</v>
      </c>
      <c r="I7164" s="1">
        <v>7.6440000000000001</v>
      </c>
    </row>
    <row r="7165" spans="1:9" x14ac:dyDescent="0.35">
      <c r="A7165" s="3" t="s">
        <v>3764</v>
      </c>
      <c r="B7165" s="1" t="s">
        <v>2506</v>
      </c>
      <c r="C7165" s="1" t="s">
        <v>141</v>
      </c>
      <c r="D7165" s="1" t="s">
        <v>136</v>
      </c>
      <c r="E7165" s="1" t="s">
        <v>87</v>
      </c>
      <c r="F7165" s="2" t="s">
        <v>332</v>
      </c>
      <c r="G7165" s="1">
        <v>247.84</v>
      </c>
      <c r="H7165" s="1">
        <v>8</v>
      </c>
      <c r="I7165" s="1">
        <v>121.44159999999999</v>
      </c>
    </row>
    <row r="7166" spans="1:9" x14ac:dyDescent="0.35">
      <c r="A7166" s="3" t="s">
        <v>3764</v>
      </c>
      <c r="B7166" s="1" t="s">
        <v>2506</v>
      </c>
      <c r="C7166" s="1" t="s">
        <v>141</v>
      </c>
      <c r="D7166" s="1" t="s">
        <v>136</v>
      </c>
      <c r="E7166" s="1" t="s">
        <v>35</v>
      </c>
      <c r="F7166" s="2" t="s">
        <v>1548</v>
      </c>
      <c r="G7166" s="1">
        <v>9.9120000000000008</v>
      </c>
      <c r="H7166" s="1">
        <v>3</v>
      </c>
      <c r="I7166" s="1">
        <v>3.3452999999999999</v>
      </c>
    </row>
    <row r="7167" spans="1:9" x14ac:dyDescent="0.35">
      <c r="A7167" s="3" t="s">
        <v>3287</v>
      </c>
      <c r="B7167" s="1" t="s">
        <v>935</v>
      </c>
      <c r="C7167" s="1" t="s">
        <v>1544</v>
      </c>
      <c r="D7167" s="1" t="s">
        <v>663</v>
      </c>
      <c r="E7167" s="1" t="s">
        <v>26</v>
      </c>
      <c r="F7167" s="2" t="s">
        <v>142</v>
      </c>
      <c r="G7167" s="1">
        <v>69.52</v>
      </c>
      <c r="H7167" s="1">
        <v>2</v>
      </c>
      <c r="I7167" s="1">
        <v>17.38</v>
      </c>
    </row>
    <row r="7168" spans="1:9" x14ac:dyDescent="0.35">
      <c r="A7168" s="3" t="s">
        <v>3765</v>
      </c>
      <c r="B7168" s="1" t="s">
        <v>1016</v>
      </c>
      <c r="C7168" s="1" t="s">
        <v>64</v>
      </c>
      <c r="D7168" s="1" t="s">
        <v>18</v>
      </c>
      <c r="E7168" s="1" t="s">
        <v>31</v>
      </c>
      <c r="F7168" s="2" t="s">
        <v>1141</v>
      </c>
      <c r="G7168" s="1">
        <v>11.52</v>
      </c>
      <c r="H7168" s="1">
        <v>4</v>
      </c>
      <c r="I7168" s="1">
        <v>3.2256</v>
      </c>
    </row>
    <row r="7169" spans="1:9" x14ac:dyDescent="0.35">
      <c r="A7169" s="3" t="s">
        <v>3765</v>
      </c>
      <c r="B7169" s="1" t="s">
        <v>1016</v>
      </c>
      <c r="C7169" s="1" t="s">
        <v>64</v>
      </c>
      <c r="D7169" s="1" t="s">
        <v>18</v>
      </c>
      <c r="E7169" s="1" t="s">
        <v>14</v>
      </c>
      <c r="F7169" s="2" t="s">
        <v>1959</v>
      </c>
      <c r="G7169" s="1">
        <v>717.72</v>
      </c>
      <c r="H7169" s="1">
        <v>3</v>
      </c>
      <c r="I7169" s="1">
        <v>71.772000000000006</v>
      </c>
    </row>
    <row r="7170" spans="1:9" x14ac:dyDescent="0.35">
      <c r="A7170" s="3" t="s">
        <v>3765</v>
      </c>
      <c r="B7170" s="1" t="s">
        <v>1016</v>
      </c>
      <c r="C7170" s="1" t="s">
        <v>64</v>
      </c>
      <c r="D7170" s="1" t="s">
        <v>18</v>
      </c>
      <c r="E7170" s="1" t="s">
        <v>26</v>
      </c>
      <c r="F7170" s="2" t="s">
        <v>727</v>
      </c>
      <c r="G7170" s="1">
        <v>236.5</v>
      </c>
      <c r="H7170" s="1">
        <v>10</v>
      </c>
      <c r="I7170" s="1">
        <v>68.584999999999994</v>
      </c>
    </row>
    <row r="7171" spans="1:9" x14ac:dyDescent="0.35">
      <c r="A7171" s="3" t="s">
        <v>3765</v>
      </c>
      <c r="B7171" s="1" t="s">
        <v>1016</v>
      </c>
      <c r="C7171" s="1" t="s">
        <v>64</v>
      </c>
      <c r="D7171" s="1" t="s">
        <v>18</v>
      </c>
      <c r="E7171" s="1" t="s">
        <v>24</v>
      </c>
      <c r="F7171" s="2" t="s">
        <v>1945</v>
      </c>
      <c r="G7171" s="1">
        <v>170.352</v>
      </c>
      <c r="H7171" s="1">
        <v>3</v>
      </c>
      <c r="I7171" s="1">
        <v>19.1646</v>
      </c>
    </row>
    <row r="7172" spans="1:9" x14ac:dyDescent="0.35">
      <c r="A7172" s="3">
        <v>42957</v>
      </c>
      <c r="B7172" s="1" t="s">
        <v>1134</v>
      </c>
      <c r="C7172" s="1" t="s">
        <v>135</v>
      </c>
      <c r="D7172" s="1" t="s">
        <v>136</v>
      </c>
      <c r="E7172" s="1" t="s">
        <v>14</v>
      </c>
      <c r="F7172" s="2" t="s">
        <v>729</v>
      </c>
      <c r="G7172" s="1">
        <v>145.76400000000001</v>
      </c>
      <c r="H7172" s="1">
        <v>2</v>
      </c>
      <c r="I7172" s="1">
        <v>3.2391999999999999</v>
      </c>
    </row>
    <row r="7173" spans="1:9" x14ac:dyDescent="0.35">
      <c r="A7173" s="3" t="s">
        <v>3605</v>
      </c>
      <c r="B7173" s="1" t="s">
        <v>2199</v>
      </c>
      <c r="C7173" s="1" t="s">
        <v>64</v>
      </c>
      <c r="D7173" s="1" t="s">
        <v>18</v>
      </c>
      <c r="E7173" s="1" t="s">
        <v>81</v>
      </c>
      <c r="F7173" s="2" t="s">
        <v>670</v>
      </c>
      <c r="G7173" s="1">
        <v>107.97</v>
      </c>
      <c r="H7173" s="1">
        <v>3</v>
      </c>
      <c r="I7173" s="1">
        <v>22.6737</v>
      </c>
    </row>
    <row r="7174" spans="1:9" x14ac:dyDescent="0.35">
      <c r="A7174" s="3" t="s">
        <v>3522</v>
      </c>
      <c r="B7174" s="1" t="s">
        <v>401</v>
      </c>
      <c r="C7174" s="1" t="s">
        <v>93</v>
      </c>
      <c r="D7174" s="1" t="s">
        <v>52</v>
      </c>
      <c r="E7174" s="1" t="s">
        <v>81</v>
      </c>
      <c r="F7174" s="2" t="s">
        <v>670</v>
      </c>
      <c r="G7174" s="1">
        <v>143.96</v>
      </c>
      <c r="H7174" s="1">
        <v>5</v>
      </c>
      <c r="I7174" s="1">
        <v>1.7995000000000001</v>
      </c>
    </row>
    <row r="7175" spans="1:9" x14ac:dyDescent="0.35">
      <c r="A7175" s="3" t="s">
        <v>3522</v>
      </c>
      <c r="B7175" s="1" t="s">
        <v>401</v>
      </c>
      <c r="C7175" s="1" t="s">
        <v>93</v>
      </c>
      <c r="D7175" s="1" t="s">
        <v>52</v>
      </c>
      <c r="E7175" s="1" t="s">
        <v>579</v>
      </c>
      <c r="F7175" s="2" t="s">
        <v>653</v>
      </c>
      <c r="G7175" s="1">
        <v>2399.96</v>
      </c>
      <c r="H7175" s="1">
        <v>5</v>
      </c>
      <c r="I7175" s="1">
        <v>569.9905</v>
      </c>
    </row>
    <row r="7176" spans="1:9" x14ac:dyDescent="0.35">
      <c r="A7176" s="3" t="s">
        <v>3522</v>
      </c>
      <c r="B7176" s="1" t="s">
        <v>401</v>
      </c>
      <c r="C7176" s="1" t="s">
        <v>93</v>
      </c>
      <c r="D7176" s="1" t="s">
        <v>52</v>
      </c>
      <c r="E7176" s="1" t="s">
        <v>44</v>
      </c>
      <c r="F7176" s="2" t="s">
        <v>2192</v>
      </c>
      <c r="G7176" s="1">
        <v>74.352000000000004</v>
      </c>
      <c r="H7176" s="1">
        <v>3</v>
      </c>
      <c r="I7176" s="1">
        <v>23.234999999999999</v>
      </c>
    </row>
    <row r="7177" spans="1:9" x14ac:dyDescent="0.35">
      <c r="A7177" s="3" t="s">
        <v>3522</v>
      </c>
      <c r="B7177" s="1" t="s">
        <v>401</v>
      </c>
      <c r="C7177" s="1" t="s">
        <v>93</v>
      </c>
      <c r="D7177" s="1" t="s">
        <v>52</v>
      </c>
      <c r="E7177" s="1" t="s">
        <v>37</v>
      </c>
      <c r="F7177" s="2" t="s">
        <v>2176</v>
      </c>
      <c r="G7177" s="1">
        <v>87.168000000000006</v>
      </c>
      <c r="H7177" s="1">
        <v>8</v>
      </c>
      <c r="I7177" s="1">
        <v>-226.63679999999999</v>
      </c>
    </row>
    <row r="7178" spans="1:9" x14ac:dyDescent="0.35">
      <c r="A7178" s="3" t="s">
        <v>3522</v>
      </c>
      <c r="B7178" s="1" t="s">
        <v>401</v>
      </c>
      <c r="C7178" s="1" t="s">
        <v>93</v>
      </c>
      <c r="D7178" s="1" t="s">
        <v>52</v>
      </c>
      <c r="E7178" s="1" t="s">
        <v>26</v>
      </c>
      <c r="F7178" s="2" t="s">
        <v>1731</v>
      </c>
      <c r="G7178" s="1">
        <v>32.231999999999999</v>
      </c>
      <c r="H7178" s="1">
        <v>3</v>
      </c>
      <c r="I7178" s="1">
        <v>2.4174000000000002</v>
      </c>
    </row>
    <row r="7179" spans="1:9" x14ac:dyDescent="0.35">
      <c r="A7179" s="3">
        <v>42830</v>
      </c>
      <c r="B7179" s="1" t="s">
        <v>1774</v>
      </c>
      <c r="C7179" s="1" t="s">
        <v>74</v>
      </c>
      <c r="D7179" s="1" t="s">
        <v>75</v>
      </c>
      <c r="E7179" s="1" t="s">
        <v>35</v>
      </c>
      <c r="F7179" s="2" t="s">
        <v>3043</v>
      </c>
      <c r="G7179" s="1">
        <v>2.202</v>
      </c>
      <c r="H7179" s="1">
        <v>2</v>
      </c>
      <c r="I7179" s="1">
        <v>-1.5414000000000001</v>
      </c>
    </row>
    <row r="7180" spans="1:9" x14ac:dyDescent="0.35">
      <c r="A7180" s="3">
        <v>42830</v>
      </c>
      <c r="B7180" s="1" t="s">
        <v>1774</v>
      </c>
      <c r="C7180" s="1" t="s">
        <v>74</v>
      </c>
      <c r="D7180" s="1" t="s">
        <v>75</v>
      </c>
      <c r="E7180" s="1" t="s">
        <v>35</v>
      </c>
      <c r="F7180" s="2" t="s">
        <v>1460</v>
      </c>
      <c r="G7180" s="1">
        <v>9.3960000000000008</v>
      </c>
      <c r="H7180" s="1">
        <v>3</v>
      </c>
      <c r="I7180" s="1">
        <v>-7.5167999999999999</v>
      </c>
    </row>
    <row r="7181" spans="1:9" x14ac:dyDescent="0.35">
      <c r="A7181" s="3" t="s">
        <v>3564</v>
      </c>
      <c r="B7181" s="1" t="s">
        <v>248</v>
      </c>
      <c r="C7181" s="1" t="s">
        <v>1875</v>
      </c>
      <c r="D7181" s="1" t="s">
        <v>1217</v>
      </c>
      <c r="E7181" s="1" t="s">
        <v>33</v>
      </c>
      <c r="F7181" s="2" t="s">
        <v>2505</v>
      </c>
      <c r="G7181" s="1">
        <v>89.97</v>
      </c>
      <c r="H7181" s="1">
        <v>3</v>
      </c>
      <c r="I7181" s="1">
        <v>25.191600000000001</v>
      </c>
    </row>
    <row r="7182" spans="1:9" x14ac:dyDescent="0.35">
      <c r="A7182" s="3">
        <v>41791</v>
      </c>
      <c r="B7182" s="1" t="s">
        <v>2561</v>
      </c>
      <c r="C7182" s="1" t="s">
        <v>2817</v>
      </c>
      <c r="D7182" s="1" t="s">
        <v>604</v>
      </c>
      <c r="E7182" s="1" t="s">
        <v>31</v>
      </c>
      <c r="F7182" s="2" t="s">
        <v>601</v>
      </c>
      <c r="G7182" s="1">
        <v>12.78</v>
      </c>
      <c r="H7182" s="1">
        <v>3</v>
      </c>
      <c r="I7182" s="1">
        <v>5.2397999999999998</v>
      </c>
    </row>
    <row r="7183" spans="1:9" x14ac:dyDescent="0.35">
      <c r="A7183" s="3" t="s">
        <v>3271</v>
      </c>
      <c r="B7183" s="1" t="s">
        <v>2138</v>
      </c>
      <c r="C7183" s="1" t="s">
        <v>1114</v>
      </c>
      <c r="D7183" s="1" t="s">
        <v>250</v>
      </c>
      <c r="E7183" s="1" t="s">
        <v>81</v>
      </c>
      <c r="F7183" s="2" t="s">
        <v>1795</v>
      </c>
      <c r="G7183" s="1">
        <v>40</v>
      </c>
      <c r="H7183" s="1">
        <v>2</v>
      </c>
      <c r="I7183" s="1">
        <v>0.5</v>
      </c>
    </row>
    <row r="7184" spans="1:9" x14ac:dyDescent="0.35">
      <c r="A7184" s="3" t="s">
        <v>3255</v>
      </c>
      <c r="B7184" s="1" t="s">
        <v>512</v>
      </c>
      <c r="C7184" s="1" t="s">
        <v>17</v>
      </c>
      <c r="D7184" s="1" t="s">
        <v>18</v>
      </c>
      <c r="E7184" s="1" t="s">
        <v>35</v>
      </c>
      <c r="F7184" s="2" t="s">
        <v>1215</v>
      </c>
      <c r="G7184" s="1">
        <v>23.24</v>
      </c>
      <c r="H7184" s="1">
        <v>5</v>
      </c>
      <c r="I7184" s="1">
        <v>7.5529999999999999</v>
      </c>
    </row>
    <row r="7185" spans="1:9" x14ac:dyDescent="0.35">
      <c r="A7185" s="3" t="s">
        <v>3439</v>
      </c>
      <c r="B7185" s="1" t="s">
        <v>233</v>
      </c>
      <c r="C7185" s="1" t="s">
        <v>1875</v>
      </c>
      <c r="D7185" s="1" t="s">
        <v>1217</v>
      </c>
      <c r="E7185" s="1" t="s">
        <v>14</v>
      </c>
      <c r="F7185" s="2" t="s">
        <v>102</v>
      </c>
      <c r="G7185" s="1">
        <v>908.82</v>
      </c>
      <c r="H7185" s="1">
        <v>9</v>
      </c>
      <c r="I7185" s="1">
        <v>227.20500000000001</v>
      </c>
    </row>
    <row r="7186" spans="1:9" x14ac:dyDescent="0.35">
      <c r="A7186" s="3" t="s">
        <v>3722</v>
      </c>
      <c r="B7186" s="1" t="s">
        <v>1859</v>
      </c>
      <c r="C7186" s="1" t="s">
        <v>93</v>
      </c>
      <c r="D7186" s="1" t="s">
        <v>52</v>
      </c>
      <c r="E7186" s="1" t="s">
        <v>289</v>
      </c>
      <c r="F7186" s="2" t="s">
        <v>2611</v>
      </c>
      <c r="G7186" s="1">
        <v>5.5519999999999996</v>
      </c>
      <c r="H7186" s="1">
        <v>2</v>
      </c>
      <c r="I7186" s="1">
        <v>-1.0409999999999999</v>
      </c>
    </row>
    <row r="7187" spans="1:9" x14ac:dyDescent="0.35">
      <c r="A7187" s="3" t="s">
        <v>3722</v>
      </c>
      <c r="B7187" s="1" t="s">
        <v>1859</v>
      </c>
      <c r="C7187" s="1" t="s">
        <v>93</v>
      </c>
      <c r="D7187" s="1" t="s">
        <v>52</v>
      </c>
      <c r="E7187" s="1" t="s">
        <v>31</v>
      </c>
      <c r="F7187" s="2" t="s">
        <v>2338</v>
      </c>
      <c r="G7187" s="1">
        <v>8.016</v>
      </c>
      <c r="H7187" s="1">
        <v>3</v>
      </c>
      <c r="I7187" s="1">
        <v>1.002</v>
      </c>
    </row>
    <row r="7188" spans="1:9" x14ac:dyDescent="0.35">
      <c r="A7188" s="3" t="s">
        <v>3722</v>
      </c>
      <c r="B7188" s="1" t="s">
        <v>1859</v>
      </c>
      <c r="C7188" s="1" t="s">
        <v>93</v>
      </c>
      <c r="D7188" s="1" t="s">
        <v>52</v>
      </c>
      <c r="E7188" s="1" t="s">
        <v>14</v>
      </c>
      <c r="F7188" s="2" t="s">
        <v>2305</v>
      </c>
      <c r="G7188" s="1">
        <v>74.591999999999999</v>
      </c>
      <c r="H7188" s="1">
        <v>4</v>
      </c>
      <c r="I7188" s="1">
        <v>-2.1312000000000002</v>
      </c>
    </row>
    <row r="7189" spans="1:9" x14ac:dyDescent="0.35">
      <c r="A7189" s="3" t="s">
        <v>3722</v>
      </c>
      <c r="B7189" s="1" t="s">
        <v>1859</v>
      </c>
      <c r="C7189" s="1" t="s">
        <v>93</v>
      </c>
      <c r="D7189" s="1" t="s">
        <v>52</v>
      </c>
      <c r="E7189" s="1" t="s">
        <v>29</v>
      </c>
      <c r="F7189" s="2" t="s">
        <v>2460</v>
      </c>
      <c r="G7189" s="1">
        <v>16.783999999999999</v>
      </c>
      <c r="H7189" s="1">
        <v>2</v>
      </c>
      <c r="I7189" s="1">
        <v>-22.238800000000001</v>
      </c>
    </row>
    <row r="7190" spans="1:9" x14ac:dyDescent="0.35">
      <c r="A7190" s="3" t="s">
        <v>3722</v>
      </c>
      <c r="B7190" s="1" t="s">
        <v>1859</v>
      </c>
      <c r="C7190" s="1" t="s">
        <v>93</v>
      </c>
      <c r="D7190" s="1" t="s">
        <v>52</v>
      </c>
      <c r="E7190" s="1" t="s">
        <v>37</v>
      </c>
      <c r="F7190" s="2" t="s">
        <v>952</v>
      </c>
      <c r="G7190" s="1">
        <v>38.863999999999997</v>
      </c>
      <c r="H7190" s="1">
        <v>4</v>
      </c>
      <c r="I7190" s="1">
        <v>-99.103200000000001</v>
      </c>
    </row>
    <row r="7191" spans="1:9" x14ac:dyDescent="0.35">
      <c r="A7191" s="3">
        <v>42715</v>
      </c>
      <c r="B7191" s="1" t="s">
        <v>453</v>
      </c>
      <c r="C7191" s="1" t="s">
        <v>461</v>
      </c>
      <c r="D7191" s="1" t="s">
        <v>18</v>
      </c>
      <c r="E7191" s="1" t="s">
        <v>33</v>
      </c>
      <c r="F7191" s="2" t="s">
        <v>2487</v>
      </c>
      <c r="G7191" s="1">
        <v>203.976</v>
      </c>
      <c r="H7191" s="1">
        <v>3</v>
      </c>
      <c r="I7191" s="1">
        <v>25.497</v>
      </c>
    </row>
    <row r="7192" spans="1:9" x14ac:dyDescent="0.35">
      <c r="A7192" s="3">
        <v>42715</v>
      </c>
      <c r="B7192" s="1" t="s">
        <v>453</v>
      </c>
      <c r="C7192" s="1" t="s">
        <v>461</v>
      </c>
      <c r="D7192" s="1" t="s">
        <v>18</v>
      </c>
      <c r="E7192" s="1" t="s">
        <v>24</v>
      </c>
      <c r="F7192" s="2" t="s">
        <v>2767</v>
      </c>
      <c r="G7192" s="1">
        <v>674.35199999999998</v>
      </c>
      <c r="H7192" s="1">
        <v>3</v>
      </c>
      <c r="I7192" s="1">
        <v>-8.4293999999999993</v>
      </c>
    </row>
    <row r="7193" spans="1:9" x14ac:dyDescent="0.35">
      <c r="A7193" s="3">
        <v>42379</v>
      </c>
      <c r="B7193" s="1" t="s">
        <v>1845</v>
      </c>
      <c r="C7193" s="1" t="s">
        <v>1055</v>
      </c>
      <c r="D7193" s="1" t="s">
        <v>23</v>
      </c>
      <c r="E7193" s="1" t="s">
        <v>35</v>
      </c>
      <c r="F7193" s="2" t="s">
        <v>581</v>
      </c>
      <c r="G7193" s="1">
        <v>5.3879999999999999</v>
      </c>
      <c r="H7193" s="1">
        <v>4</v>
      </c>
      <c r="I7193" s="1">
        <v>-4.49</v>
      </c>
    </row>
    <row r="7194" spans="1:9" x14ac:dyDescent="0.35">
      <c r="A7194" s="3">
        <v>42379</v>
      </c>
      <c r="B7194" s="1" t="s">
        <v>1845</v>
      </c>
      <c r="C7194" s="1" t="s">
        <v>1055</v>
      </c>
      <c r="D7194" s="1" t="s">
        <v>23</v>
      </c>
      <c r="E7194" s="1" t="s">
        <v>31</v>
      </c>
      <c r="F7194" s="2" t="s">
        <v>1329</v>
      </c>
      <c r="G7194" s="1">
        <v>30.975999999999999</v>
      </c>
      <c r="H7194" s="1">
        <v>8</v>
      </c>
      <c r="I7194" s="1">
        <v>5.0335999999999999</v>
      </c>
    </row>
    <row r="7195" spans="1:9" x14ac:dyDescent="0.35">
      <c r="A7195" s="3">
        <v>42706</v>
      </c>
      <c r="B7195" s="1" t="s">
        <v>1322</v>
      </c>
      <c r="C7195" s="1" t="s">
        <v>811</v>
      </c>
      <c r="D7195" s="1" t="s">
        <v>604</v>
      </c>
      <c r="E7195" s="1" t="s">
        <v>26</v>
      </c>
      <c r="F7195" s="2" t="s">
        <v>1519</v>
      </c>
      <c r="G7195" s="1">
        <v>1350.12</v>
      </c>
      <c r="H7195" s="1">
        <v>6</v>
      </c>
      <c r="I7195" s="1">
        <v>175.51560000000001</v>
      </c>
    </row>
    <row r="7196" spans="1:9" x14ac:dyDescent="0.35">
      <c r="A7196" s="3">
        <v>42706</v>
      </c>
      <c r="B7196" s="1" t="s">
        <v>1322</v>
      </c>
      <c r="C7196" s="1" t="s">
        <v>811</v>
      </c>
      <c r="D7196" s="1" t="s">
        <v>604</v>
      </c>
      <c r="E7196" s="1" t="s">
        <v>35</v>
      </c>
      <c r="F7196" s="2" t="s">
        <v>273</v>
      </c>
      <c r="G7196" s="1">
        <v>15.92</v>
      </c>
      <c r="H7196" s="1">
        <v>4</v>
      </c>
      <c r="I7196" s="1">
        <v>7.4824000000000002</v>
      </c>
    </row>
    <row r="7197" spans="1:9" x14ac:dyDescent="0.35">
      <c r="A7197" s="3" t="s">
        <v>3358</v>
      </c>
      <c r="B7197" s="1" t="s">
        <v>721</v>
      </c>
      <c r="C7197" s="1" t="s">
        <v>47</v>
      </c>
      <c r="D7197" s="1" t="s">
        <v>48</v>
      </c>
      <c r="E7197" s="1" t="s">
        <v>29</v>
      </c>
      <c r="F7197" s="2" t="s">
        <v>2193</v>
      </c>
      <c r="G7197" s="1">
        <v>19.54</v>
      </c>
      <c r="H7197" s="1">
        <v>2</v>
      </c>
      <c r="I7197" s="1">
        <v>7.2298</v>
      </c>
    </row>
    <row r="7198" spans="1:9" x14ac:dyDescent="0.35">
      <c r="A7198" s="3" t="s">
        <v>3213</v>
      </c>
      <c r="B7198" s="1" t="s">
        <v>2900</v>
      </c>
      <c r="C7198" s="1" t="s">
        <v>17</v>
      </c>
      <c r="D7198" s="1" t="s">
        <v>18</v>
      </c>
      <c r="E7198" s="1" t="s">
        <v>31</v>
      </c>
      <c r="F7198" s="2" t="s">
        <v>1762</v>
      </c>
      <c r="G7198" s="1">
        <v>21.4</v>
      </c>
      <c r="H7198" s="1">
        <v>5</v>
      </c>
      <c r="I7198" s="1">
        <v>6.2060000000000004</v>
      </c>
    </row>
    <row r="7199" spans="1:9" x14ac:dyDescent="0.35">
      <c r="A7199" s="3" t="s">
        <v>3213</v>
      </c>
      <c r="B7199" s="1" t="s">
        <v>2900</v>
      </c>
      <c r="C7199" s="1" t="s">
        <v>17</v>
      </c>
      <c r="D7199" s="1" t="s">
        <v>18</v>
      </c>
      <c r="E7199" s="1" t="s">
        <v>19</v>
      </c>
      <c r="F7199" s="2" t="s">
        <v>2881</v>
      </c>
      <c r="G7199" s="1">
        <v>12.6</v>
      </c>
      <c r="H7199" s="1">
        <v>2</v>
      </c>
      <c r="I7199" s="1">
        <v>5.7960000000000003</v>
      </c>
    </row>
    <row r="7200" spans="1:9" x14ac:dyDescent="0.35">
      <c r="A7200" s="3">
        <v>42316</v>
      </c>
      <c r="B7200" s="1" t="s">
        <v>721</v>
      </c>
      <c r="C7200" s="1" t="s">
        <v>135</v>
      </c>
      <c r="D7200" s="1" t="s">
        <v>136</v>
      </c>
      <c r="E7200" s="1" t="s">
        <v>31</v>
      </c>
      <c r="F7200" s="2" t="s">
        <v>496</v>
      </c>
      <c r="G7200" s="1">
        <v>11.96</v>
      </c>
      <c r="H7200" s="1">
        <v>2</v>
      </c>
      <c r="I7200" s="1">
        <v>3.1095999999999999</v>
      </c>
    </row>
    <row r="7201" spans="1:9" x14ac:dyDescent="0.35">
      <c r="A7201" s="3">
        <v>42316</v>
      </c>
      <c r="B7201" s="1" t="s">
        <v>721</v>
      </c>
      <c r="C7201" s="1" t="s">
        <v>135</v>
      </c>
      <c r="D7201" s="1" t="s">
        <v>136</v>
      </c>
      <c r="E7201" s="1" t="s">
        <v>33</v>
      </c>
      <c r="F7201" s="2" t="s">
        <v>574</v>
      </c>
      <c r="G7201" s="1">
        <v>138</v>
      </c>
      <c r="H7201" s="1">
        <v>2</v>
      </c>
      <c r="I7201" s="1">
        <v>34.5</v>
      </c>
    </row>
    <row r="7202" spans="1:9" x14ac:dyDescent="0.35">
      <c r="A7202" s="3" t="s">
        <v>3401</v>
      </c>
      <c r="B7202" s="1" t="s">
        <v>1839</v>
      </c>
      <c r="C7202" s="1" t="s">
        <v>22</v>
      </c>
      <c r="D7202" s="1" t="s">
        <v>23</v>
      </c>
      <c r="E7202" s="1" t="s">
        <v>33</v>
      </c>
      <c r="F7202" s="2" t="s">
        <v>2135</v>
      </c>
      <c r="G7202" s="1">
        <v>116.76</v>
      </c>
      <c r="H7202" s="1">
        <v>1</v>
      </c>
      <c r="I7202" s="1">
        <v>14.595000000000001</v>
      </c>
    </row>
    <row r="7203" spans="1:9" x14ac:dyDescent="0.35">
      <c r="A7203" s="3" t="s">
        <v>3401</v>
      </c>
      <c r="B7203" s="1" t="s">
        <v>1839</v>
      </c>
      <c r="C7203" s="1" t="s">
        <v>22</v>
      </c>
      <c r="D7203" s="1" t="s">
        <v>23</v>
      </c>
      <c r="E7203" s="1" t="s">
        <v>24</v>
      </c>
      <c r="F7203" s="2" t="s">
        <v>1421</v>
      </c>
      <c r="G7203" s="1">
        <v>331.02300000000002</v>
      </c>
      <c r="H7203" s="1">
        <v>7</v>
      </c>
      <c r="I7203" s="1">
        <v>-114.35339999999999</v>
      </c>
    </row>
    <row r="7204" spans="1:9" x14ac:dyDescent="0.35">
      <c r="A7204" s="3" t="s">
        <v>3468</v>
      </c>
      <c r="B7204" s="1" t="s">
        <v>603</v>
      </c>
      <c r="C7204" s="1" t="s">
        <v>197</v>
      </c>
      <c r="D7204" s="1" t="s">
        <v>136</v>
      </c>
      <c r="E7204" s="1" t="s">
        <v>29</v>
      </c>
      <c r="F7204" s="2" t="s">
        <v>3046</v>
      </c>
      <c r="G7204" s="1">
        <v>756.8</v>
      </c>
      <c r="H7204" s="1">
        <v>5</v>
      </c>
      <c r="I7204" s="1">
        <v>75.680000000000007</v>
      </c>
    </row>
    <row r="7205" spans="1:9" x14ac:dyDescent="0.35">
      <c r="A7205" s="3" t="s">
        <v>3490</v>
      </c>
      <c r="B7205" s="1" t="s">
        <v>1614</v>
      </c>
      <c r="C7205" s="1" t="s">
        <v>3044</v>
      </c>
      <c r="D7205" s="1" t="s">
        <v>106</v>
      </c>
      <c r="E7205" s="1" t="s">
        <v>29</v>
      </c>
      <c r="F7205" s="2" t="s">
        <v>2792</v>
      </c>
      <c r="G7205" s="1">
        <v>8.7360000000000007</v>
      </c>
      <c r="H7205" s="1">
        <v>3</v>
      </c>
      <c r="I7205" s="1">
        <v>-4.8048000000000002</v>
      </c>
    </row>
    <row r="7206" spans="1:9" x14ac:dyDescent="0.35">
      <c r="A7206" s="3">
        <v>42286</v>
      </c>
      <c r="B7206" s="1" t="s">
        <v>1747</v>
      </c>
      <c r="C7206" s="1" t="s">
        <v>135</v>
      </c>
      <c r="D7206" s="1" t="s">
        <v>136</v>
      </c>
      <c r="E7206" s="1" t="s">
        <v>31</v>
      </c>
      <c r="F7206" s="2" t="s">
        <v>2123</v>
      </c>
      <c r="G7206" s="1">
        <v>6.08</v>
      </c>
      <c r="H7206" s="1">
        <v>2</v>
      </c>
      <c r="I7206" s="1">
        <v>2.0672000000000001</v>
      </c>
    </row>
    <row r="7207" spans="1:9" x14ac:dyDescent="0.35">
      <c r="A7207" s="3">
        <v>42776</v>
      </c>
      <c r="B7207" s="1" t="s">
        <v>1587</v>
      </c>
      <c r="C7207" s="1" t="s">
        <v>64</v>
      </c>
      <c r="D7207" s="1" t="s">
        <v>18</v>
      </c>
      <c r="E7207" s="1" t="s">
        <v>29</v>
      </c>
      <c r="F7207" s="2" t="s">
        <v>1213</v>
      </c>
      <c r="G7207" s="1">
        <v>17.46</v>
      </c>
      <c r="H7207" s="1">
        <v>2</v>
      </c>
      <c r="I7207" s="1">
        <v>5.9363999999999999</v>
      </c>
    </row>
    <row r="7208" spans="1:9" x14ac:dyDescent="0.35">
      <c r="A7208" s="3">
        <v>42776</v>
      </c>
      <c r="B7208" s="1" t="s">
        <v>1587</v>
      </c>
      <c r="C7208" s="1" t="s">
        <v>64</v>
      </c>
      <c r="D7208" s="1" t="s">
        <v>18</v>
      </c>
      <c r="E7208" s="1" t="s">
        <v>338</v>
      </c>
      <c r="F7208" s="2" t="s">
        <v>3014</v>
      </c>
      <c r="G7208" s="1">
        <v>369.16</v>
      </c>
      <c r="H7208" s="1">
        <v>11</v>
      </c>
      <c r="I7208" s="1">
        <v>32.301499999999997</v>
      </c>
    </row>
    <row r="7209" spans="1:9" x14ac:dyDescent="0.35">
      <c r="A7209" s="3">
        <v>42683</v>
      </c>
      <c r="B7209" s="1" t="s">
        <v>104</v>
      </c>
      <c r="C7209" s="1" t="s">
        <v>272</v>
      </c>
      <c r="D7209" s="1" t="s">
        <v>158</v>
      </c>
      <c r="E7209" s="1" t="s">
        <v>31</v>
      </c>
      <c r="F7209" s="2" t="s">
        <v>1441</v>
      </c>
      <c r="G7209" s="1">
        <v>2.9119999999999999</v>
      </c>
      <c r="H7209" s="1">
        <v>2</v>
      </c>
      <c r="I7209" s="1">
        <v>0.91</v>
      </c>
    </row>
    <row r="7210" spans="1:9" x14ac:dyDescent="0.35">
      <c r="A7210" s="3">
        <v>42683</v>
      </c>
      <c r="B7210" s="1" t="s">
        <v>104</v>
      </c>
      <c r="C7210" s="1" t="s">
        <v>272</v>
      </c>
      <c r="D7210" s="1" t="s">
        <v>158</v>
      </c>
      <c r="E7210" s="1" t="s">
        <v>44</v>
      </c>
      <c r="F7210" s="2" t="s">
        <v>3041</v>
      </c>
      <c r="G7210" s="1">
        <v>20.736000000000001</v>
      </c>
      <c r="H7210" s="1">
        <v>4</v>
      </c>
      <c r="I7210" s="1">
        <v>7.2576000000000001</v>
      </c>
    </row>
    <row r="7211" spans="1:9" x14ac:dyDescent="0.35">
      <c r="A7211" s="3">
        <v>42683</v>
      </c>
      <c r="B7211" s="1" t="s">
        <v>104</v>
      </c>
      <c r="C7211" s="1" t="s">
        <v>272</v>
      </c>
      <c r="D7211" s="1" t="s">
        <v>158</v>
      </c>
      <c r="E7211" s="1" t="s">
        <v>44</v>
      </c>
      <c r="F7211" s="2" t="s">
        <v>826</v>
      </c>
      <c r="G7211" s="1">
        <v>9.5679999999999996</v>
      </c>
      <c r="H7211" s="1">
        <v>2</v>
      </c>
      <c r="I7211" s="1">
        <v>2.99</v>
      </c>
    </row>
    <row r="7212" spans="1:9" x14ac:dyDescent="0.35">
      <c r="A7212" s="3">
        <v>42406</v>
      </c>
      <c r="B7212" s="1" t="s">
        <v>1970</v>
      </c>
      <c r="C7212" s="1" t="s">
        <v>47</v>
      </c>
      <c r="D7212" s="1" t="s">
        <v>48</v>
      </c>
      <c r="E7212" s="1" t="s">
        <v>44</v>
      </c>
      <c r="F7212" s="2" t="s">
        <v>2670</v>
      </c>
      <c r="G7212" s="1">
        <v>30.18</v>
      </c>
      <c r="H7212" s="1">
        <v>3</v>
      </c>
      <c r="I7212" s="1">
        <v>13.8828</v>
      </c>
    </row>
    <row r="7213" spans="1:9" x14ac:dyDescent="0.35">
      <c r="A7213" s="3">
        <v>42406</v>
      </c>
      <c r="B7213" s="1" t="s">
        <v>1970</v>
      </c>
      <c r="C7213" s="1" t="s">
        <v>47</v>
      </c>
      <c r="D7213" s="1" t="s">
        <v>48</v>
      </c>
      <c r="E7213" s="1" t="s">
        <v>35</v>
      </c>
      <c r="F7213" s="2" t="s">
        <v>150</v>
      </c>
      <c r="G7213" s="1">
        <v>51.648000000000003</v>
      </c>
      <c r="H7213" s="1">
        <v>12</v>
      </c>
      <c r="I7213" s="1">
        <v>18.7224</v>
      </c>
    </row>
    <row r="7214" spans="1:9" x14ac:dyDescent="0.35">
      <c r="A7214" s="3">
        <v>42406</v>
      </c>
      <c r="B7214" s="1" t="s">
        <v>1970</v>
      </c>
      <c r="C7214" s="1" t="s">
        <v>47</v>
      </c>
      <c r="D7214" s="1" t="s">
        <v>48</v>
      </c>
      <c r="E7214" s="1" t="s">
        <v>35</v>
      </c>
      <c r="F7214" s="2" t="s">
        <v>1068</v>
      </c>
      <c r="G7214" s="1">
        <v>11.231999999999999</v>
      </c>
      <c r="H7214" s="1">
        <v>3</v>
      </c>
      <c r="I7214" s="1">
        <v>3.9312</v>
      </c>
    </row>
    <row r="7215" spans="1:9" x14ac:dyDescent="0.35">
      <c r="A7215" s="3" t="s">
        <v>3438</v>
      </c>
      <c r="B7215" s="1" t="s">
        <v>1798</v>
      </c>
      <c r="C7215" s="1" t="s">
        <v>3047</v>
      </c>
      <c r="D7215" s="1" t="s">
        <v>18</v>
      </c>
      <c r="E7215" s="1" t="s">
        <v>19</v>
      </c>
      <c r="F7215" s="2" t="s">
        <v>1872</v>
      </c>
      <c r="G7215" s="1">
        <v>14.73</v>
      </c>
      <c r="H7215" s="1">
        <v>3</v>
      </c>
      <c r="I7215" s="1">
        <v>7.2176999999999998</v>
      </c>
    </row>
    <row r="7216" spans="1:9" x14ac:dyDescent="0.35">
      <c r="A7216" s="3" t="s">
        <v>3393</v>
      </c>
      <c r="B7216" s="1" t="s">
        <v>1129</v>
      </c>
      <c r="C7216" s="1" t="s">
        <v>429</v>
      </c>
      <c r="D7216" s="1" t="s">
        <v>120</v>
      </c>
      <c r="E7216" s="1" t="s">
        <v>31</v>
      </c>
      <c r="F7216" s="2" t="s">
        <v>1998</v>
      </c>
      <c r="G7216" s="1">
        <v>16.399999999999999</v>
      </c>
      <c r="H7216" s="1">
        <v>5</v>
      </c>
      <c r="I7216" s="1">
        <v>4.7560000000000002</v>
      </c>
    </row>
    <row r="7217" spans="1:9" x14ac:dyDescent="0.35">
      <c r="A7217" s="3" t="s">
        <v>3393</v>
      </c>
      <c r="B7217" s="1" t="s">
        <v>1129</v>
      </c>
      <c r="C7217" s="1" t="s">
        <v>429</v>
      </c>
      <c r="D7217" s="1" t="s">
        <v>120</v>
      </c>
      <c r="E7217" s="1" t="s">
        <v>44</v>
      </c>
      <c r="F7217" s="2" t="s">
        <v>1455</v>
      </c>
      <c r="G7217" s="1">
        <v>25.92</v>
      </c>
      <c r="H7217" s="1">
        <v>4</v>
      </c>
      <c r="I7217" s="1">
        <v>12.441599999999999</v>
      </c>
    </row>
    <row r="7218" spans="1:9" x14ac:dyDescent="0.35">
      <c r="A7218" s="3">
        <v>42068</v>
      </c>
      <c r="B7218" s="1" t="s">
        <v>227</v>
      </c>
      <c r="C7218" s="1" t="s">
        <v>64</v>
      </c>
      <c r="D7218" s="1" t="s">
        <v>18</v>
      </c>
      <c r="E7218" s="1" t="s">
        <v>31</v>
      </c>
      <c r="F7218" s="2" t="s">
        <v>821</v>
      </c>
      <c r="G7218" s="1">
        <v>8.82</v>
      </c>
      <c r="H7218" s="1">
        <v>3</v>
      </c>
      <c r="I7218" s="1">
        <v>2.5577999999999999</v>
      </c>
    </row>
    <row r="7219" spans="1:9" x14ac:dyDescent="0.35">
      <c r="A7219" s="3">
        <v>42068</v>
      </c>
      <c r="B7219" s="1" t="s">
        <v>227</v>
      </c>
      <c r="C7219" s="1" t="s">
        <v>64</v>
      </c>
      <c r="D7219" s="1" t="s">
        <v>18</v>
      </c>
      <c r="E7219" s="1" t="s">
        <v>35</v>
      </c>
      <c r="F7219" s="2" t="s">
        <v>2959</v>
      </c>
      <c r="G7219" s="1">
        <v>62.496000000000002</v>
      </c>
      <c r="H7219" s="1">
        <v>2</v>
      </c>
      <c r="I7219" s="1">
        <v>21.8736</v>
      </c>
    </row>
    <row r="7220" spans="1:9" x14ac:dyDescent="0.35">
      <c r="A7220" s="3">
        <v>42068</v>
      </c>
      <c r="B7220" s="1" t="s">
        <v>227</v>
      </c>
      <c r="C7220" s="1" t="s">
        <v>64</v>
      </c>
      <c r="D7220" s="1" t="s">
        <v>18</v>
      </c>
      <c r="E7220" s="1" t="s">
        <v>81</v>
      </c>
      <c r="F7220" s="2" t="s">
        <v>240</v>
      </c>
      <c r="G7220" s="1">
        <v>339.96</v>
      </c>
      <c r="H7220" s="1">
        <v>4</v>
      </c>
      <c r="I7220" s="1">
        <v>122.3856</v>
      </c>
    </row>
    <row r="7221" spans="1:9" x14ac:dyDescent="0.35">
      <c r="A7221" s="3">
        <v>42068</v>
      </c>
      <c r="B7221" s="1" t="s">
        <v>227</v>
      </c>
      <c r="C7221" s="1" t="s">
        <v>64</v>
      </c>
      <c r="D7221" s="1" t="s">
        <v>18</v>
      </c>
      <c r="E7221" s="1" t="s">
        <v>35</v>
      </c>
      <c r="F7221" s="2" t="s">
        <v>1027</v>
      </c>
      <c r="G7221" s="1">
        <v>49.567999999999998</v>
      </c>
      <c r="H7221" s="1">
        <v>2</v>
      </c>
      <c r="I7221" s="1">
        <v>17.348800000000001</v>
      </c>
    </row>
    <row r="7222" spans="1:9" x14ac:dyDescent="0.35">
      <c r="A7222" s="3">
        <v>42979</v>
      </c>
      <c r="B7222" s="1" t="s">
        <v>1600</v>
      </c>
      <c r="C7222" s="1" t="s">
        <v>74</v>
      </c>
      <c r="D7222" s="1" t="s">
        <v>75</v>
      </c>
      <c r="E7222" s="1" t="s">
        <v>35</v>
      </c>
      <c r="F7222" s="2" t="s">
        <v>1007</v>
      </c>
      <c r="G7222" s="1">
        <v>274.49099999999999</v>
      </c>
      <c r="H7222" s="1">
        <v>3</v>
      </c>
      <c r="I7222" s="1">
        <v>-228.74250000000001</v>
      </c>
    </row>
    <row r="7223" spans="1:9" x14ac:dyDescent="0.35">
      <c r="A7223" s="3" t="s">
        <v>3766</v>
      </c>
      <c r="B7223" s="1" t="s">
        <v>2126</v>
      </c>
      <c r="C7223" s="1" t="s">
        <v>135</v>
      </c>
      <c r="D7223" s="1" t="s">
        <v>136</v>
      </c>
      <c r="E7223" s="1" t="s">
        <v>33</v>
      </c>
      <c r="F7223" s="2" t="s">
        <v>2791</v>
      </c>
      <c r="G7223" s="1">
        <v>137.94</v>
      </c>
      <c r="H7223" s="1">
        <v>3</v>
      </c>
      <c r="I7223" s="1">
        <v>35.864400000000003</v>
      </c>
    </row>
    <row r="7224" spans="1:9" x14ac:dyDescent="0.35">
      <c r="A7224" s="3">
        <v>42775</v>
      </c>
      <c r="B7224" s="1" t="s">
        <v>1765</v>
      </c>
      <c r="C7224" s="1" t="s">
        <v>154</v>
      </c>
      <c r="D7224" s="1" t="s">
        <v>106</v>
      </c>
      <c r="E7224" s="1" t="s">
        <v>81</v>
      </c>
      <c r="F7224" s="2" t="s">
        <v>1156</v>
      </c>
      <c r="G7224" s="1">
        <v>40.68</v>
      </c>
      <c r="H7224" s="1">
        <v>3</v>
      </c>
      <c r="I7224" s="1">
        <v>-7.1189999999999998</v>
      </c>
    </row>
    <row r="7225" spans="1:9" x14ac:dyDescent="0.35">
      <c r="A7225" s="3" t="s">
        <v>3582</v>
      </c>
      <c r="B7225" s="1" t="s">
        <v>733</v>
      </c>
      <c r="C7225" s="1" t="s">
        <v>64</v>
      </c>
      <c r="D7225" s="1" t="s">
        <v>18</v>
      </c>
      <c r="E7225" s="1" t="s">
        <v>33</v>
      </c>
      <c r="F7225" s="2" t="s">
        <v>107</v>
      </c>
      <c r="G7225" s="1">
        <v>110.376</v>
      </c>
      <c r="H7225" s="1">
        <v>3</v>
      </c>
      <c r="I7225" s="1">
        <v>12.417299999999999</v>
      </c>
    </row>
    <row r="7226" spans="1:9" x14ac:dyDescent="0.35">
      <c r="A7226" s="3" t="s">
        <v>3582</v>
      </c>
      <c r="B7226" s="1" t="s">
        <v>733</v>
      </c>
      <c r="C7226" s="1" t="s">
        <v>64</v>
      </c>
      <c r="D7226" s="1" t="s">
        <v>18</v>
      </c>
      <c r="E7226" s="1" t="s">
        <v>37</v>
      </c>
      <c r="F7226" s="2" t="s">
        <v>2760</v>
      </c>
      <c r="G7226" s="1">
        <v>151.62</v>
      </c>
      <c r="H7226" s="1">
        <v>7</v>
      </c>
      <c r="I7226" s="1">
        <v>50.034599999999998</v>
      </c>
    </row>
    <row r="7227" spans="1:9" x14ac:dyDescent="0.35">
      <c r="A7227" s="3" t="s">
        <v>3582</v>
      </c>
      <c r="B7227" s="1" t="s">
        <v>733</v>
      </c>
      <c r="C7227" s="1" t="s">
        <v>64</v>
      </c>
      <c r="D7227" s="1" t="s">
        <v>18</v>
      </c>
      <c r="E7227" s="1" t="s">
        <v>29</v>
      </c>
      <c r="F7227" s="2" t="s">
        <v>802</v>
      </c>
      <c r="G7227" s="1">
        <v>30.8</v>
      </c>
      <c r="H7227" s="1">
        <v>4</v>
      </c>
      <c r="I7227" s="1">
        <v>10.164</v>
      </c>
    </row>
    <row r="7228" spans="1:9" x14ac:dyDescent="0.35">
      <c r="A7228" s="3" t="s">
        <v>3767</v>
      </c>
      <c r="B7228" s="1" t="s">
        <v>110</v>
      </c>
      <c r="C7228" s="1" t="s">
        <v>74</v>
      </c>
      <c r="D7228" s="1" t="s">
        <v>75</v>
      </c>
      <c r="E7228" s="1" t="s">
        <v>44</v>
      </c>
      <c r="F7228" s="2" t="s">
        <v>1729</v>
      </c>
      <c r="G7228" s="1">
        <v>123.92</v>
      </c>
      <c r="H7228" s="1">
        <v>5</v>
      </c>
      <c r="I7228" s="1">
        <v>38.725000000000001</v>
      </c>
    </row>
    <row r="7229" spans="1:9" x14ac:dyDescent="0.35">
      <c r="A7229" s="3" t="s">
        <v>3767</v>
      </c>
      <c r="B7229" s="1" t="s">
        <v>110</v>
      </c>
      <c r="C7229" s="1" t="s">
        <v>74</v>
      </c>
      <c r="D7229" s="1" t="s">
        <v>75</v>
      </c>
      <c r="E7229" s="1" t="s">
        <v>81</v>
      </c>
      <c r="F7229" s="2" t="s">
        <v>1313</v>
      </c>
      <c r="G7229" s="1">
        <v>1319.8</v>
      </c>
      <c r="H7229" s="1">
        <v>5</v>
      </c>
      <c r="I7229" s="1">
        <v>214.4675</v>
      </c>
    </row>
    <row r="7230" spans="1:9" x14ac:dyDescent="0.35">
      <c r="A7230" s="3" t="s">
        <v>3331</v>
      </c>
      <c r="B7230" s="1" t="s">
        <v>2748</v>
      </c>
      <c r="C7230" s="1" t="s">
        <v>64</v>
      </c>
      <c r="D7230" s="1" t="s">
        <v>18</v>
      </c>
      <c r="E7230" s="1" t="s">
        <v>35</v>
      </c>
      <c r="F7230" s="2" t="s">
        <v>800</v>
      </c>
      <c r="G7230" s="1">
        <v>89.712000000000003</v>
      </c>
      <c r="H7230" s="1">
        <v>6</v>
      </c>
      <c r="I7230" s="1">
        <v>30.277799999999999</v>
      </c>
    </row>
    <row r="7231" spans="1:9" x14ac:dyDescent="0.35">
      <c r="A7231" s="3" t="s">
        <v>3331</v>
      </c>
      <c r="B7231" s="1" t="s">
        <v>2748</v>
      </c>
      <c r="C7231" s="1" t="s">
        <v>64</v>
      </c>
      <c r="D7231" s="1" t="s">
        <v>18</v>
      </c>
      <c r="E7231" s="1" t="s">
        <v>44</v>
      </c>
      <c r="F7231" s="2" t="s">
        <v>462</v>
      </c>
      <c r="G7231" s="1">
        <v>22.83</v>
      </c>
      <c r="H7231" s="1">
        <v>3</v>
      </c>
      <c r="I7231" s="1">
        <v>10.7301</v>
      </c>
    </row>
    <row r="7232" spans="1:9" x14ac:dyDescent="0.35">
      <c r="A7232" s="3" t="s">
        <v>3328</v>
      </c>
      <c r="B7232" s="1" t="s">
        <v>2226</v>
      </c>
      <c r="C7232" s="1" t="s">
        <v>367</v>
      </c>
      <c r="D7232" s="1" t="s">
        <v>368</v>
      </c>
      <c r="E7232" s="1" t="s">
        <v>35</v>
      </c>
      <c r="F7232" s="2" t="s">
        <v>1823</v>
      </c>
      <c r="G7232" s="1">
        <v>30.88</v>
      </c>
      <c r="H7232" s="1">
        <v>2</v>
      </c>
      <c r="I7232" s="1">
        <v>15.44</v>
      </c>
    </row>
    <row r="7233" spans="1:9" x14ac:dyDescent="0.35">
      <c r="A7233" s="3" t="s">
        <v>3328</v>
      </c>
      <c r="B7233" s="1" t="s">
        <v>2226</v>
      </c>
      <c r="C7233" s="1" t="s">
        <v>367</v>
      </c>
      <c r="D7233" s="1" t="s">
        <v>368</v>
      </c>
      <c r="E7233" s="1" t="s">
        <v>37</v>
      </c>
      <c r="F7233" s="2" t="s">
        <v>2984</v>
      </c>
      <c r="G7233" s="1">
        <v>465.16</v>
      </c>
      <c r="H7233" s="1">
        <v>2</v>
      </c>
      <c r="I7233" s="1">
        <v>120.94159999999999</v>
      </c>
    </row>
    <row r="7234" spans="1:9" x14ac:dyDescent="0.35">
      <c r="A7234" s="3" t="s">
        <v>3328</v>
      </c>
      <c r="B7234" s="1" t="s">
        <v>2226</v>
      </c>
      <c r="C7234" s="1" t="s">
        <v>367</v>
      </c>
      <c r="D7234" s="1" t="s">
        <v>368</v>
      </c>
      <c r="E7234" s="1" t="s">
        <v>44</v>
      </c>
      <c r="F7234" s="2" t="s">
        <v>1655</v>
      </c>
      <c r="G7234" s="1">
        <v>27.12</v>
      </c>
      <c r="H7234" s="1">
        <v>4</v>
      </c>
      <c r="I7234" s="1">
        <v>12.475199999999999</v>
      </c>
    </row>
    <row r="7235" spans="1:9" x14ac:dyDescent="0.35">
      <c r="A7235" s="3">
        <v>42585</v>
      </c>
      <c r="B7235" s="1" t="s">
        <v>2431</v>
      </c>
      <c r="C7235" s="1" t="s">
        <v>135</v>
      </c>
      <c r="D7235" s="1" t="s">
        <v>136</v>
      </c>
      <c r="E7235" s="1" t="s">
        <v>29</v>
      </c>
      <c r="F7235" s="2" t="s">
        <v>707</v>
      </c>
      <c r="G7235" s="1">
        <v>113.6</v>
      </c>
      <c r="H7235" s="1">
        <v>8</v>
      </c>
      <c r="I7235" s="1">
        <v>44.304000000000002</v>
      </c>
    </row>
    <row r="7236" spans="1:9" x14ac:dyDescent="0.35">
      <c r="A7236" s="3">
        <v>42585</v>
      </c>
      <c r="B7236" s="1" t="s">
        <v>2431</v>
      </c>
      <c r="C7236" s="1" t="s">
        <v>135</v>
      </c>
      <c r="D7236" s="1" t="s">
        <v>136</v>
      </c>
      <c r="E7236" s="1" t="s">
        <v>44</v>
      </c>
      <c r="F7236" s="2" t="s">
        <v>974</v>
      </c>
      <c r="G7236" s="1">
        <v>12.96</v>
      </c>
      <c r="H7236" s="1">
        <v>2</v>
      </c>
      <c r="I7236" s="1">
        <v>6.3503999999999996</v>
      </c>
    </row>
    <row r="7237" spans="1:9" x14ac:dyDescent="0.35">
      <c r="A7237" s="3">
        <v>42585</v>
      </c>
      <c r="B7237" s="1" t="s">
        <v>2431</v>
      </c>
      <c r="C7237" s="1" t="s">
        <v>135</v>
      </c>
      <c r="D7237" s="1" t="s">
        <v>136</v>
      </c>
      <c r="E7237" s="1" t="s">
        <v>35</v>
      </c>
      <c r="F7237" s="2" t="s">
        <v>2179</v>
      </c>
      <c r="G7237" s="1">
        <v>69.456000000000003</v>
      </c>
      <c r="H7237" s="1">
        <v>2</v>
      </c>
      <c r="I7237" s="1">
        <v>22.5732</v>
      </c>
    </row>
    <row r="7238" spans="1:9" x14ac:dyDescent="0.35">
      <c r="A7238" s="3">
        <v>41832</v>
      </c>
      <c r="B7238" s="1" t="s">
        <v>885</v>
      </c>
      <c r="C7238" s="1" t="s">
        <v>17</v>
      </c>
      <c r="D7238" s="1" t="s">
        <v>18</v>
      </c>
      <c r="E7238" s="1" t="s">
        <v>31</v>
      </c>
      <c r="F7238" s="2" t="s">
        <v>1141</v>
      </c>
      <c r="G7238" s="1">
        <v>8.64</v>
      </c>
      <c r="H7238" s="1">
        <v>3</v>
      </c>
      <c r="I7238" s="1">
        <v>2.4192</v>
      </c>
    </row>
    <row r="7239" spans="1:9" x14ac:dyDescent="0.35">
      <c r="A7239" s="3">
        <v>42650</v>
      </c>
      <c r="B7239" s="1" t="s">
        <v>436</v>
      </c>
      <c r="C7239" s="1" t="s">
        <v>74</v>
      </c>
      <c r="D7239" s="1" t="s">
        <v>75</v>
      </c>
      <c r="E7239" s="1" t="s">
        <v>338</v>
      </c>
      <c r="F7239" s="2" t="s">
        <v>3048</v>
      </c>
      <c r="G7239" s="1">
        <v>341.99099999999999</v>
      </c>
      <c r="H7239" s="1">
        <v>3</v>
      </c>
      <c r="I7239" s="1">
        <v>-319.19159999999999</v>
      </c>
    </row>
    <row r="7240" spans="1:9" x14ac:dyDescent="0.35">
      <c r="A7240" s="3" t="s">
        <v>3587</v>
      </c>
      <c r="B7240" s="1" t="s">
        <v>972</v>
      </c>
      <c r="C7240" s="1" t="s">
        <v>314</v>
      </c>
      <c r="D7240" s="1" t="s">
        <v>18</v>
      </c>
      <c r="E7240" s="1" t="s">
        <v>29</v>
      </c>
      <c r="F7240" s="2" t="s">
        <v>2406</v>
      </c>
      <c r="G7240" s="1">
        <v>43.96</v>
      </c>
      <c r="H7240" s="1">
        <v>7</v>
      </c>
      <c r="I7240" s="1">
        <v>18.463200000000001</v>
      </c>
    </row>
    <row r="7241" spans="1:9" x14ac:dyDescent="0.35">
      <c r="A7241" s="3" t="s">
        <v>3587</v>
      </c>
      <c r="B7241" s="1" t="s">
        <v>972</v>
      </c>
      <c r="C7241" s="1" t="s">
        <v>314</v>
      </c>
      <c r="D7241" s="1" t="s">
        <v>18</v>
      </c>
      <c r="E7241" s="1" t="s">
        <v>87</v>
      </c>
      <c r="F7241" s="2" t="s">
        <v>332</v>
      </c>
      <c r="G7241" s="1">
        <v>39.76</v>
      </c>
      <c r="H7241" s="1">
        <v>7</v>
      </c>
      <c r="I7241" s="1">
        <v>18.687200000000001</v>
      </c>
    </row>
    <row r="7242" spans="1:9" x14ac:dyDescent="0.35">
      <c r="A7242" s="3" t="s">
        <v>3209</v>
      </c>
      <c r="B7242" s="1" t="s">
        <v>1057</v>
      </c>
      <c r="C7242" s="1" t="s">
        <v>301</v>
      </c>
      <c r="D7242" s="1" t="s">
        <v>18</v>
      </c>
      <c r="E7242" s="1" t="s">
        <v>29</v>
      </c>
      <c r="F7242" s="2" t="s">
        <v>2427</v>
      </c>
      <c r="G7242" s="1">
        <v>66.36</v>
      </c>
      <c r="H7242" s="1">
        <v>7</v>
      </c>
      <c r="I7242" s="1">
        <v>26.544</v>
      </c>
    </row>
    <row r="7243" spans="1:9" x14ac:dyDescent="0.35">
      <c r="A7243" s="3" t="s">
        <v>3209</v>
      </c>
      <c r="B7243" s="1" t="s">
        <v>1057</v>
      </c>
      <c r="C7243" s="1" t="s">
        <v>301</v>
      </c>
      <c r="D7243" s="1" t="s">
        <v>18</v>
      </c>
      <c r="E7243" s="1" t="s">
        <v>35</v>
      </c>
      <c r="F7243" s="2" t="s">
        <v>1081</v>
      </c>
      <c r="G7243" s="1">
        <v>92.88</v>
      </c>
      <c r="H7243" s="1">
        <v>6</v>
      </c>
      <c r="I7243" s="1">
        <v>30.186</v>
      </c>
    </row>
    <row r="7244" spans="1:9" x14ac:dyDescent="0.35">
      <c r="A7244" s="3" t="s">
        <v>3209</v>
      </c>
      <c r="B7244" s="1" t="s">
        <v>1057</v>
      </c>
      <c r="C7244" s="1" t="s">
        <v>301</v>
      </c>
      <c r="D7244" s="1" t="s">
        <v>18</v>
      </c>
      <c r="E7244" s="1" t="s">
        <v>29</v>
      </c>
      <c r="F7244" s="2" t="s">
        <v>2884</v>
      </c>
      <c r="G7244" s="1">
        <v>24.14</v>
      </c>
      <c r="H7244" s="1">
        <v>2</v>
      </c>
      <c r="I7244" s="1">
        <v>7.9661999999999997</v>
      </c>
    </row>
    <row r="7245" spans="1:9" x14ac:dyDescent="0.35">
      <c r="A7245" s="3" t="s">
        <v>3722</v>
      </c>
      <c r="B7245" s="1" t="s">
        <v>2142</v>
      </c>
      <c r="C7245" s="1" t="s">
        <v>74</v>
      </c>
      <c r="D7245" s="1" t="s">
        <v>75</v>
      </c>
      <c r="E7245" s="1" t="s">
        <v>14</v>
      </c>
      <c r="F7245" s="2" t="s">
        <v>867</v>
      </c>
      <c r="G7245" s="1">
        <v>4416.174</v>
      </c>
      <c r="H7245" s="1">
        <v>9</v>
      </c>
      <c r="I7245" s="1">
        <v>-630.88199999999995</v>
      </c>
    </row>
    <row r="7246" spans="1:9" x14ac:dyDescent="0.35">
      <c r="A7246" s="3" t="s">
        <v>3659</v>
      </c>
      <c r="B7246" s="1" t="s">
        <v>845</v>
      </c>
      <c r="C7246" s="1" t="s">
        <v>17</v>
      </c>
      <c r="D7246" s="1" t="s">
        <v>18</v>
      </c>
      <c r="E7246" s="1" t="s">
        <v>31</v>
      </c>
      <c r="F7246" s="2" t="s">
        <v>2763</v>
      </c>
      <c r="G7246" s="1">
        <v>49.56</v>
      </c>
      <c r="H7246" s="1">
        <v>7</v>
      </c>
      <c r="I7246" s="1">
        <v>18.832799999999999</v>
      </c>
    </row>
    <row r="7247" spans="1:9" x14ac:dyDescent="0.35">
      <c r="A7247" s="3">
        <v>42980</v>
      </c>
      <c r="B7247" s="1" t="s">
        <v>2308</v>
      </c>
      <c r="C7247" s="1" t="s">
        <v>17</v>
      </c>
      <c r="D7247" s="1" t="s">
        <v>18</v>
      </c>
      <c r="E7247" s="1" t="s">
        <v>26</v>
      </c>
      <c r="F7247" s="2" t="s">
        <v>1757</v>
      </c>
      <c r="G7247" s="1">
        <v>354.9</v>
      </c>
      <c r="H7247" s="1">
        <v>5</v>
      </c>
      <c r="I7247" s="1">
        <v>17.745000000000001</v>
      </c>
    </row>
    <row r="7248" spans="1:9" x14ac:dyDescent="0.35">
      <c r="A7248" s="3">
        <v>41701</v>
      </c>
      <c r="B7248" s="1" t="s">
        <v>1214</v>
      </c>
      <c r="C7248" s="1" t="s">
        <v>249</v>
      </c>
      <c r="D7248" s="1" t="s">
        <v>250</v>
      </c>
      <c r="E7248" s="1" t="s">
        <v>19</v>
      </c>
      <c r="F7248" s="2" t="s">
        <v>2881</v>
      </c>
      <c r="G7248" s="1">
        <v>15.12</v>
      </c>
      <c r="H7248" s="1">
        <v>3</v>
      </c>
      <c r="I7248" s="1">
        <v>4.9139999999999997</v>
      </c>
    </row>
    <row r="7249" spans="1:9" x14ac:dyDescent="0.35">
      <c r="A7249" s="3">
        <v>41701</v>
      </c>
      <c r="B7249" s="1" t="s">
        <v>1214</v>
      </c>
      <c r="C7249" s="1" t="s">
        <v>249</v>
      </c>
      <c r="D7249" s="1" t="s">
        <v>250</v>
      </c>
      <c r="E7249" s="1" t="s">
        <v>12</v>
      </c>
      <c r="F7249" s="2" t="s">
        <v>684</v>
      </c>
      <c r="G7249" s="1">
        <v>302.45</v>
      </c>
      <c r="H7249" s="1">
        <v>5</v>
      </c>
      <c r="I7249" s="1">
        <v>-199.61699999999999</v>
      </c>
    </row>
    <row r="7250" spans="1:9" x14ac:dyDescent="0.35">
      <c r="A7250" s="3">
        <v>41701</v>
      </c>
      <c r="B7250" s="1" t="s">
        <v>1214</v>
      </c>
      <c r="C7250" s="1" t="s">
        <v>249</v>
      </c>
      <c r="D7250" s="1" t="s">
        <v>250</v>
      </c>
      <c r="E7250" s="1" t="s">
        <v>26</v>
      </c>
      <c r="F7250" s="2" t="s">
        <v>1216</v>
      </c>
      <c r="G7250" s="1">
        <v>44.671999999999997</v>
      </c>
      <c r="H7250" s="1">
        <v>8</v>
      </c>
      <c r="I7250" s="1">
        <v>-10.0512</v>
      </c>
    </row>
    <row r="7251" spans="1:9" x14ac:dyDescent="0.35">
      <c r="A7251" s="3">
        <v>42100</v>
      </c>
      <c r="B7251" s="1" t="s">
        <v>2415</v>
      </c>
      <c r="C7251" s="1" t="s">
        <v>17</v>
      </c>
      <c r="D7251" s="1" t="s">
        <v>18</v>
      </c>
      <c r="E7251" s="1" t="s">
        <v>81</v>
      </c>
      <c r="F7251" s="2" t="s">
        <v>2631</v>
      </c>
      <c r="G7251" s="1">
        <v>119.98</v>
      </c>
      <c r="H7251" s="1">
        <v>2</v>
      </c>
      <c r="I7251" s="1">
        <v>35.994</v>
      </c>
    </row>
    <row r="7252" spans="1:9" x14ac:dyDescent="0.35">
      <c r="A7252" s="3">
        <v>42100</v>
      </c>
      <c r="B7252" s="1" t="s">
        <v>2415</v>
      </c>
      <c r="C7252" s="1" t="s">
        <v>17</v>
      </c>
      <c r="D7252" s="1" t="s">
        <v>18</v>
      </c>
      <c r="E7252" s="1" t="s">
        <v>81</v>
      </c>
      <c r="F7252" s="2" t="s">
        <v>2899</v>
      </c>
      <c r="G7252" s="1">
        <v>989.97</v>
      </c>
      <c r="H7252" s="1">
        <v>3</v>
      </c>
      <c r="I7252" s="1">
        <v>395.988</v>
      </c>
    </row>
    <row r="7253" spans="1:9" x14ac:dyDescent="0.35">
      <c r="A7253" s="3" t="s">
        <v>3375</v>
      </c>
      <c r="B7253" s="1" t="s">
        <v>2160</v>
      </c>
      <c r="C7253" s="1" t="s">
        <v>2709</v>
      </c>
      <c r="D7253" s="1" t="s">
        <v>23</v>
      </c>
      <c r="E7253" s="1" t="s">
        <v>19</v>
      </c>
      <c r="F7253" s="2" t="s">
        <v>3049</v>
      </c>
      <c r="G7253" s="1">
        <v>9.2159999999999993</v>
      </c>
      <c r="H7253" s="1">
        <v>4</v>
      </c>
      <c r="I7253" s="1">
        <v>3.3408000000000002</v>
      </c>
    </row>
    <row r="7254" spans="1:9" x14ac:dyDescent="0.35">
      <c r="A7254" s="3">
        <v>42713</v>
      </c>
      <c r="B7254" s="1" t="s">
        <v>1054</v>
      </c>
      <c r="C7254" s="1" t="s">
        <v>283</v>
      </c>
      <c r="D7254" s="1" t="s">
        <v>120</v>
      </c>
      <c r="E7254" s="1" t="s">
        <v>44</v>
      </c>
      <c r="F7254" s="2" t="s">
        <v>2115</v>
      </c>
      <c r="G7254" s="1">
        <v>68.52</v>
      </c>
      <c r="H7254" s="1">
        <v>3</v>
      </c>
      <c r="I7254" s="1">
        <v>31.519200000000001</v>
      </c>
    </row>
    <row r="7255" spans="1:9" x14ac:dyDescent="0.35">
      <c r="A7255" s="3" t="s">
        <v>3633</v>
      </c>
      <c r="B7255" s="1" t="s">
        <v>2421</v>
      </c>
      <c r="C7255" s="1" t="s">
        <v>2692</v>
      </c>
      <c r="D7255" s="1" t="s">
        <v>57</v>
      </c>
      <c r="E7255" s="1" t="s">
        <v>37</v>
      </c>
      <c r="F7255" s="2" t="s">
        <v>353</v>
      </c>
      <c r="G7255" s="1">
        <v>364.74</v>
      </c>
      <c r="H7255" s="1">
        <v>3</v>
      </c>
      <c r="I7255" s="1">
        <v>109.422</v>
      </c>
    </row>
    <row r="7256" spans="1:9" x14ac:dyDescent="0.35">
      <c r="A7256" s="3" t="s">
        <v>3633</v>
      </c>
      <c r="B7256" s="1" t="s">
        <v>2421</v>
      </c>
      <c r="C7256" s="1" t="s">
        <v>2692</v>
      </c>
      <c r="D7256" s="1" t="s">
        <v>57</v>
      </c>
      <c r="E7256" s="1" t="s">
        <v>29</v>
      </c>
      <c r="F7256" s="2" t="s">
        <v>1965</v>
      </c>
      <c r="G7256" s="1">
        <v>47.4</v>
      </c>
      <c r="H7256" s="1">
        <v>5</v>
      </c>
      <c r="I7256" s="1">
        <v>21.33</v>
      </c>
    </row>
    <row r="7257" spans="1:9" x14ac:dyDescent="0.35">
      <c r="A7257" s="3" t="s">
        <v>3633</v>
      </c>
      <c r="B7257" s="1" t="s">
        <v>2421</v>
      </c>
      <c r="C7257" s="1" t="s">
        <v>2692</v>
      </c>
      <c r="D7257" s="1" t="s">
        <v>57</v>
      </c>
      <c r="E7257" s="1" t="s">
        <v>26</v>
      </c>
      <c r="F7257" s="2" t="s">
        <v>500</v>
      </c>
      <c r="G7257" s="1">
        <v>49.76</v>
      </c>
      <c r="H7257" s="1">
        <v>4</v>
      </c>
      <c r="I7257" s="1">
        <v>13.9328</v>
      </c>
    </row>
    <row r="7258" spans="1:9" x14ac:dyDescent="0.35">
      <c r="A7258" s="3" t="s">
        <v>3633</v>
      </c>
      <c r="B7258" s="1" t="s">
        <v>2421</v>
      </c>
      <c r="C7258" s="1" t="s">
        <v>2692</v>
      </c>
      <c r="D7258" s="1" t="s">
        <v>57</v>
      </c>
      <c r="E7258" s="1" t="s">
        <v>31</v>
      </c>
      <c r="F7258" s="2" t="s">
        <v>608</v>
      </c>
      <c r="G7258" s="1">
        <v>5.56</v>
      </c>
      <c r="H7258" s="1">
        <v>2</v>
      </c>
      <c r="I7258" s="1">
        <v>1.4456</v>
      </c>
    </row>
    <row r="7259" spans="1:9" x14ac:dyDescent="0.35">
      <c r="A7259" s="3" t="s">
        <v>3633</v>
      </c>
      <c r="B7259" s="1" t="s">
        <v>2421</v>
      </c>
      <c r="C7259" s="1" t="s">
        <v>2692</v>
      </c>
      <c r="D7259" s="1" t="s">
        <v>57</v>
      </c>
      <c r="E7259" s="1" t="s">
        <v>44</v>
      </c>
      <c r="F7259" s="2" t="s">
        <v>1541</v>
      </c>
      <c r="G7259" s="1">
        <v>629.1</v>
      </c>
      <c r="H7259" s="1">
        <v>6</v>
      </c>
      <c r="I7259" s="1">
        <v>301.96800000000002</v>
      </c>
    </row>
    <row r="7260" spans="1:9" x14ac:dyDescent="0.35">
      <c r="A7260" s="3" t="s">
        <v>3633</v>
      </c>
      <c r="B7260" s="1" t="s">
        <v>2421</v>
      </c>
      <c r="C7260" s="1" t="s">
        <v>2692</v>
      </c>
      <c r="D7260" s="1" t="s">
        <v>57</v>
      </c>
      <c r="E7260" s="1" t="s">
        <v>31</v>
      </c>
      <c r="F7260" s="2" t="s">
        <v>293</v>
      </c>
      <c r="G7260" s="1">
        <v>14.7</v>
      </c>
      <c r="H7260" s="1">
        <v>5</v>
      </c>
      <c r="I7260" s="1">
        <v>3.9689999999999999</v>
      </c>
    </row>
    <row r="7261" spans="1:9" x14ac:dyDescent="0.35">
      <c r="A7261" s="3" t="s">
        <v>3633</v>
      </c>
      <c r="B7261" s="1" t="s">
        <v>2421</v>
      </c>
      <c r="C7261" s="1" t="s">
        <v>2692</v>
      </c>
      <c r="D7261" s="1" t="s">
        <v>57</v>
      </c>
      <c r="E7261" s="1" t="s">
        <v>44</v>
      </c>
      <c r="F7261" s="2" t="s">
        <v>1636</v>
      </c>
      <c r="G7261" s="1">
        <v>45.36</v>
      </c>
      <c r="H7261" s="1">
        <v>7</v>
      </c>
      <c r="I7261" s="1">
        <v>21.7728</v>
      </c>
    </row>
    <row r="7262" spans="1:9" x14ac:dyDescent="0.35">
      <c r="A7262" s="3" t="s">
        <v>3633</v>
      </c>
      <c r="B7262" s="1" t="s">
        <v>2421</v>
      </c>
      <c r="C7262" s="1" t="s">
        <v>2692</v>
      </c>
      <c r="D7262" s="1" t="s">
        <v>57</v>
      </c>
      <c r="E7262" s="1" t="s">
        <v>33</v>
      </c>
      <c r="F7262" s="2" t="s">
        <v>1788</v>
      </c>
      <c r="G7262" s="1">
        <v>125.99</v>
      </c>
      <c r="H7262" s="1">
        <v>1</v>
      </c>
      <c r="I7262" s="1">
        <v>35.277200000000001</v>
      </c>
    </row>
    <row r="7263" spans="1:9" x14ac:dyDescent="0.35">
      <c r="A7263" s="3">
        <v>43014</v>
      </c>
      <c r="B7263" s="1" t="s">
        <v>1575</v>
      </c>
      <c r="C7263" s="1" t="s">
        <v>2191</v>
      </c>
      <c r="D7263" s="1" t="s">
        <v>18</v>
      </c>
      <c r="E7263" s="1" t="s">
        <v>31</v>
      </c>
      <c r="F7263" s="2" t="s">
        <v>2841</v>
      </c>
      <c r="G7263" s="1">
        <v>14.7</v>
      </c>
      <c r="H7263" s="1">
        <v>7</v>
      </c>
      <c r="I7263" s="1">
        <v>4.1159999999999997</v>
      </c>
    </row>
    <row r="7264" spans="1:9" x14ac:dyDescent="0.35">
      <c r="A7264" s="3" t="s">
        <v>3214</v>
      </c>
      <c r="B7264" s="1" t="s">
        <v>1787</v>
      </c>
      <c r="C7264" s="1" t="s">
        <v>74</v>
      </c>
      <c r="D7264" s="1" t="s">
        <v>75</v>
      </c>
      <c r="E7264" s="1" t="s">
        <v>33</v>
      </c>
      <c r="F7264" s="2" t="s">
        <v>126</v>
      </c>
      <c r="G7264" s="1">
        <v>32.700000000000003</v>
      </c>
      <c r="H7264" s="1">
        <v>5</v>
      </c>
      <c r="I7264" s="1">
        <v>-6.54</v>
      </c>
    </row>
    <row r="7265" spans="1:9" x14ac:dyDescent="0.35">
      <c r="A7265" s="3" t="s">
        <v>3214</v>
      </c>
      <c r="B7265" s="1" t="s">
        <v>1787</v>
      </c>
      <c r="C7265" s="1" t="s">
        <v>74</v>
      </c>
      <c r="D7265" s="1" t="s">
        <v>75</v>
      </c>
      <c r="E7265" s="1" t="s">
        <v>87</v>
      </c>
      <c r="F7265" s="2" t="s">
        <v>2752</v>
      </c>
      <c r="G7265" s="1">
        <v>31.68</v>
      </c>
      <c r="H7265" s="1">
        <v>4</v>
      </c>
      <c r="I7265" s="1">
        <v>11.087999999999999</v>
      </c>
    </row>
    <row r="7266" spans="1:9" x14ac:dyDescent="0.35">
      <c r="A7266" s="3" t="s">
        <v>3768</v>
      </c>
      <c r="B7266" s="1" t="s">
        <v>196</v>
      </c>
      <c r="C7266" s="1" t="s">
        <v>162</v>
      </c>
      <c r="D7266" s="1" t="s">
        <v>163</v>
      </c>
      <c r="E7266" s="1" t="s">
        <v>31</v>
      </c>
      <c r="F7266" s="2" t="s">
        <v>2498</v>
      </c>
      <c r="G7266" s="1">
        <v>181.86</v>
      </c>
      <c r="H7266" s="1">
        <v>7</v>
      </c>
      <c r="I7266" s="1">
        <v>50.9208</v>
      </c>
    </row>
    <row r="7267" spans="1:9" x14ac:dyDescent="0.35">
      <c r="A7267" s="3" t="s">
        <v>3437</v>
      </c>
      <c r="B7267" s="1" t="s">
        <v>1652</v>
      </c>
      <c r="C7267" s="1" t="s">
        <v>93</v>
      </c>
      <c r="D7267" s="1" t="s">
        <v>52</v>
      </c>
      <c r="E7267" s="1" t="s">
        <v>14</v>
      </c>
      <c r="F7267" s="2" t="s">
        <v>1531</v>
      </c>
      <c r="G7267" s="1">
        <v>155.37200000000001</v>
      </c>
      <c r="H7267" s="1">
        <v>2</v>
      </c>
      <c r="I7267" s="1">
        <v>-35.513599999999997</v>
      </c>
    </row>
    <row r="7268" spans="1:9" x14ac:dyDescent="0.35">
      <c r="A7268" s="3" t="s">
        <v>3769</v>
      </c>
      <c r="B7268" s="1" t="s">
        <v>2517</v>
      </c>
      <c r="C7268" s="1" t="s">
        <v>193</v>
      </c>
      <c r="D7268" s="1" t="s">
        <v>171</v>
      </c>
      <c r="E7268" s="1" t="s">
        <v>35</v>
      </c>
      <c r="F7268" s="2" t="s">
        <v>940</v>
      </c>
      <c r="G7268" s="1">
        <v>13.428000000000001</v>
      </c>
      <c r="H7268" s="1">
        <v>3</v>
      </c>
      <c r="I7268" s="1">
        <v>-11.19</v>
      </c>
    </row>
    <row r="7269" spans="1:9" x14ac:dyDescent="0.35">
      <c r="A7269" s="3" t="s">
        <v>3769</v>
      </c>
      <c r="B7269" s="1" t="s">
        <v>2517</v>
      </c>
      <c r="C7269" s="1" t="s">
        <v>193</v>
      </c>
      <c r="D7269" s="1" t="s">
        <v>171</v>
      </c>
      <c r="E7269" s="1" t="s">
        <v>26</v>
      </c>
      <c r="F7269" s="2" t="s">
        <v>1710</v>
      </c>
      <c r="G7269" s="1">
        <v>67.135999999999996</v>
      </c>
      <c r="H7269" s="1">
        <v>4</v>
      </c>
      <c r="I7269" s="1">
        <v>-0.83919999999999995</v>
      </c>
    </row>
    <row r="7270" spans="1:9" x14ac:dyDescent="0.35">
      <c r="A7270" s="3" t="s">
        <v>3770</v>
      </c>
      <c r="B7270" s="1" t="s">
        <v>667</v>
      </c>
      <c r="C7270" s="1" t="s">
        <v>42</v>
      </c>
      <c r="D7270" s="1" t="s">
        <v>43</v>
      </c>
      <c r="E7270" s="1" t="s">
        <v>44</v>
      </c>
      <c r="F7270" s="2" t="s">
        <v>2599</v>
      </c>
      <c r="G7270" s="1">
        <v>89.567999999999998</v>
      </c>
      <c r="H7270" s="1">
        <v>2</v>
      </c>
      <c r="I7270" s="1">
        <v>32.468400000000003</v>
      </c>
    </row>
    <row r="7271" spans="1:9" x14ac:dyDescent="0.35">
      <c r="A7271" s="3" t="s">
        <v>3770</v>
      </c>
      <c r="B7271" s="1" t="s">
        <v>667</v>
      </c>
      <c r="C7271" s="1" t="s">
        <v>42</v>
      </c>
      <c r="D7271" s="1" t="s">
        <v>43</v>
      </c>
      <c r="E7271" s="1" t="s">
        <v>29</v>
      </c>
      <c r="F7271" s="2" t="s">
        <v>3050</v>
      </c>
      <c r="G7271" s="1">
        <v>315.77600000000001</v>
      </c>
      <c r="H7271" s="1">
        <v>8</v>
      </c>
      <c r="I7271" s="1">
        <v>31.5776</v>
      </c>
    </row>
    <row r="7272" spans="1:9" x14ac:dyDescent="0.35">
      <c r="A7272" s="3" t="s">
        <v>3756</v>
      </c>
      <c r="B7272" s="1" t="s">
        <v>1681</v>
      </c>
      <c r="C7272" s="1" t="s">
        <v>314</v>
      </c>
      <c r="D7272" s="1" t="s">
        <v>18</v>
      </c>
      <c r="E7272" s="1" t="s">
        <v>12</v>
      </c>
      <c r="F7272" s="2" t="s">
        <v>1934</v>
      </c>
      <c r="G7272" s="1">
        <v>273.666</v>
      </c>
      <c r="H7272" s="1">
        <v>2</v>
      </c>
      <c r="I7272" s="1">
        <v>-12.878399999999999</v>
      </c>
    </row>
    <row r="7273" spans="1:9" x14ac:dyDescent="0.35">
      <c r="A7273" s="3" t="s">
        <v>3756</v>
      </c>
      <c r="B7273" s="1" t="s">
        <v>1681</v>
      </c>
      <c r="C7273" s="1" t="s">
        <v>314</v>
      </c>
      <c r="D7273" s="1" t="s">
        <v>18</v>
      </c>
      <c r="E7273" s="1" t="s">
        <v>37</v>
      </c>
      <c r="F7273" s="2" t="s">
        <v>2153</v>
      </c>
      <c r="G7273" s="1">
        <v>17.48</v>
      </c>
      <c r="H7273" s="1">
        <v>4</v>
      </c>
      <c r="I7273" s="1">
        <v>4.5448000000000004</v>
      </c>
    </row>
    <row r="7274" spans="1:9" x14ac:dyDescent="0.35">
      <c r="A7274" s="3">
        <v>42653</v>
      </c>
      <c r="B7274" s="1" t="s">
        <v>1552</v>
      </c>
      <c r="C7274" s="1" t="s">
        <v>1874</v>
      </c>
      <c r="D7274" s="1" t="s">
        <v>43</v>
      </c>
      <c r="E7274" s="1" t="s">
        <v>289</v>
      </c>
      <c r="F7274" s="2" t="s">
        <v>902</v>
      </c>
      <c r="G7274" s="1">
        <v>20.608000000000001</v>
      </c>
      <c r="H7274" s="1">
        <v>2</v>
      </c>
      <c r="I7274" s="1">
        <v>-4.3792</v>
      </c>
    </row>
    <row r="7275" spans="1:9" x14ac:dyDescent="0.35">
      <c r="A7275" s="3">
        <v>42653</v>
      </c>
      <c r="B7275" s="1" t="s">
        <v>1552</v>
      </c>
      <c r="C7275" s="1" t="s">
        <v>1874</v>
      </c>
      <c r="D7275" s="1" t="s">
        <v>43</v>
      </c>
      <c r="E7275" s="1" t="s">
        <v>35</v>
      </c>
      <c r="F7275" s="2" t="s">
        <v>492</v>
      </c>
      <c r="G7275" s="1">
        <v>4.0949999999999998</v>
      </c>
      <c r="H7275" s="1">
        <v>3</v>
      </c>
      <c r="I7275" s="1">
        <v>-2.73</v>
      </c>
    </row>
    <row r="7276" spans="1:9" x14ac:dyDescent="0.35">
      <c r="A7276" s="3" t="s">
        <v>3171</v>
      </c>
      <c r="B7276" s="1" t="s">
        <v>2104</v>
      </c>
      <c r="C7276" s="1" t="s">
        <v>2871</v>
      </c>
      <c r="D7276" s="1" t="s">
        <v>823</v>
      </c>
      <c r="E7276" s="1" t="s">
        <v>33</v>
      </c>
      <c r="F7276" s="2" t="s">
        <v>2487</v>
      </c>
      <c r="G7276" s="1">
        <v>339.96</v>
      </c>
      <c r="H7276" s="1">
        <v>5</v>
      </c>
      <c r="I7276" s="1">
        <v>42.494999999999997</v>
      </c>
    </row>
    <row r="7277" spans="1:9" x14ac:dyDescent="0.35">
      <c r="A7277" s="3" t="s">
        <v>3171</v>
      </c>
      <c r="B7277" s="1" t="s">
        <v>2104</v>
      </c>
      <c r="C7277" s="1" t="s">
        <v>2871</v>
      </c>
      <c r="D7277" s="1" t="s">
        <v>823</v>
      </c>
      <c r="E7277" s="1" t="s">
        <v>29</v>
      </c>
      <c r="F7277" s="2" t="s">
        <v>1135</v>
      </c>
      <c r="G7277" s="1">
        <v>63.98</v>
      </c>
      <c r="H7277" s="1">
        <v>7</v>
      </c>
      <c r="I7277" s="1">
        <v>21.7532</v>
      </c>
    </row>
    <row r="7278" spans="1:9" x14ac:dyDescent="0.35">
      <c r="A7278" s="3">
        <v>41681</v>
      </c>
      <c r="B7278" s="1" t="s">
        <v>1625</v>
      </c>
      <c r="C7278" s="1" t="s">
        <v>22</v>
      </c>
      <c r="D7278" s="1" t="s">
        <v>23</v>
      </c>
      <c r="E7278" s="1" t="s">
        <v>81</v>
      </c>
      <c r="F7278" s="2" t="s">
        <v>2211</v>
      </c>
      <c r="G7278" s="1">
        <v>799.92</v>
      </c>
      <c r="H7278" s="1">
        <v>10</v>
      </c>
      <c r="I7278" s="1">
        <v>239.976</v>
      </c>
    </row>
    <row r="7279" spans="1:9" x14ac:dyDescent="0.35">
      <c r="A7279" s="3" t="s">
        <v>3686</v>
      </c>
      <c r="B7279" s="1" t="s">
        <v>1555</v>
      </c>
      <c r="C7279" s="1" t="s">
        <v>64</v>
      </c>
      <c r="D7279" s="1" t="s">
        <v>18</v>
      </c>
      <c r="E7279" s="1" t="s">
        <v>33</v>
      </c>
      <c r="F7279" s="2" t="s">
        <v>3032</v>
      </c>
      <c r="G7279" s="1">
        <v>35.984000000000002</v>
      </c>
      <c r="H7279" s="1">
        <v>2</v>
      </c>
      <c r="I7279" s="1">
        <v>4.4980000000000002</v>
      </c>
    </row>
    <row r="7280" spans="1:9" x14ac:dyDescent="0.35">
      <c r="A7280" s="3" t="s">
        <v>3686</v>
      </c>
      <c r="B7280" s="1" t="s">
        <v>1555</v>
      </c>
      <c r="C7280" s="1" t="s">
        <v>64</v>
      </c>
      <c r="D7280" s="1" t="s">
        <v>18</v>
      </c>
      <c r="E7280" s="1" t="s">
        <v>81</v>
      </c>
      <c r="F7280" s="2" t="s">
        <v>2163</v>
      </c>
      <c r="G7280" s="1">
        <v>389.97</v>
      </c>
      <c r="H7280" s="1">
        <v>3</v>
      </c>
      <c r="I7280" s="1">
        <v>132.5898</v>
      </c>
    </row>
    <row r="7281" spans="1:9" x14ac:dyDescent="0.35">
      <c r="A7281" s="3" t="s">
        <v>3593</v>
      </c>
      <c r="B7281" s="1" t="s">
        <v>990</v>
      </c>
      <c r="C7281" s="1" t="s">
        <v>2833</v>
      </c>
      <c r="D7281" s="1" t="s">
        <v>158</v>
      </c>
      <c r="E7281" s="1" t="s">
        <v>81</v>
      </c>
      <c r="F7281" s="2" t="s">
        <v>833</v>
      </c>
      <c r="G7281" s="1">
        <v>185.52799999999999</v>
      </c>
      <c r="H7281" s="1">
        <v>7</v>
      </c>
      <c r="I7281" s="1">
        <v>48.701099999999997</v>
      </c>
    </row>
    <row r="7282" spans="1:9" x14ac:dyDescent="0.35">
      <c r="A7282" s="3" t="s">
        <v>3244</v>
      </c>
      <c r="B7282" s="1" t="s">
        <v>2220</v>
      </c>
      <c r="C7282" s="1" t="s">
        <v>193</v>
      </c>
      <c r="D7282" s="1" t="s">
        <v>1217</v>
      </c>
      <c r="E7282" s="1" t="s">
        <v>35</v>
      </c>
      <c r="F7282" s="2" t="s">
        <v>815</v>
      </c>
      <c r="G7282" s="1">
        <v>2541.98</v>
      </c>
      <c r="H7282" s="1">
        <v>2</v>
      </c>
      <c r="I7282" s="1">
        <v>1270.99</v>
      </c>
    </row>
    <row r="7283" spans="1:9" x14ac:dyDescent="0.35">
      <c r="A7283" s="3" t="s">
        <v>3638</v>
      </c>
      <c r="B7283" s="1" t="s">
        <v>2493</v>
      </c>
      <c r="C7283" s="1" t="s">
        <v>2833</v>
      </c>
      <c r="D7283" s="1" t="s">
        <v>158</v>
      </c>
      <c r="E7283" s="1" t="s">
        <v>338</v>
      </c>
      <c r="F7283" s="2" t="s">
        <v>426</v>
      </c>
      <c r="G7283" s="1">
        <v>599.98500000000001</v>
      </c>
      <c r="H7283" s="1">
        <v>5</v>
      </c>
      <c r="I7283" s="1">
        <v>-479.988</v>
      </c>
    </row>
    <row r="7284" spans="1:9" x14ac:dyDescent="0.35">
      <c r="A7284" s="3" t="s">
        <v>3249</v>
      </c>
      <c r="B7284" s="1" t="s">
        <v>1120</v>
      </c>
      <c r="C7284" s="1" t="s">
        <v>154</v>
      </c>
      <c r="D7284" s="1" t="s">
        <v>106</v>
      </c>
      <c r="E7284" s="1" t="s">
        <v>35</v>
      </c>
      <c r="F7284" s="2" t="s">
        <v>1486</v>
      </c>
      <c r="G7284" s="1">
        <v>3.036</v>
      </c>
      <c r="H7284" s="1">
        <v>3</v>
      </c>
      <c r="I7284" s="1">
        <v>-5.0094000000000003</v>
      </c>
    </row>
    <row r="7285" spans="1:9" x14ac:dyDescent="0.35">
      <c r="A7285" s="3">
        <v>42987</v>
      </c>
      <c r="B7285" s="1" t="s">
        <v>398</v>
      </c>
      <c r="C7285" s="1" t="s">
        <v>994</v>
      </c>
      <c r="D7285" s="1" t="s">
        <v>250</v>
      </c>
      <c r="E7285" s="1" t="s">
        <v>31</v>
      </c>
      <c r="F7285" s="2" t="s">
        <v>593</v>
      </c>
      <c r="G7285" s="1">
        <v>25.92</v>
      </c>
      <c r="H7285" s="1">
        <v>5</v>
      </c>
      <c r="I7285" s="1">
        <v>3.8879999999999999</v>
      </c>
    </row>
    <row r="7286" spans="1:9" x14ac:dyDescent="0.35">
      <c r="A7286" s="3">
        <v>42987</v>
      </c>
      <c r="B7286" s="1" t="s">
        <v>398</v>
      </c>
      <c r="C7286" s="1" t="s">
        <v>994</v>
      </c>
      <c r="D7286" s="1" t="s">
        <v>250</v>
      </c>
      <c r="E7286" s="1" t="s">
        <v>29</v>
      </c>
      <c r="F7286" s="2" t="s">
        <v>863</v>
      </c>
      <c r="G7286" s="1">
        <v>66.111999999999995</v>
      </c>
      <c r="H7286" s="1">
        <v>2</v>
      </c>
      <c r="I7286" s="1">
        <v>-9.0904000000000007</v>
      </c>
    </row>
    <row r="7287" spans="1:9" x14ac:dyDescent="0.35">
      <c r="A7287" s="3" t="s">
        <v>3670</v>
      </c>
      <c r="B7287" s="1" t="s">
        <v>1188</v>
      </c>
      <c r="C7287" s="1" t="s">
        <v>64</v>
      </c>
      <c r="D7287" s="1" t="s">
        <v>18</v>
      </c>
      <c r="E7287" s="1" t="s">
        <v>81</v>
      </c>
      <c r="F7287" s="2" t="s">
        <v>1005</v>
      </c>
      <c r="G7287" s="1">
        <v>46.36</v>
      </c>
      <c r="H7287" s="1">
        <v>4</v>
      </c>
      <c r="I7287" s="1">
        <v>15.2988</v>
      </c>
    </row>
    <row r="7288" spans="1:9" x14ac:dyDescent="0.35">
      <c r="A7288" s="3" t="s">
        <v>3156</v>
      </c>
      <c r="B7288" s="1" t="s">
        <v>2737</v>
      </c>
      <c r="C7288" s="1" t="s">
        <v>1999</v>
      </c>
      <c r="D7288" s="1" t="s">
        <v>322</v>
      </c>
      <c r="E7288" s="1" t="s">
        <v>81</v>
      </c>
      <c r="F7288" s="2" t="s">
        <v>2812</v>
      </c>
      <c r="G7288" s="1">
        <v>6.9</v>
      </c>
      <c r="H7288" s="1">
        <v>1</v>
      </c>
      <c r="I7288" s="1">
        <v>0.55200000000000005</v>
      </c>
    </row>
    <row r="7289" spans="1:9" x14ac:dyDescent="0.35">
      <c r="A7289" s="3" t="s">
        <v>3156</v>
      </c>
      <c r="B7289" s="1" t="s">
        <v>2737</v>
      </c>
      <c r="C7289" s="1" t="s">
        <v>1999</v>
      </c>
      <c r="D7289" s="1" t="s">
        <v>322</v>
      </c>
      <c r="E7289" s="1" t="s">
        <v>29</v>
      </c>
      <c r="F7289" s="2" t="s">
        <v>2312</v>
      </c>
      <c r="G7289" s="1">
        <v>57.69</v>
      </c>
      <c r="H7289" s="1">
        <v>3</v>
      </c>
      <c r="I7289" s="1">
        <v>23.652899999999999</v>
      </c>
    </row>
    <row r="7290" spans="1:9" x14ac:dyDescent="0.35">
      <c r="A7290" s="3">
        <v>41679</v>
      </c>
      <c r="B7290" s="1" t="s">
        <v>549</v>
      </c>
      <c r="C7290" s="1" t="s">
        <v>93</v>
      </c>
      <c r="D7290" s="1" t="s">
        <v>52</v>
      </c>
      <c r="E7290" s="1" t="s">
        <v>338</v>
      </c>
      <c r="F7290" s="2" t="s">
        <v>2302</v>
      </c>
      <c r="G7290" s="1">
        <v>559.71</v>
      </c>
      <c r="H7290" s="1">
        <v>3</v>
      </c>
      <c r="I7290" s="1">
        <v>-121.2705</v>
      </c>
    </row>
    <row r="7291" spans="1:9" x14ac:dyDescent="0.35">
      <c r="A7291" s="3" t="s">
        <v>3289</v>
      </c>
      <c r="B7291" s="1" t="s">
        <v>260</v>
      </c>
      <c r="C7291" s="1" t="s">
        <v>64</v>
      </c>
      <c r="D7291" s="1" t="s">
        <v>18</v>
      </c>
      <c r="E7291" s="1" t="s">
        <v>26</v>
      </c>
      <c r="F7291" s="2" t="s">
        <v>569</v>
      </c>
      <c r="G7291" s="1">
        <v>305.01</v>
      </c>
      <c r="H7291" s="1">
        <v>9</v>
      </c>
      <c r="I7291" s="1">
        <v>76.252499999999998</v>
      </c>
    </row>
    <row r="7292" spans="1:9" x14ac:dyDescent="0.35">
      <c r="A7292" s="3" t="s">
        <v>3289</v>
      </c>
      <c r="B7292" s="1" t="s">
        <v>260</v>
      </c>
      <c r="C7292" s="1" t="s">
        <v>64</v>
      </c>
      <c r="D7292" s="1" t="s">
        <v>18</v>
      </c>
      <c r="E7292" s="1" t="s">
        <v>35</v>
      </c>
      <c r="F7292" s="2" t="s">
        <v>288</v>
      </c>
      <c r="G7292" s="1">
        <v>50.783999999999999</v>
      </c>
      <c r="H7292" s="1">
        <v>2</v>
      </c>
      <c r="I7292" s="1">
        <v>17.7744</v>
      </c>
    </row>
    <row r="7293" spans="1:9" x14ac:dyDescent="0.35">
      <c r="A7293" s="3" t="s">
        <v>3289</v>
      </c>
      <c r="B7293" s="1" t="s">
        <v>260</v>
      </c>
      <c r="C7293" s="1" t="s">
        <v>64</v>
      </c>
      <c r="D7293" s="1" t="s">
        <v>18</v>
      </c>
      <c r="E7293" s="1" t="s">
        <v>19</v>
      </c>
      <c r="F7293" s="2" t="s">
        <v>514</v>
      </c>
      <c r="G7293" s="1">
        <v>26.01</v>
      </c>
      <c r="H7293" s="1">
        <v>9</v>
      </c>
      <c r="I7293" s="1">
        <v>12.2247</v>
      </c>
    </row>
    <row r="7294" spans="1:9" x14ac:dyDescent="0.35">
      <c r="A7294" s="3">
        <v>42837</v>
      </c>
      <c r="B7294" s="1" t="s">
        <v>916</v>
      </c>
      <c r="C7294" s="1" t="s">
        <v>2272</v>
      </c>
      <c r="D7294" s="1" t="s">
        <v>171</v>
      </c>
      <c r="E7294" s="1" t="s">
        <v>338</v>
      </c>
      <c r="F7294" s="2" t="s">
        <v>3020</v>
      </c>
      <c r="G7294" s="1">
        <v>649</v>
      </c>
      <c r="H7294" s="1">
        <v>2</v>
      </c>
      <c r="I7294" s="1">
        <v>-272.58</v>
      </c>
    </row>
    <row r="7295" spans="1:9" x14ac:dyDescent="0.35">
      <c r="A7295" s="3" t="s">
        <v>3771</v>
      </c>
      <c r="B7295" s="1" t="s">
        <v>2001</v>
      </c>
      <c r="C7295" s="1" t="s">
        <v>17</v>
      </c>
      <c r="D7295" s="1" t="s">
        <v>18</v>
      </c>
      <c r="E7295" s="1" t="s">
        <v>29</v>
      </c>
      <c r="F7295" s="2" t="s">
        <v>2804</v>
      </c>
      <c r="G7295" s="1">
        <v>59.99</v>
      </c>
      <c r="H7295" s="1">
        <v>7</v>
      </c>
      <c r="I7295" s="1">
        <v>21.596399999999999</v>
      </c>
    </row>
    <row r="7296" spans="1:9" x14ac:dyDescent="0.35">
      <c r="A7296" s="3" t="s">
        <v>3574</v>
      </c>
      <c r="B7296" s="1" t="s">
        <v>329</v>
      </c>
      <c r="C7296" s="1" t="s">
        <v>1748</v>
      </c>
      <c r="D7296" s="1" t="s">
        <v>48</v>
      </c>
      <c r="E7296" s="1" t="s">
        <v>29</v>
      </c>
      <c r="F7296" s="2" t="s">
        <v>938</v>
      </c>
      <c r="G7296" s="1">
        <v>20.239999999999998</v>
      </c>
      <c r="H7296" s="1">
        <v>1</v>
      </c>
      <c r="I7296" s="1">
        <v>7.8936000000000002</v>
      </c>
    </row>
    <row r="7297" spans="1:9" x14ac:dyDescent="0.35">
      <c r="A7297" s="3">
        <v>41734</v>
      </c>
      <c r="B7297" s="1" t="s">
        <v>1432</v>
      </c>
      <c r="C7297" s="1" t="s">
        <v>93</v>
      </c>
      <c r="D7297" s="1" t="s">
        <v>52</v>
      </c>
      <c r="E7297" s="1" t="s">
        <v>31</v>
      </c>
      <c r="F7297" s="2" t="s">
        <v>2601</v>
      </c>
      <c r="G7297" s="1">
        <v>37.840000000000003</v>
      </c>
      <c r="H7297" s="1">
        <v>2</v>
      </c>
      <c r="I7297" s="1">
        <v>2.8380000000000001</v>
      </c>
    </row>
    <row r="7298" spans="1:9" x14ac:dyDescent="0.35">
      <c r="A7298" s="3">
        <v>41734</v>
      </c>
      <c r="B7298" s="1" t="s">
        <v>1432</v>
      </c>
      <c r="C7298" s="1" t="s">
        <v>93</v>
      </c>
      <c r="D7298" s="1" t="s">
        <v>52</v>
      </c>
      <c r="E7298" s="1" t="s">
        <v>137</v>
      </c>
      <c r="F7298" s="2" t="s">
        <v>2839</v>
      </c>
      <c r="G7298" s="1">
        <v>5.4720000000000004</v>
      </c>
      <c r="H7298" s="1">
        <v>6</v>
      </c>
      <c r="I7298" s="1">
        <v>1.8468</v>
      </c>
    </row>
    <row r="7299" spans="1:9" x14ac:dyDescent="0.35">
      <c r="A7299" s="3">
        <v>42279</v>
      </c>
      <c r="B7299" s="1" t="s">
        <v>930</v>
      </c>
      <c r="C7299" s="1" t="s">
        <v>74</v>
      </c>
      <c r="D7299" s="1" t="s">
        <v>75</v>
      </c>
      <c r="E7299" s="1" t="s">
        <v>26</v>
      </c>
      <c r="F7299" s="2" t="s">
        <v>2015</v>
      </c>
      <c r="G7299" s="1">
        <v>77.239999999999995</v>
      </c>
      <c r="H7299" s="1">
        <v>5</v>
      </c>
      <c r="I7299" s="1">
        <v>7.7240000000000002</v>
      </c>
    </row>
    <row r="7300" spans="1:9" x14ac:dyDescent="0.35">
      <c r="A7300" s="3" t="s">
        <v>3368</v>
      </c>
      <c r="B7300" s="1" t="s">
        <v>1120</v>
      </c>
      <c r="C7300" s="1" t="s">
        <v>2979</v>
      </c>
      <c r="D7300" s="1" t="s">
        <v>106</v>
      </c>
      <c r="E7300" s="1" t="s">
        <v>24</v>
      </c>
      <c r="F7300" s="2" t="s">
        <v>530</v>
      </c>
      <c r="G7300" s="1">
        <v>292.10000000000002</v>
      </c>
      <c r="H7300" s="1">
        <v>4</v>
      </c>
      <c r="I7300" s="1">
        <v>-175.26</v>
      </c>
    </row>
    <row r="7301" spans="1:9" x14ac:dyDescent="0.35">
      <c r="A7301" s="3" t="s">
        <v>3368</v>
      </c>
      <c r="B7301" s="1" t="s">
        <v>1120</v>
      </c>
      <c r="C7301" s="1" t="s">
        <v>2979</v>
      </c>
      <c r="D7301" s="1" t="s">
        <v>106</v>
      </c>
      <c r="E7301" s="1" t="s">
        <v>29</v>
      </c>
      <c r="F7301" s="2" t="s">
        <v>2399</v>
      </c>
      <c r="G7301" s="1">
        <v>8.5440000000000005</v>
      </c>
      <c r="H7301" s="1">
        <v>2</v>
      </c>
      <c r="I7301" s="1">
        <v>-7.476</v>
      </c>
    </row>
    <row r="7302" spans="1:9" x14ac:dyDescent="0.35">
      <c r="A7302" s="3" t="s">
        <v>3368</v>
      </c>
      <c r="B7302" s="1" t="s">
        <v>1120</v>
      </c>
      <c r="C7302" s="1" t="s">
        <v>2979</v>
      </c>
      <c r="D7302" s="1" t="s">
        <v>106</v>
      </c>
      <c r="E7302" s="1" t="s">
        <v>12</v>
      </c>
      <c r="F7302" s="2" t="s">
        <v>2766</v>
      </c>
      <c r="G7302" s="1">
        <v>424.11599999999999</v>
      </c>
      <c r="H7302" s="1">
        <v>6</v>
      </c>
      <c r="I7302" s="1">
        <v>-30.294</v>
      </c>
    </row>
    <row r="7303" spans="1:9" x14ac:dyDescent="0.35">
      <c r="A7303" s="3" t="s">
        <v>3368</v>
      </c>
      <c r="B7303" s="1" t="s">
        <v>1120</v>
      </c>
      <c r="C7303" s="1" t="s">
        <v>2979</v>
      </c>
      <c r="D7303" s="1" t="s">
        <v>106</v>
      </c>
      <c r="E7303" s="1" t="s">
        <v>35</v>
      </c>
      <c r="F7303" s="2" t="s">
        <v>965</v>
      </c>
      <c r="G7303" s="1">
        <v>2.8919999999999999</v>
      </c>
      <c r="H7303" s="1">
        <v>3</v>
      </c>
      <c r="I7303" s="1">
        <v>-4.9164000000000003</v>
      </c>
    </row>
    <row r="7304" spans="1:9" x14ac:dyDescent="0.35">
      <c r="A7304" s="3" t="s">
        <v>3368</v>
      </c>
      <c r="B7304" s="1" t="s">
        <v>1120</v>
      </c>
      <c r="C7304" s="1" t="s">
        <v>2979</v>
      </c>
      <c r="D7304" s="1" t="s">
        <v>106</v>
      </c>
      <c r="E7304" s="1" t="s">
        <v>26</v>
      </c>
      <c r="F7304" s="2" t="s">
        <v>1097</v>
      </c>
      <c r="G7304" s="1">
        <v>381.72</v>
      </c>
      <c r="H7304" s="1">
        <v>5</v>
      </c>
      <c r="I7304" s="1">
        <v>-66.801000000000002</v>
      </c>
    </row>
    <row r="7305" spans="1:9" x14ac:dyDescent="0.35">
      <c r="A7305" s="3">
        <v>42834</v>
      </c>
      <c r="B7305" s="1" t="s">
        <v>2947</v>
      </c>
      <c r="C7305" s="1" t="s">
        <v>1498</v>
      </c>
      <c r="D7305" s="1" t="s">
        <v>23</v>
      </c>
      <c r="E7305" s="1" t="s">
        <v>14</v>
      </c>
      <c r="F7305" s="2" t="s">
        <v>348</v>
      </c>
      <c r="G7305" s="1">
        <v>97.183999999999997</v>
      </c>
      <c r="H7305" s="1">
        <v>2</v>
      </c>
      <c r="I7305" s="1">
        <v>6.0739999999999998</v>
      </c>
    </row>
    <row r="7306" spans="1:9" x14ac:dyDescent="0.35">
      <c r="A7306" s="3">
        <v>42834</v>
      </c>
      <c r="B7306" s="1" t="s">
        <v>2947</v>
      </c>
      <c r="C7306" s="1" t="s">
        <v>1498</v>
      </c>
      <c r="D7306" s="1" t="s">
        <v>23</v>
      </c>
      <c r="E7306" s="1" t="s">
        <v>44</v>
      </c>
      <c r="F7306" s="2" t="s">
        <v>1264</v>
      </c>
      <c r="G7306" s="1">
        <v>10.368</v>
      </c>
      <c r="H7306" s="1">
        <v>2</v>
      </c>
      <c r="I7306" s="1">
        <v>3.6288</v>
      </c>
    </row>
    <row r="7307" spans="1:9" x14ac:dyDescent="0.35">
      <c r="A7307" s="3" t="s">
        <v>3772</v>
      </c>
      <c r="B7307" s="1" t="s">
        <v>837</v>
      </c>
      <c r="C7307" s="1" t="s">
        <v>1830</v>
      </c>
      <c r="D7307" s="1" t="s">
        <v>52</v>
      </c>
      <c r="E7307" s="1" t="s">
        <v>24</v>
      </c>
      <c r="F7307" s="2" t="s">
        <v>751</v>
      </c>
      <c r="G7307" s="1">
        <v>890.84100000000001</v>
      </c>
      <c r="H7307" s="1">
        <v>3</v>
      </c>
      <c r="I7307" s="1">
        <v>-152.71559999999999</v>
      </c>
    </row>
    <row r="7308" spans="1:9" x14ac:dyDescent="0.35">
      <c r="A7308" s="3">
        <v>42501</v>
      </c>
      <c r="B7308" s="1" t="s">
        <v>458</v>
      </c>
      <c r="C7308" s="1" t="s">
        <v>314</v>
      </c>
      <c r="D7308" s="1" t="s">
        <v>18</v>
      </c>
      <c r="E7308" s="1" t="s">
        <v>81</v>
      </c>
      <c r="F7308" s="2" t="s">
        <v>2574</v>
      </c>
      <c r="G7308" s="1">
        <v>72</v>
      </c>
      <c r="H7308" s="1">
        <v>4</v>
      </c>
      <c r="I7308" s="1">
        <v>12.96</v>
      </c>
    </row>
    <row r="7309" spans="1:9" x14ac:dyDescent="0.35">
      <c r="A7309" s="3">
        <v>42501</v>
      </c>
      <c r="B7309" s="1" t="s">
        <v>458</v>
      </c>
      <c r="C7309" s="1" t="s">
        <v>314</v>
      </c>
      <c r="D7309" s="1" t="s">
        <v>18</v>
      </c>
      <c r="E7309" s="1" t="s">
        <v>14</v>
      </c>
      <c r="F7309" s="2" t="s">
        <v>2422</v>
      </c>
      <c r="G7309" s="1">
        <v>113.88800000000001</v>
      </c>
      <c r="H7309" s="1">
        <v>2</v>
      </c>
      <c r="I7309" s="1">
        <v>9.9651999999999994</v>
      </c>
    </row>
    <row r="7310" spans="1:9" x14ac:dyDescent="0.35">
      <c r="A7310" s="3">
        <v>42501</v>
      </c>
      <c r="B7310" s="1" t="s">
        <v>458</v>
      </c>
      <c r="C7310" s="1" t="s">
        <v>314</v>
      </c>
      <c r="D7310" s="1" t="s">
        <v>18</v>
      </c>
      <c r="E7310" s="1" t="s">
        <v>87</v>
      </c>
      <c r="F7310" s="2" t="s">
        <v>798</v>
      </c>
      <c r="G7310" s="1">
        <v>158.13</v>
      </c>
      <c r="H7310" s="1">
        <v>3</v>
      </c>
      <c r="I7310" s="1">
        <v>77.483699999999999</v>
      </c>
    </row>
    <row r="7311" spans="1:9" x14ac:dyDescent="0.35">
      <c r="A7311" s="3">
        <v>43014</v>
      </c>
      <c r="B7311" s="1" t="s">
        <v>625</v>
      </c>
      <c r="C7311" s="1" t="s">
        <v>135</v>
      </c>
      <c r="D7311" s="1" t="s">
        <v>136</v>
      </c>
      <c r="E7311" s="1" t="s">
        <v>137</v>
      </c>
      <c r="F7311" s="2" t="s">
        <v>2006</v>
      </c>
      <c r="G7311" s="1">
        <v>14.13</v>
      </c>
      <c r="H7311" s="1">
        <v>3</v>
      </c>
      <c r="I7311" s="1">
        <v>0.70650000000000002</v>
      </c>
    </row>
    <row r="7312" spans="1:9" x14ac:dyDescent="0.35">
      <c r="A7312" s="3">
        <v>42285</v>
      </c>
      <c r="B7312" s="1" t="s">
        <v>866</v>
      </c>
      <c r="C7312" s="1" t="s">
        <v>429</v>
      </c>
      <c r="D7312" s="1" t="s">
        <v>120</v>
      </c>
      <c r="E7312" s="1" t="s">
        <v>35</v>
      </c>
      <c r="F7312" s="2" t="s">
        <v>1553</v>
      </c>
      <c r="G7312" s="1">
        <v>64.75</v>
      </c>
      <c r="H7312" s="1">
        <v>5</v>
      </c>
      <c r="I7312" s="1">
        <v>29.137499999999999</v>
      </c>
    </row>
    <row r="7313" spans="1:9" x14ac:dyDescent="0.35">
      <c r="A7313" s="3">
        <v>42257</v>
      </c>
      <c r="B7313" s="1" t="s">
        <v>2246</v>
      </c>
      <c r="C7313" s="1" t="s">
        <v>672</v>
      </c>
      <c r="D7313" s="1" t="s">
        <v>23</v>
      </c>
      <c r="E7313" s="1" t="s">
        <v>35</v>
      </c>
      <c r="F7313" s="2" t="s">
        <v>1285</v>
      </c>
      <c r="G7313" s="1">
        <v>1.8720000000000001</v>
      </c>
      <c r="H7313" s="1">
        <v>2</v>
      </c>
      <c r="I7313" s="1">
        <v>-1.3104</v>
      </c>
    </row>
    <row r="7314" spans="1:9" x14ac:dyDescent="0.35">
      <c r="A7314" s="3">
        <v>42257</v>
      </c>
      <c r="B7314" s="1" t="s">
        <v>2246</v>
      </c>
      <c r="C7314" s="1" t="s">
        <v>672</v>
      </c>
      <c r="D7314" s="1" t="s">
        <v>23</v>
      </c>
      <c r="E7314" s="1" t="s">
        <v>35</v>
      </c>
      <c r="F7314" s="2" t="s">
        <v>800</v>
      </c>
      <c r="G7314" s="1">
        <v>11.214</v>
      </c>
      <c r="H7314" s="1">
        <v>2</v>
      </c>
      <c r="I7314" s="1">
        <v>-8.5974000000000004</v>
      </c>
    </row>
    <row r="7315" spans="1:9" x14ac:dyDescent="0.35">
      <c r="A7315" s="3">
        <v>42257</v>
      </c>
      <c r="B7315" s="1" t="s">
        <v>2246</v>
      </c>
      <c r="C7315" s="1" t="s">
        <v>672</v>
      </c>
      <c r="D7315" s="1" t="s">
        <v>23</v>
      </c>
      <c r="E7315" s="1" t="s">
        <v>31</v>
      </c>
      <c r="F7315" s="2" t="s">
        <v>2770</v>
      </c>
      <c r="G7315" s="1">
        <v>37.375999999999998</v>
      </c>
      <c r="H7315" s="1">
        <v>8</v>
      </c>
      <c r="I7315" s="1">
        <v>7.4752000000000001</v>
      </c>
    </row>
    <row r="7316" spans="1:9" x14ac:dyDescent="0.35">
      <c r="A7316" s="3" t="s">
        <v>3346</v>
      </c>
      <c r="B7316" s="1" t="s">
        <v>750</v>
      </c>
      <c r="C7316" s="1" t="s">
        <v>756</v>
      </c>
      <c r="D7316" s="1" t="s">
        <v>106</v>
      </c>
      <c r="E7316" s="1" t="s">
        <v>33</v>
      </c>
      <c r="F7316" s="2" t="s">
        <v>1865</v>
      </c>
      <c r="G7316" s="1">
        <v>286.39999999999998</v>
      </c>
      <c r="H7316" s="1">
        <v>1</v>
      </c>
      <c r="I7316" s="1">
        <v>25.06</v>
      </c>
    </row>
    <row r="7317" spans="1:9" x14ac:dyDescent="0.35">
      <c r="A7317" s="3">
        <v>43044</v>
      </c>
      <c r="B7317" s="1" t="s">
        <v>908</v>
      </c>
      <c r="C7317" s="1" t="s">
        <v>135</v>
      </c>
      <c r="D7317" s="1" t="s">
        <v>136</v>
      </c>
      <c r="E7317" s="1" t="s">
        <v>31</v>
      </c>
      <c r="F7317" s="2" t="s">
        <v>1785</v>
      </c>
      <c r="G7317" s="1">
        <v>43.92</v>
      </c>
      <c r="H7317" s="1">
        <v>3</v>
      </c>
      <c r="I7317" s="1">
        <v>12.736800000000001</v>
      </c>
    </row>
    <row r="7318" spans="1:9" x14ac:dyDescent="0.35">
      <c r="A7318" s="3" t="s">
        <v>3773</v>
      </c>
      <c r="B7318" s="1" t="s">
        <v>930</v>
      </c>
      <c r="C7318" s="1" t="s">
        <v>135</v>
      </c>
      <c r="D7318" s="1" t="s">
        <v>136</v>
      </c>
      <c r="E7318" s="1" t="s">
        <v>24</v>
      </c>
      <c r="F7318" s="2" t="s">
        <v>39</v>
      </c>
      <c r="G7318" s="1">
        <v>142.18199999999999</v>
      </c>
      <c r="H7318" s="1">
        <v>1</v>
      </c>
      <c r="I7318" s="1">
        <v>-37.915199999999999</v>
      </c>
    </row>
    <row r="7319" spans="1:9" x14ac:dyDescent="0.35">
      <c r="A7319" s="3" t="s">
        <v>3272</v>
      </c>
      <c r="B7319" s="1" t="s">
        <v>1923</v>
      </c>
      <c r="C7319" s="1" t="s">
        <v>3051</v>
      </c>
      <c r="D7319" s="1" t="s">
        <v>212</v>
      </c>
      <c r="E7319" s="1" t="s">
        <v>44</v>
      </c>
      <c r="F7319" s="2" t="s">
        <v>3015</v>
      </c>
      <c r="G7319" s="1">
        <v>19.608000000000001</v>
      </c>
      <c r="H7319" s="1">
        <v>3</v>
      </c>
      <c r="I7319" s="1">
        <v>6.6177000000000001</v>
      </c>
    </row>
    <row r="7320" spans="1:9" x14ac:dyDescent="0.35">
      <c r="A7320" s="3" t="s">
        <v>3272</v>
      </c>
      <c r="B7320" s="1" t="s">
        <v>1923</v>
      </c>
      <c r="C7320" s="1" t="s">
        <v>3051</v>
      </c>
      <c r="D7320" s="1" t="s">
        <v>212</v>
      </c>
      <c r="E7320" s="1" t="s">
        <v>35</v>
      </c>
      <c r="F7320" s="2" t="s">
        <v>1542</v>
      </c>
      <c r="G7320" s="1">
        <v>4.1580000000000004</v>
      </c>
      <c r="H7320" s="1">
        <v>7</v>
      </c>
      <c r="I7320" s="1">
        <v>-3.4649999999999999</v>
      </c>
    </row>
    <row r="7321" spans="1:9" x14ac:dyDescent="0.35">
      <c r="A7321" s="3" t="s">
        <v>3425</v>
      </c>
      <c r="B7321" s="1" t="s">
        <v>1582</v>
      </c>
      <c r="C7321" s="1" t="s">
        <v>135</v>
      </c>
      <c r="D7321" s="1" t="s">
        <v>136</v>
      </c>
      <c r="E7321" s="1" t="s">
        <v>33</v>
      </c>
      <c r="F7321" s="2" t="s">
        <v>2289</v>
      </c>
      <c r="G7321" s="1">
        <v>979.95</v>
      </c>
      <c r="H7321" s="1">
        <v>5</v>
      </c>
      <c r="I7321" s="1">
        <v>264.5865</v>
      </c>
    </row>
    <row r="7322" spans="1:9" x14ac:dyDescent="0.35">
      <c r="A7322" s="3" t="s">
        <v>3425</v>
      </c>
      <c r="B7322" s="1" t="s">
        <v>1582</v>
      </c>
      <c r="C7322" s="1" t="s">
        <v>135</v>
      </c>
      <c r="D7322" s="1" t="s">
        <v>136</v>
      </c>
      <c r="E7322" s="1" t="s">
        <v>29</v>
      </c>
      <c r="F7322" s="2" t="s">
        <v>2066</v>
      </c>
      <c r="G7322" s="1">
        <v>135.30000000000001</v>
      </c>
      <c r="H7322" s="1">
        <v>5</v>
      </c>
      <c r="I7322" s="1">
        <v>37.884</v>
      </c>
    </row>
    <row r="7323" spans="1:9" x14ac:dyDescent="0.35">
      <c r="A7323" s="3">
        <v>42803</v>
      </c>
      <c r="B7323" s="1" t="s">
        <v>1774</v>
      </c>
      <c r="C7323" s="1" t="s">
        <v>154</v>
      </c>
      <c r="D7323" s="1" t="s">
        <v>106</v>
      </c>
      <c r="E7323" s="1" t="s">
        <v>44</v>
      </c>
      <c r="F7323" s="2" t="s">
        <v>1846</v>
      </c>
      <c r="G7323" s="1">
        <v>8.9039999999999999</v>
      </c>
      <c r="H7323" s="1">
        <v>3</v>
      </c>
      <c r="I7323" s="1">
        <v>3.339</v>
      </c>
    </row>
    <row r="7324" spans="1:9" x14ac:dyDescent="0.35">
      <c r="A7324" s="3">
        <v>42803</v>
      </c>
      <c r="B7324" s="1" t="s">
        <v>1774</v>
      </c>
      <c r="C7324" s="1" t="s">
        <v>154</v>
      </c>
      <c r="D7324" s="1" t="s">
        <v>106</v>
      </c>
      <c r="E7324" s="1" t="s">
        <v>81</v>
      </c>
      <c r="F7324" s="2" t="s">
        <v>1254</v>
      </c>
      <c r="G7324" s="1">
        <v>100.8</v>
      </c>
      <c r="H7324" s="1">
        <v>2</v>
      </c>
      <c r="I7324" s="1">
        <v>21.42</v>
      </c>
    </row>
    <row r="7325" spans="1:9" x14ac:dyDescent="0.35">
      <c r="A7325" s="3">
        <v>42867</v>
      </c>
      <c r="B7325" s="1" t="s">
        <v>899</v>
      </c>
      <c r="C7325" s="1" t="s">
        <v>135</v>
      </c>
      <c r="D7325" s="1" t="s">
        <v>136</v>
      </c>
      <c r="E7325" s="1" t="s">
        <v>29</v>
      </c>
      <c r="F7325" s="2" t="s">
        <v>242</v>
      </c>
      <c r="G7325" s="1">
        <v>41.96</v>
      </c>
      <c r="H7325" s="1">
        <v>2</v>
      </c>
      <c r="I7325" s="1">
        <v>10.909599999999999</v>
      </c>
    </row>
    <row r="7326" spans="1:9" x14ac:dyDescent="0.35">
      <c r="A7326" s="3">
        <v>42867</v>
      </c>
      <c r="B7326" s="1" t="s">
        <v>899</v>
      </c>
      <c r="C7326" s="1" t="s">
        <v>135</v>
      </c>
      <c r="D7326" s="1" t="s">
        <v>136</v>
      </c>
      <c r="E7326" s="1" t="s">
        <v>19</v>
      </c>
      <c r="F7326" s="2" t="s">
        <v>682</v>
      </c>
      <c r="G7326" s="1">
        <v>9.4499999999999993</v>
      </c>
      <c r="H7326" s="1">
        <v>3</v>
      </c>
      <c r="I7326" s="1">
        <v>4.5359999999999996</v>
      </c>
    </row>
    <row r="7327" spans="1:9" x14ac:dyDescent="0.35">
      <c r="A7327" s="3">
        <v>43019</v>
      </c>
      <c r="B7327" s="1" t="s">
        <v>1012</v>
      </c>
      <c r="C7327" s="1" t="s">
        <v>2836</v>
      </c>
      <c r="D7327" s="1" t="s">
        <v>48</v>
      </c>
      <c r="E7327" s="1" t="s">
        <v>37</v>
      </c>
      <c r="F7327" s="2" t="s">
        <v>2184</v>
      </c>
      <c r="G7327" s="1">
        <v>400.8</v>
      </c>
      <c r="H7327" s="1">
        <v>5</v>
      </c>
      <c r="I7327" s="1">
        <v>112.224</v>
      </c>
    </row>
    <row r="7328" spans="1:9" x14ac:dyDescent="0.35">
      <c r="A7328" s="3">
        <v>43019</v>
      </c>
      <c r="B7328" s="1" t="s">
        <v>1012</v>
      </c>
      <c r="C7328" s="1" t="s">
        <v>2836</v>
      </c>
      <c r="D7328" s="1" t="s">
        <v>48</v>
      </c>
      <c r="E7328" s="1" t="s">
        <v>35</v>
      </c>
      <c r="F7328" s="2" t="s">
        <v>708</v>
      </c>
      <c r="G7328" s="1">
        <v>28.792000000000002</v>
      </c>
      <c r="H7328" s="1">
        <v>1</v>
      </c>
      <c r="I7328" s="1">
        <v>10.077199999999999</v>
      </c>
    </row>
    <row r="7329" spans="1:9" x14ac:dyDescent="0.35">
      <c r="A7329" s="3" t="s">
        <v>3235</v>
      </c>
      <c r="B7329" s="1" t="s">
        <v>1242</v>
      </c>
      <c r="C7329" s="1" t="s">
        <v>3052</v>
      </c>
      <c r="D7329" s="1" t="s">
        <v>18</v>
      </c>
      <c r="E7329" s="1" t="s">
        <v>29</v>
      </c>
      <c r="F7329" s="2" t="s">
        <v>2125</v>
      </c>
      <c r="G7329" s="1">
        <v>111</v>
      </c>
      <c r="H7329" s="1">
        <v>2</v>
      </c>
      <c r="I7329" s="1">
        <v>14.43</v>
      </c>
    </row>
    <row r="7330" spans="1:9" x14ac:dyDescent="0.35">
      <c r="A7330" s="3" t="s">
        <v>3235</v>
      </c>
      <c r="B7330" s="1" t="s">
        <v>1242</v>
      </c>
      <c r="C7330" s="1" t="s">
        <v>3052</v>
      </c>
      <c r="D7330" s="1" t="s">
        <v>18</v>
      </c>
      <c r="E7330" s="1" t="s">
        <v>338</v>
      </c>
      <c r="F7330" s="2" t="s">
        <v>426</v>
      </c>
      <c r="G7330" s="1">
        <v>1279.9680000000001</v>
      </c>
      <c r="H7330" s="1">
        <v>4</v>
      </c>
      <c r="I7330" s="1">
        <v>415.9896</v>
      </c>
    </row>
    <row r="7331" spans="1:9" x14ac:dyDescent="0.35">
      <c r="A7331" s="3" t="s">
        <v>3235</v>
      </c>
      <c r="B7331" s="1" t="s">
        <v>1242</v>
      </c>
      <c r="C7331" s="1" t="s">
        <v>3052</v>
      </c>
      <c r="D7331" s="1" t="s">
        <v>18</v>
      </c>
      <c r="E7331" s="1" t="s">
        <v>26</v>
      </c>
      <c r="F7331" s="2" t="s">
        <v>2051</v>
      </c>
      <c r="G7331" s="1">
        <v>1856.19</v>
      </c>
      <c r="H7331" s="1">
        <v>7</v>
      </c>
      <c r="I7331" s="1">
        <v>334.11419999999998</v>
      </c>
    </row>
    <row r="7332" spans="1:9" x14ac:dyDescent="0.35">
      <c r="A7332" s="3">
        <v>42715</v>
      </c>
      <c r="B7332" s="1" t="s">
        <v>313</v>
      </c>
      <c r="C7332" s="1" t="s">
        <v>154</v>
      </c>
      <c r="D7332" s="1" t="s">
        <v>106</v>
      </c>
      <c r="E7332" s="1" t="s">
        <v>29</v>
      </c>
      <c r="F7332" s="2" t="s">
        <v>1965</v>
      </c>
      <c r="G7332" s="1">
        <v>22.751999999999999</v>
      </c>
      <c r="H7332" s="1">
        <v>6</v>
      </c>
      <c r="I7332" s="1">
        <v>-8.532</v>
      </c>
    </row>
    <row r="7333" spans="1:9" x14ac:dyDescent="0.35">
      <c r="A7333" s="3" t="s">
        <v>3167</v>
      </c>
      <c r="B7333" s="1" t="s">
        <v>1663</v>
      </c>
      <c r="C7333" s="1" t="s">
        <v>1114</v>
      </c>
      <c r="D7333" s="1" t="s">
        <v>75</v>
      </c>
      <c r="E7333" s="1" t="s">
        <v>33</v>
      </c>
      <c r="F7333" s="2" t="s">
        <v>476</v>
      </c>
      <c r="G7333" s="1">
        <v>61.542000000000002</v>
      </c>
      <c r="H7333" s="1">
        <v>1</v>
      </c>
      <c r="I7333" s="1">
        <v>-13.334099999999999</v>
      </c>
    </row>
    <row r="7334" spans="1:9" x14ac:dyDescent="0.35">
      <c r="A7334" s="3" t="s">
        <v>3167</v>
      </c>
      <c r="B7334" s="1" t="s">
        <v>1663</v>
      </c>
      <c r="C7334" s="1" t="s">
        <v>1114</v>
      </c>
      <c r="D7334" s="1" t="s">
        <v>75</v>
      </c>
      <c r="E7334" s="1" t="s">
        <v>35</v>
      </c>
      <c r="F7334" s="2" t="s">
        <v>2603</v>
      </c>
      <c r="G7334" s="1">
        <v>81.438000000000002</v>
      </c>
      <c r="H7334" s="1">
        <v>7</v>
      </c>
      <c r="I7334" s="1">
        <v>-65.150400000000005</v>
      </c>
    </row>
    <row r="7335" spans="1:9" x14ac:dyDescent="0.35">
      <c r="A7335" s="3">
        <v>42312</v>
      </c>
      <c r="B7335" s="1" t="s">
        <v>2538</v>
      </c>
      <c r="C7335" s="1" t="s">
        <v>438</v>
      </c>
      <c r="D7335" s="1" t="s">
        <v>23</v>
      </c>
      <c r="E7335" s="1" t="s">
        <v>29</v>
      </c>
      <c r="F7335" s="2" t="s">
        <v>817</v>
      </c>
      <c r="G7335" s="1">
        <v>67.36</v>
      </c>
      <c r="H7335" s="1">
        <v>2</v>
      </c>
      <c r="I7335" s="1">
        <v>10.103999999999999</v>
      </c>
    </row>
    <row r="7336" spans="1:9" x14ac:dyDescent="0.35">
      <c r="A7336" s="3">
        <v>42312</v>
      </c>
      <c r="B7336" s="1" t="s">
        <v>2538</v>
      </c>
      <c r="C7336" s="1" t="s">
        <v>438</v>
      </c>
      <c r="D7336" s="1" t="s">
        <v>23</v>
      </c>
      <c r="E7336" s="1" t="s">
        <v>29</v>
      </c>
      <c r="F7336" s="2" t="s">
        <v>425</v>
      </c>
      <c r="G7336" s="1">
        <v>54.527999999999999</v>
      </c>
      <c r="H7336" s="1">
        <v>3</v>
      </c>
      <c r="I7336" s="1">
        <v>14.313599999999999</v>
      </c>
    </row>
    <row r="7337" spans="1:9" x14ac:dyDescent="0.35">
      <c r="A7337" s="3" t="s">
        <v>3200</v>
      </c>
      <c r="B7337" s="1" t="s">
        <v>2149</v>
      </c>
      <c r="C7337" s="1" t="s">
        <v>135</v>
      </c>
      <c r="D7337" s="1" t="s">
        <v>136</v>
      </c>
      <c r="E7337" s="1" t="s">
        <v>81</v>
      </c>
      <c r="F7337" s="2" t="s">
        <v>1797</v>
      </c>
      <c r="G7337" s="1">
        <v>843.9</v>
      </c>
      <c r="H7337" s="1">
        <v>2</v>
      </c>
      <c r="I7337" s="1">
        <v>371.31599999999997</v>
      </c>
    </row>
    <row r="7338" spans="1:9" x14ac:dyDescent="0.35">
      <c r="A7338" s="3" t="s">
        <v>3200</v>
      </c>
      <c r="B7338" s="1" t="s">
        <v>2149</v>
      </c>
      <c r="C7338" s="1" t="s">
        <v>135</v>
      </c>
      <c r="D7338" s="1" t="s">
        <v>136</v>
      </c>
      <c r="E7338" s="1" t="s">
        <v>12</v>
      </c>
      <c r="F7338" s="2" t="s">
        <v>376</v>
      </c>
      <c r="G7338" s="1">
        <v>449.56799999999998</v>
      </c>
      <c r="H7338" s="1">
        <v>2</v>
      </c>
      <c r="I7338" s="1">
        <v>56.195999999999998</v>
      </c>
    </row>
    <row r="7339" spans="1:9" x14ac:dyDescent="0.35">
      <c r="A7339" s="3" t="s">
        <v>3525</v>
      </c>
      <c r="B7339" s="1" t="s">
        <v>2165</v>
      </c>
      <c r="C7339" s="1" t="s">
        <v>17</v>
      </c>
      <c r="D7339" s="1" t="s">
        <v>18</v>
      </c>
      <c r="E7339" s="1" t="s">
        <v>26</v>
      </c>
      <c r="F7339" s="2" t="s">
        <v>2551</v>
      </c>
      <c r="G7339" s="1">
        <v>15.51</v>
      </c>
      <c r="H7339" s="1">
        <v>1</v>
      </c>
      <c r="I7339" s="1">
        <v>3.8774999999999999</v>
      </c>
    </row>
    <row r="7340" spans="1:9" x14ac:dyDescent="0.35">
      <c r="A7340" s="3" t="s">
        <v>3340</v>
      </c>
      <c r="B7340" s="1" t="s">
        <v>1521</v>
      </c>
      <c r="C7340" s="1" t="s">
        <v>135</v>
      </c>
      <c r="D7340" s="1" t="s">
        <v>136</v>
      </c>
      <c r="E7340" s="1" t="s">
        <v>14</v>
      </c>
      <c r="F7340" s="2" t="s">
        <v>2422</v>
      </c>
      <c r="G7340" s="1">
        <v>192.18600000000001</v>
      </c>
      <c r="H7340" s="1">
        <v>3</v>
      </c>
      <c r="I7340" s="1">
        <v>36.3018</v>
      </c>
    </row>
    <row r="7341" spans="1:9" x14ac:dyDescent="0.35">
      <c r="A7341" s="3" t="s">
        <v>3680</v>
      </c>
      <c r="B7341" s="1" t="s">
        <v>1266</v>
      </c>
      <c r="C7341" s="1" t="s">
        <v>135</v>
      </c>
      <c r="D7341" s="1" t="s">
        <v>136</v>
      </c>
      <c r="E7341" s="1" t="s">
        <v>31</v>
      </c>
      <c r="F7341" s="2" t="s">
        <v>1141</v>
      </c>
      <c r="G7341" s="1">
        <v>5.76</v>
      </c>
      <c r="H7341" s="1">
        <v>2</v>
      </c>
      <c r="I7341" s="1">
        <v>1.6128</v>
      </c>
    </row>
    <row r="7342" spans="1:9" x14ac:dyDescent="0.35">
      <c r="A7342" s="3" t="s">
        <v>3460</v>
      </c>
      <c r="B7342" s="1" t="s">
        <v>1755</v>
      </c>
      <c r="C7342" s="1" t="s">
        <v>811</v>
      </c>
      <c r="D7342" s="1" t="s">
        <v>604</v>
      </c>
      <c r="E7342" s="1" t="s">
        <v>14</v>
      </c>
      <c r="F7342" s="2" t="s">
        <v>2109</v>
      </c>
      <c r="G7342" s="1">
        <v>67.88</v>
      </c>
      <c r="H7342" s="1">
        <v>2</v>
      </c>
      <c r="I7342" s="1">
        <v>18.3276</v>
      </c>
    </row>
    <row r="7343" spans="1:9" x14ac:dyDescent="0.35">
      <c r="A7343" s="3" t="s">
        <v>3460</v>
      </c>
      <c r="B7343" s="1" t="s">
        <v>1755</v>
      </c>
      <c r="C7343" s="1" t="s">
        <v>811</v>
      </c>
      <c r="D7343" s="1" t="s">
        <v>604</v>
      </c>
      <c r="E7343" s="1" t="s">
        <v>19</v>
      </c>
      <c r="F7343" s="2" t="s">
        <v>131</v>
      </c>
      <c r="G7343" s="1">
        <v>162.88999999999999</v>
      </c>
      <c r="H7343" s="1">
        <v>13</v>
      </c>
      <c r="I7343" s="1">
        <v>76.558300000000003</v>
      </c>
    </row>
    <row r="7344" spans="1:9" x14ac:dyDescent="0.35">
      <c r="A7344" s="3" t="s">
        <v>3460</v>
      </c>
      <c r="B7344" s="1" t="s">
        <v>1755</v>
      </c>
      <c r="C7344" s="1" t="s">
        <v>811</v>
      </c>
      <c r="D7344" s="1" t="s">
        <v>604</v>
      </c>
      <c r="E7344" s="1" t="s">
        <v>29</v>
      </c>
      <c r="F7344" s="2" t="s">
        <v>2804</v>
      </c>
      <c r="G7344" s="1">
        <v>25.71</v>
      </c>
      <c r="H7344" s="1">
        <v>3</v>
      </c>
      <c r="I7344" s="1">
        <v>9.2555999999999994</v>
      </c>
    </row>
    <row r="7345" spans="1:9" x14ac:dyDescent="0.35">
      <c r="A7345" s="3" t="s">
        <v>3176</v>
      </c>
      <c r="B7345" s="1" t="s">
        <v>83</v>
      </c>
      <c r="C7345" s="1" t="s">
        <v>135</v>
      </c>
      <c r="D7345" s="1" t="s">
        <v>136</v>
      </c>
      <c r="E7345" s="1" t="s">
        <v>26</v>
      </c>
      <c r="F7345" s="2" t="s">
        <v>1529</v>
      </c>
      <c r="G7345" s="1">
        <v>191.88</v>
      </c>
      <c r="H7345" s="1">
        <v>6</v>
      </c>
      <c r="I7345" s="1">
        <v>19.187999999999999</v>
      </c>
    </row>
    <row r="7346" spans="1:9" x14ac:dyDescent="0.35">
      <c r="A7346" s="3">
        <v>43051</v>
      </c>
      <c r="B7346" s="1" t="s">
        <v>16</v>
      </c>
      <c r="C7346" s="1" t="s">
        <v>719</v>
      </c>
      <c r="D7346" s="1" t="s">
        <v>23</v>
      </c>
      <c r="E7346" s="1" t="s">
        <v>24</v>
      </c>
      <c r="F7346" s="2" t="s">
        <v>396</v>
      </c>
      <c r="G7346" s="1">
        <v>721.875</v>
      </c>
      <c r="H7346" s="1">
        <v>6</v>
      </c>
      <c r="I7346" s="1">
        <v>-420</v>
      </c>
    </row>
    <row r="7347" spans="1:9" x14ac:dyDescent="0.35">
      <c r="A7347" s="3">
        <v>43051</v>
      </c>
      <c r="B7347" s="1" t="s">
        <v>16</v>
      </c>
      <c r="C7347" s="1" t="s">
        <v>719</v>
      </c>
      <c r="D7347" s="1" t="s">
        <v>23</v>
      </c>
      <c r="E7347" s="1" t="s">
        <v>33</v>
      </c>
      <c r="F7347" s="2" t="s">
        <v>832</v>
      </c>
      <c r="G7347" s="1">
        <v>73.567999999999998</v>
      </c>
      <c r="H7347" s="1">
        <v>4</v>
      </c>
      <c r="I7347" s="1">
        <v>-16.552800000000001</v>
      </c>
    </row>
    <row r="7348" spans="1:9" x14ac:dyDescent="0.35">
      <c r="A7348" s="3">
        <v>43051</v>
      </c>
      <c r="B7348" s="1" t="s">
        <v>16</v>
      </c>
      <c r="C7348" s="1" t="s">
        <v>719</v>
      </c>
      <c r="D7348" s="1" t="s">
        <v>23</v>
      </c>
      <c r="E7348" s="1" t="s">
        <v>31</v>
      </c>
      <c r="F7348" s="2" t="s">
        <v>427</v>
      </c>
      <c r="G7348" s="1">
        <v>13.584</v>
      </c>
      <c r="H7348" s="1">
        <v>1</v>
      </c>
      <c r="I7348" s="1">
        <v>1.3584000000000001</v>
      </c>
    </row>
    <row r="7349" spans="1:9" x14ac:dyDescent="0.35">
      <c r="A7349" s="3">
        <v>43051</v>
      </c>
      <c r="B7349" s="1" t="s">
        <v>16</v>
      </c>
      <c r="C7349" s="1" t="s">
        <v>719</v>
      </c>
      <c r="D7349" s="1" t="s">
        <v>23</v>
      </c>
      <c r="E7349" s="1" t="s">
        <v>14</v>
      </c>
      <c r="F7349" s="2" t="s">
        <v>745</v>
      </c>
      <c r="G7349" s="1">
        <v>64.784000000000006</v>
      </c>
      <c r="H7349" s="1">
        <v>1</v>
      </c>
      <c r="I7349" s="1">
        <v>-12.147</v>
      </c>
    </row>
    <row r="7350" spans="1:9" x14ac:dyDescent="0.35">
      <c r="A7350" s="3">
        <v>41701</v>
      </c>
      <c r="B7350" s="1" t="s">
        <v>2577</v>
      </c>
      <c r="C7350" s="1" t="s">
        <v>93</v>
      </c>
      <c r="D7350" s="1" t="s">
        <v>52</v>
      </c>
      <c r="E7350" s="1" t="s">
        <v>37</v>
      </c>
      <c r="F7350" s="2" t="s">
        <v>2008</v>
      </c>
      <c r="G7350" s="1">
        <v>176.77199999999999</v>
      </c>
      <c r="H7350" s="1">
        <v>3</v>
      </c>
      <c r="I7350" s="1">
        <v>-459.60719999999998</v>
      </c>
    </row>
    <row r="7351" spans="1:9" x14ac:dyDescent="0.35">
      <c r="A7351" s="3" t="s">
        <v>3492</v>
      </c>
      <c r="B7351" s="1" t="s">
        <v>349</v>
      </c>
      <c r="C7351" s="1" t="s">
        <v>1147</v>
      </c>
      <c r="D7351" s="1" t="s">
        <v>57</v>
      </c>
      <c r="E7351" s="1" t="s">
        <v>35</v>
      </c>
      <c r="F7351" s="2" t="s">
        <v>1103</v>
      </c>
      <c r="G7351" s="1">
        <v>38.82</v>
      </c>
      <c r="H7351" s="1">
        <v>6</v>
      </c>
      <c r="I7351" s="1">
        <v>19.41</v>
      </c>
    </row>
    <row r="7352" spans="1:9" x14ac:dyDescent="0.35">
      <c r="A7352" s="3" t="s">
        <v>3492</v>
      </c>
      <c r="B7352" s="1" t="s">
        <v>349</v>
      </c>
      <c r="C7352" s="1" t="s">
        <v>1147</v>
      </c>
      <c r="D7352" s="1" t="s">
        <v>57</v>
      </c>
      <c r="E7352" s="1" t="s">
        <v>35</v>
      </c>
      <c r="F7352" s="2" t="s">
        <v>472</v>
      </c>
      <c r="G7352" s="1">
        <v>21.9</v>
      </c>
      <c r="H7352" s="1">
        <v>5</v>
      </c>
      <c r="I7352" s="1">
        <v>10.512</v>
      </c>
    </row>
    <row r="7353" spans="1:9" x14ac:dyDescent="0.35">
      <c r="A7353" s="3">
        <v>43019</v>
      </c>
      <c r="B7353" s="1" t="s">
        <v>1723</v>
      </c>
      <c r="C7353" s="1" t="s">
        <v>3053</v>
      </c>
      <c r="D7353" s="1" t="s">
        <v>18</v>
      </c>
      <c r="E7353" s="1" t="s">
        <v>81</v>
      </c>
      <c r="F7353" s="2" t="s">
        <v>743</v>
      </c>
      <c r="G7353" s="1">
        <v>111.79</v>
      </c>
      <c r="H7353" s="1">
        <v>7</v>
      </c>
      <c r="I7353" s="1">
        <v>43.598100000000002</v>
      </c>
    </row>
    <row r="7354" spans="1:9" x14ac:dyDescent="0.35">
      <c r="A7354" s="3" t="s">
        <v>3774</v>
      </c>
      <c r="B7354" s="1" t="s">
        <v>1365</v>
      </c>
      <c r="C7354" s="1" t="s">
        <v>536</v>
      </c>
      <c r="D7354" s="1" t="s">
        <v>250</v>
      </c>
      <c r="E7354" s="1" t="s">
        <v>33</v>
      </c>
      <c r="F7354" s="2" t="s">
        <v>1538</v>
      </c>
      <c r="G7354" s="1">
        <v>445.44</v>
      </c>
      <c r="H7354" s="1">
        <v>8</v>
      </c>
      <c r="I7354" s="1">
        <v>-81.664000000000001</v>
      </c>
    </row>
    <row r="7355" spans="1:9" x14ac:dyDescent="0.35">
      <c r="A7355" s="3" t="s">
        <v>3423</v>
      </c>
      <c r="B7355" s="1" t="s">
        <v>1347</v>
      </c>
      <c r="C7355" s="1" t="s">
        <v>74</v>
      </c>
      <c r="D7355" s="1" t="s">
        <v>75</v>
      </c>
      <c r="E7355" s="1" t="s">
        <v>19</v>
      </c>
      <c r="F7355" s="2" t="s">
        <v>1090</v>
      </c>
      <c r="G7355" s="1">
        <v>16.52</v>
      </c>
      <c r="H7355" s="1">
        <v>5</v>
      </c>
      <c r="I7355" s="1">
        <v>5.3689999999999998</v>
      </c>
    </row>
    <row r="7356" spans="1:9" x14ac:dyDescent="0.35">
      <c r="A7356" s="3">
        <v>42888</v>
      </c>
      <c r="B7356" s="1" t="s">
        <v>1374</v>
      </c>
      <c r="C7356" s="1" t="s">
        <v>64</v>
      </c>
      <c r="D7356" s="1" t="s">
        <v>18</v>
      </c>
      <c r="E7356" s="1" t="s">
        <v>44</v>
      </c>
      <c r="F7356" s="2" t="s">
        <v>2971</v>
      </c>
      <c r="G7356" s="1">
        <v>29.9</v>
      </c>
      <c r="H7356" s="1">
        <v>5</v>
      </c>
      <c r="I7356" s="1">
        <v>13.455</v>
      </c>
    </row>
    <row r="7357" spans="1:9" x14ac:dyDescent="0.35">
      <c r="A7357" s="3" t="s">
        <v>3692</v>
      </c>
      <c r="B7357" s="1" t="s">
        <v>2562</v>
      </c>
      <c r="C7357" s="1" t="s">
        <v>429</v>
      </c>
      <c r="D7357" s="1" t="s">
        <v>120</v>
      </c>
      <c r="E7357" s="1" t="s">
        <v>35</v>
      </c>
      <c r="F7357" s="2" t="s">
        <v>1576</v>
      </c>
      <c r="G7357" s="1">
        <v>116.4</v>
      </c>
      <c r="H7357" s="1">
        <v>8</v>
      </c>
      <c r="I7357" s="1">
        <v>52.38</v>
      </c>
    </row>
    <row r="7358" spans="1:9" x14ac:dyDescent="0.35">
      <c r="A7358" s="3">
        <v>42623</v>
      </c>
      <c r="B7358" s="1" t="s">
        <v>2137</v>
      </c>
      <c r="C7358" s="1" t="s">
        <v>272</v>
      </c>
      <c r="D7358" s="1" t="s">
        <v>158</v>
      </c>
      <c r="E7358" s="1" t="s">
        <v>31</v>
      </c>
      <c r="F7358" s="2" t="s">
        <v>1749</v>
      </c>
      <c r="G7358" s="1">
        <v>1.4079999999999999</v>
      </c>
      <c r="H7358" s="1">
        <v>1</v>
      </c>
      <c r="I7358" s="1">
        <v>0.15840000000000001</v>
      </c>
    </row>
    <row r="7359" spans="1:9" x14ac:dyDescent="0.35">
      <c r="A7359" s="3">
        <v>42623</v>
      </c>
      <c r="B7359" s="1" t="s">
        <v>2137</v>
      </c>
      <c r="C7359" s="1" t="s">
        <v>272</v>
      </c>
      <c r="D7359" s="1" t="s">
        <v>158</v>
      </c>
      <c r="E7359" s="1" t="s">
        <v>29</v>
      </c>
      <c r="F7359" s="2" t="s">
        <v>1781</v>
      </c>
      <c r="G7359" s="1">
        <v>169.56800000000001</v>
      </c>
      <c r="H7359" s="1">
        <v>2</v>
      </c>
      <c r="I7359" s="1">
        <v>0</v>
      </c>
    </row>
    <row r="7360" spans="1:9" x14ac:dyDescent="0.35">
      <c r="A7360" s="3" t="s">
        <v>3369</v>
      </c>
      <c r="B7360" s="1" t="s">
        <v>2846</v>
      </c>
      <c r="C7360" s="1" t="s">
        <v>74</v>
      </c>
      <c r="D7360" s="1" t="s">
        <v>75</v>
      </c>
      <c r="E7360" s="1" t="s">
        <v>33</v>
      </c>
      <c r="F7360" s="2" t="s">
        <v>1059</v>
      </c>
      <c r="G7360" s="1">
        <v>251.964</v>
      </c>
      <c r="H7360" s="1">
        <v>6</v>
      </c>
      <c r="I7360" s="1">
        <v>-50.392800000000001</v>
      </c>
    </row>
    <row r="7361" spans="1:9" x14ac:dyDescent="0.35">
      <c r="A7361" s="3" t="s">
        <v>3369</v>
      </c>
      <c r="B7361" s="1" t="s">
        <v>2846</v>
      </c>
      <c r="C7361" s="1" t="s">
        <v>74</v>
      </c>
      <c r="D7361" s="1" t="s">
        <v>75</v>
      </c>
      <c r="E7361" s="1" t="s">
        <v>24</v>
      </c>
      <c r="F7361" s="2" t="s">
        <v>584</v>
      </c>
      <c r="G7361" s="1">
        <v>523.76400000000001</v>
      </c>
      <c r="H7361" s="1">
        <v>3</v>
      </c>
      <c r="I7361" s="1">
        <v>-192.04679999999999</v>
      </c>
    </row>
    <row r="7362" spans="1:9" x14ac:dyDescent="0.35">
      <c r="A7362" s="3">
        <v>42708</v>
      </c>
      <c r="B7362" s="1" t="s">
        <v>2304</v>
      </c>
      <c r="C7362" s="1" t="s">
        <v>17</v>
      </c>
      <c r="D7362" s="1" t="s">
        <v>18</v>
      </c>
      <c r="E7362" s="1" t="s">
        <v>44</v>
      </c>
      <c r="F7362" s="2" t="s">
        <v>1909</v>
      </c>
      <c r="G7362" s="1">
        <v>19.440000000000001</v>
      </c>
      <c r="H7362" s="1">
        <v>3</v>
      </c>
      <c r="I7362" s="1">
        <v>9.3312000000000008</v>
      </c>
    </row>
    <row r="7363" spans="1:9" x14ac:dyDescent="0.35">
      <c r="A7363" s="3">
        <v>42708</v>
      </c>
      <c r="B7363" s="1" t="s">
        <v>2304</v>
      </c>
      <c r="C7363" s="1" t="s">
        <v>17</v>
      </c>
      <c r="D7363" s="1" t="s">
        <v>18</v>
      </c>
      <c r="E7363" s="1" t="s">
        <v>14</v>
      </c>
      <c r="F7363" s="2" t="s">
        <v>745</v>
      </c>
      <c r="G7363" s="1">
        <v>194.352</v>
      </c>
      <c r="H7363" s="1">
        <v>3</v>
      </c>
      <c r="I7363" s="1">
        <v>-36.441000000000003</v>
      </c>
    </row>
    <row r="7364" spans="1:9" x14ac:dyDescent="0.35">
      <c r="A7364" s="3">
        <v>42708</v>
      </c>
      <c r="B7364" s="1" t="s">
        <v>2304</v>
      </c>
      <c r="C7364" s="1" t="s">
        <v>17</v>
      </c>
      <c r="D7364" s="1" t="s">
        <v>18</v>
      </c>
      <c r="E7364" s="1" t="s">
        <v>35</v>
      </c>
      <c r="F7364" s="2" t="s">
        <v>1344</v>
      </c>
      <c r="G7364" s="1">
        <v>36.624000000000002</v>
      </c>
      <c r="H7364" s="1">
        <v>3</v>
      </c>
      <c r="I7364" s="1">
        <v>13.734</v>
      </c>
    </row>
    <row r="7365" spans="1:9" x14ac:dyDescent="0.35">
      <c r="A7365" s="3" t="s">
        <v>3273</v>
      </c>
      <c r="B7365" s="1" t="s">
        <v>428</v>
      </c>
      <c r="C7365" s="1" t="s">
        <v>74</v>
      </c>
      <c r="D7365" s="1" t="s">
        <v>75</v>
      </c>
      <c r="E7365" s="1" t="s">
        <v>33</v>
      </c>
      <c r="F7365" s="2" t="s">
        <v>1466</v>
      </c>
      <c r="G7365" s="1">
        <v>340.18200000000002</v>
      </c>
      <c r="H7365" s="1">
        <v>3</v>
      </c>
      <c r="I7365" s="1">
        <v>-73.706100000000006</v>
      </c>
    </row>
    <row r="7366" spans="1:9" x14ac:dyDescent="0.35">
      <c r="A7366" s="3" t="s">
        <v>3273</v>
      </c>
      <c r="B7366" s="1" t="s">
        <v>428</v>
      </c>
      <c r="C7366" s="1" t="s">
        <v>74</v>
      </c>
      <c r="D7366" s="1" t="s">
        <v>75</v>
      </c>
      <c r="E7366" s="1" t="s">
        <v>137</v>
      </c>
      <c r="F7366" s="2" t="s">
        <v>2043</v>
      </c>
      <c r="G7366" s="1">
        <v>12.672000000000001</v>
      </c>
      <c r="H7366" s="1">
        <v>8</v>
      </c>
      <c r="I7366" s="1">
        <v>2.6928000000000001</v>
      </c>
    </row>
    <row r="7367" spans="1:9" x14ac:dyDescent="0.35">
      <c r="A7367" s="3" t="s">
        <v>3273</v>
      </c>
      <c r="B7367" s="1" t="s">
        <v>428</v>
      </c>
      <c r="C7367" s="1" t="s">
        <v>74</v>
      </c>
      <c r="D7367" s="1" t="s">
        <v>75</v>
      </c>
      <c r="E7367" s="1" t="s">
        <v>35</v>
      </c>
      <c r="F7367" s="2" t="s">
        <v>2365</v>
      </c>
      <c r="G7367" s="1">
        <v>6.8879999999999999</v>
      </c>
      <c r="H7367" s="1">
        <v>2</v>
      </c>
      <c r="I7367" s="1">
        <v>-5.0511999999999997</v>
      </c>
    </row>
    <row r="7368" spans="1:9" x14ac:dyDescent="0.35">
      <c r="A7368" s="3" t="s">
        <v>3273</v>
      </c>
      <c r="B7368" s="1" t="s">
        <v>428</v>
      </c>
      <c r="C7368" s="1" t="s">
        <v>74</v>
      </c>
      <c r="D7368" s="1" t="s">
        <v>75</v>
      </c>
      <c r="E7368" s="1" t="s">
        <v>26</v>
      </c>
      <c r="F7368" s="2" t="s">
        <v>2513</v>
      </c>
      <c r="G7368" s="1">
        <v>32.543999999999997</v>
      </c>
      <c r="H7368" s="1">
        <v>2</v>
      </c>
      <c r="I7368" s="1">
        <v>-7.7291999999999996</v>
      </c>
    </row>
    <row r="7369" spans="1:9" x14ac:dyDescent="0.35">
      <c r="A7369" s="3" t="s">
        <v>3273</v>
      </c>
      <c r="B7369" s="1" t="s">
        <v>428</v>
      </c>
      <c r="C7369" s="1" t="s">
        <v>74</v>
      </c>
      <c r="D7369" s="1" t="s">
        <v>75</v>
      </c>
      <c r="E7369" s="1" t="s">
        <v>14</v>
      </c>
      <c r="F7369" s="2" t="s">
        <v>856</v>
      </c>
      <c r="G7369" s="1">
        <v>347.80200000000002</v>
      </c>
      <c r="H7369" s="1">
        <v>7</v>
      </c>
      <c r="I7369" s="1">
        <v>-24.843</v>
      </c>
    </row>
    <row r="7370" spans="1:9" x14ac:dyDescent="0.35">
      <c r="A7370" s="3" t="s">
        <v>3144</v>
      </c>
      <c r="B7370" s="1" t="s">
        <v>654</v>
      </c>
      <c r="C7370" s="1" t="s">
        <v>672</v>
      </c>
      <c r="D7370" s="1" t="s">
        <v>23</v>
      </c>
      <c r="E7370" s="1" t="s">
        <v>35</v>
      </c>
      <c r="F7370" s="2" t="s">
        <v>2435</v>
      </c>
      <c r="G7370" s="1">
        <v>15.57</v>
      </c>
      <c r="H7370" s="1">
        <v>3</v>
      </c>
      <c r="I7370" s="1">
        <v>-11.936999999999999</v>
      </c>
    </row>
    <row r="7371" spans="1:9" x14ac:dyDescent="0.35">
      <c r="A7371" s="3">
        <v>42250</v>
      </c>
      <c r="B7371" s="1" t="s">
        <v>2126</v>
      </c>
      <c r="C7371" s="1" t="s">
        <v>1912</v>
      </c>
      <c r="D7371" s="1" t="s">
        <v>43</v>
      </c>
      <c r="E7371" s="1" t="s">
        <v>19</v>
      </c>
      <c r="F7371" s="2" t="s">
        <v>1339</v>
      </c>
      <c r="G7371" s="1">
        <v>4.6079999999999997</v>
      </c>
      <c r="H7371" s="1">
        <v>2</v>
      </c>
      <c r="I7371" s="1">
        <v>1.6704000000000001</v>
      </c>
    </row>
    <row r="7372" spans="1:9" x14ac:dyDescent="0.35">
      <c r="A7372" s="3" t="s">
        <v>3461</v>
      </c>
      <c r="B7372" s="1" t="s">
        <v>1385</v>
      </c>
      <c r="C7372" s="1" t="s">
        <v>3054</v>
      </c>
      <c r="D7372" s="1" t="s">
        <v>1891</v>
      </c>
      <c r="E7372" s="1" t="s">
        <v>33</v>
      </c>
      <c r="F7372" s="2" t="s">
        <v>1609</v>
      </c>
      <c r="G7372" s="1">
        <v>257.98</v>
      </c>
      <c r="H7372" s="1">
        <v>2</v>
      </c>
      <c r="I7372" s="1">
        <v>74.8142</v>
      </c>
    </row>
    <row r="7373" spans="1:9" x14ac:dyDescent="0.35">
      <c r="A7373" s="3">
        <v>42917</v>
      </c>
      <c r="B7373" s="1" t="s">
        <v>1586</v>
      </c>
      <c r="C7373" s="1" t="s">
        <v>559</v>
      </c>
      <c r="D7373" s="1" t="s">
        <v>18</v>
      </c>
      <c r="E7373" s="1" t="s">
        <v>26</v>
      </c>
      <c r="F7373" s="2" t="s">
        <v>27</v>
      </c>
      <c r="G7373" s="1">
        <v>153.78</v>
      </c>
      <c r="H7373" s="1">
        <v>11</v>
      </c>
      <c r="I7373" s="1">
        <v>44.596200000000003</v>
      </c>
    </row>
    <row r="7374" spans="1:9" x14ac:dyDescent="0.35">
      <c r="A7374" s="3">
        <v>42917</v>
      </c>
      <c r="B7374" s="1" t="s">
        <v>1586</v>
      </c>
      <c r="C7374" s="1" t="s">
        <v>559</v>
      </c>
      <c r="D7374" s="1" t="s">
        <v>18</v>
      </c>
      <c r="E7374" s="1" t="s">
        <v>26</v>
      </c>
      <c r="F7374" s="2" t="s">
        <v>2513</v>
      </c>
      <c r="G7374" s="1">
        <v>61.02</v>
      </c>
      <c r="H7374" s="1">
        <v>3</v>
      </c>
      <c r="I7374" s="1">
        <v>0.61019999999999996</v>
      </c>
    </row>
    <row r="7375" spans="1:9" x14ac:dyDescent="0.35">
      <c r="A7375" s="3">
        <v>42917</v>
      </c>
      <c r="B7375" s="1" t="s">
        <v>1586</v>
      </c>
      <c r="C7375" s="1" t="s">
        <v>559</v>
      </c>
      <c r="D7375" s="1" t="s">
        <v>18</v>
      </c>
      <c r="E7375" s="1" t="s">
        <v>289</v>
      </c>
      <c r="F7375" s="2" t="s">
        <v>3022</v>
      </c>
      <c r="G7375" s="1">
        <v>110.11</v>
      </c>
      <c r="H7375" s="1">
        <v>7</v>
      </c>
      <c r="I7375" s="1">
        <v>31.931899999999999</v>
      </c>
    </row>
    <row r="7376" spans="1:9" x14ac:dyDescent="0.35">
      <c r="A7376" s="3">
        <v>42917</v>
      </c>
      <c r="B7376" s="1" t="s">
        <v>1586</v>
      </c>
      <c r="C7376" s="1" t="s">
        <v>559</v>
      </c>
      <c r="D7376" s="1" t="s">
        <v>18</v>
      </c>
      <c r="E7376" s="1" t="s">
        <v>137</v>
      </c>
      <c r="F7376" s="2" t="s">
        <v>281</v>
      </c>
      <c r="G7376" s="1">
        <v>7.89</v>
      </c>
      <c r="H7376" s="1">
        <v>1</v>
      </c>
      <c r="I7376" s="1">
        <v>3.5505</v>
      </c>
    </row>
    <row r="7377" spans="1:9" x14ac:dyDescent="0.35">
      <c r="A7377" s="3" t="s">
        <v>3280</v>
      </c>
      <c r="B7377" s="1" t="s">
        <v>611</v>
      </c>
      <c r="C7377" s="1" t="s">
        <v>461</v>
      </c>
      <c r="D7377" s="1" t="s">
        <v>18</v>
      </c>
      <c r="E7377" s="1" t="s">
        <v>35</v>
      </c>
      <c r="F7377" s="2" t="s">
        <v>880</v>
      </c>
      <c r="G7377" s="1">
        <v>36.024000000000001</v>
      </c>
      <c r="H7377" s="1">
        <v>3</v>
      </c>
      <c r="I7377" s="1">
        <v>11.707800000000001</v>
      </c>
    </row>
    <row r="7378" spans="1:9" x14ac:dyDescent="0.35">
      <c r="A7378" s="3">
        <v>42777</v>
      </c>
      <c r="B7378" s="1" t="s">
        <v>257</v>
      </c>
      <c r="C7378" s="1" t="s">
        <v>269</v>
      </c>
      <c r="D7378" s="1" t="s">
        <v>106</v>
      </c>
      <c r="E7378" s="1" t="s">
        <v>31</v>
      </c>
      <c r="F7378" s="2" t="s">
        <v>427</v>
      </c>
      <c r="G7378" s="1">
        <v>54.335999999999999</v>
      </c>
      <c r="H7378" s="1">
        <v>4</v>
      </c>
      <c r="I7378" s="1">
        <v>5.4336000000000002</v>
      </c>
    </row>
    <row r="7379" spans="1:9" x14ac:dyDescent="0.35">
      <c r="A7379" s="3" t="s">
        <v>3505</v>
      </c>
      <c r="B7379" s="1" t="s">
        <v>1132</v>
      </c>
      <c r="C7379" s="1" t="s">
        <v>47</v>
      </c>
      <c r="D7379" s="1" t="s">
        <v>48</v>
      </c>
      <c r="E7379" s="1" t="s">
        <v>26</v>
      </c>
      <c r="F7379" s="2" t="s">
        <v>766</v>
      </c>
      <c r="G7379" s="1">
        <v>92.52</v>
      </c>
      <c r="H7379" s="1">
        <v>6</v>
      </c>
      <c r="I7379" s="1">
        <v>24.980399999999999</v>
      </c>
    </row>
    <row r="7380" spans="1:9" x14ac:dyDescent="0.35">
      <c r="A7380" s="3" t="s">
        <v>3199</v>
      </c>
      <c r="B7380" s="1" t="s">
        <v>2893</v>
      </c>
      <c r="C7380" s="1" t="s">
        <v>796</v>
      </c>
      <c r="D7380" s="1" t="s">
        <v>43</v>
      </c>
      <c r="E7380" s="1" t="s">
        <v>31</v>
      </c>
      <c r="F7380" s="2" t="s">
        <v>1762</v>
      </c>
      <c r="G7380" s="1">
        <v>10.272</v>
      </c>
      <c r="H7380" s="1">
        <v>3</v>
      </c>
      <c r="I7380" s="1">
        <v>1.1556</v>
      </c>
    </row>
    <row r="7381" spans="1:9" x14ac:dyDescent="0.35">
      <c r="A7381" s="3" t="s">
        <v>3775</v>
      </c>
      <c r="B7381" s="1" t="s">
        <v>59</v>
      </c>
      <c r="C7381" s="1" t="s">
        <v>1138</v>
      </c>
      <c r="D7381" s="1" t="s">
        <v>70</v>
      </c>
      <c r="E7381" s="1" t="s">
        <v>26</v>
      </c>
      <c r="F7381" s="2" t="s">
        <v>1736</v>
      </c>
      <c r="G7381" s="1">
        <v>40.74</v>
      </c>
      <c r="H7381" s="1">
        <v>3</v>
      </c>
      <c r="I7381" s="1">
        <v>0.40739999999999998</v>
      </c>
    </row>
    <row r="7382" spans="1:9" x14ac:dyDescent="0.35">
      <c r="A7382" s="3" t="s">
        <v>3775</v>
      </c>
      <c r="B7382" s="1" t="s">
        <v>59</v>
      </c>
      <c r="C7382" s="1" t="s">
        <v>1138</v>
      </c>
      <c r="D7382" s="1" t="s">
        <v>70</v>
      </c>
      <c r="E7382" s="1" t="s">
        <v>19</v>
      </c>
      <c r="F7382" s="2" t="s">
        <v>2256</v>
      </c>
      <c r="G7382" s="1">
        <v>14.4</v>
      </c>
      <c r="H7382" s="1">
        <v>5</v>
      </c>
      <c r="I7382" s="1">
        <v>7.056</v>
      </c>
    </row>
    <row r="7383" spans="1:9" x14ac:dyDescent="0.35">
      <c r="A7383" s="3" t="s">
        <v>3775</v>
      </c>
      <c r="B7383" s="1" t="s">
        <v>59</v>
      </c>
      <c r="C7383" s="1" t="s">
        <v>1138</v>
      </c>
      <c r="D7383" s="1" t="s">
        <v>70</v>
      </c>
      <c r="E7383" s="1" t="s">
        <v>33</v>
      </c>
      <c r="F7383" s="2" t="s">
        <v>2505</v>
      </c>
      <c r="G7383" s="1">
        <v>149.94999999999999</v>
      </c>
      <c r="H7383" s="1">
        <v>5</v>
      </c>
      <c r="I7383" s="1">
        <v>41.985999999999997</v>
      </c>
    </row>
    <row r="7384" spans="1:9" x14ac:dyDescent="0.35">
      <c r="A7384" s="3" t="s">
        <v>3775</v>
      </c>
      <c r="B7384" s="1" t="s">
        <v>59</v>
      </c>
      <c r="C7384" s="1" t="s">
        <v>1138</v>
      </c>
      <c r="D7384" s="1" t="s">
        <v>70</v>
      </c>
      <c r="E7384" s="1" t="s">
        <v>289</v>
      </c>
      <c r="F7384" s="2" t="s">
        <v>2610</v>
      </c>
      <c r="G7384" s="1">
        <v>16.899999999999999</v>
      </c>
      <c r="H7384" s="1">
        <v>2</v>
      </c>
      <c r="I7384" s="1">
        <v>5.07</v>
      </c>
    </row>
    <row r="7385" spans="1:9" x14ac:dyDescent="0.35">
      <c r="A7385" s="3" t="s">
        <v>3775</v>
      </c>
      <c r="B7385" s="1" t="s">
        <v>59</v>
      </c>
      <c r="C7385" s="1" t="s">
        <v>1138</v>
      </c>
      <c r="D7385" s="1" t="s">
        <v>70</v>
      </c>
      <c r="E7385" s="1" t="s">
        <v>44</v>
      </c>
      <c r="F7385" s="2" t="s">
        <v>1227</v>
      </c>
      <c r="G7385" s="1">
        <v>17.61</v>
      </c>
      <c r="H7385" s="1">
        <v>3</v>
      </c>
      <c r="I7385" s="1">
        <v>8.4527999999999999</v>
      </c>
    </row>
    <row r="7386" spans="1:9" x14ac:dyDescent="0.35">
      <c r="A7386" s="3" t="s">
        <v>3775</v>
      </c>
      <c r="B7386" s="1" t="s">
        <v>59</v>
      </c>
      <c r="C7386" s="1" t="s">
        <v>1138</v>
      </c>
      <c r="D7386" s="1" t="s">
        <v>70</v>
      </c>
      <c r="E7386" s="1" t="s">
        <v>37</v>
      </c>
      <c r="F7386" s="2" t="s">
        <v>1905</v>
      </c>
      <c r="G7386" s="1">
        <v>378</v>
      </c>
      <c r="H7386" s="1">
        <v>2</v>
      </c>
      <c r="I7386" s="1">
        <v>136.08000000000001</v>
      </c>
    </row>
    <row r="7387" spans="1:9" x14ac:dyDescent="0.35">
      <c r="A7387" s="3" t="s">
        <v>3775</v>
      </c>
      <c r="B7387" s="1" t="s">
        <v>59</v>
      </c>
      <c r="C7387" s="1" t="s">
        <v>1138</v>
      </c>
      <c r="D7387" s="1" t="s">
        <v>70</v>
      </c>
      <c r="E7387" s="1" t="s">
        <v>44</v>
      </c>
      <c r="F7387" s="2" t="s">
        <v>1706</v>
      </c>
      <c r="G7387" s="1">
        <v>17.64</v>
      </c>
      <c r="H7387" s="1">
        <v>3</v>
      </c>
      <c r="I7387" s="1">
        <v>8.6435999999999993</v>
      </c>
    </row>
    <row r="7388" spans="1:9" x14ac:dyDescent="0.35">
      <c r="A7388" s="3" t="s">
        <v>3775</v>
      </c>
      <c r="B7388" s="1" t="s">
        <v>59</v>
      </c>
      <c r="C7388" s="1" t="s">
        <v>1138</v>
      </c>
      <c r="D7388" s="1" t="s">
        <v>70</v>
      </c>
      <c r="E7388" s="1" t="s">
        <v>26</v>
      </c>
      <c r="F7388" s="2" t="s">
        <v>1400</v>
      </c>
      <c r="G7388" s="1">
        <v>373.08</v>
      </c>
      <c r="H7388" s="1">
        <v>6</v>
      </c>
      <c r="I7388" s="1">
        <v>100.7316</v>
      </c>
    </row>
    <row r="7389" spans="1:9" x14ac:dyDescent="0.35">
      <c r="A7389" s="3" t="s">
        <v>3775</v>
      </c>
      <c r="B7389" s="1" t="s">
        <v>59</v>
      </c>
      <c r="C7389" s="1" t="s">
        <v>1138</v>
      </c>
      <c r="D7389" s="1" t="s">
        <v>70</v>
      </c>
      <c r="E7389" s="1" t="s">
        <v>29</v>
      </c>
      <c r="F7389" s="2" t="s">
        <v>98</v>
      </c>
      <c r="G7389" s="1">
        <v>1336.44</v>
      </c>
      <c r="H7389" s="1">
        <v>14</v>
      </c>
      <c r="I7389" s="1">
        <v>387.56760000000003</v>
      </c>
    </row>
    <row r="7390" spans="1:9" x14ac:dyDescent="0.35">
      <c r="A7390" s="3" t="s">
        <v>3775</v>
      </c>
      <c r="B7390" s="1" t="s">
        <v>59</v>
      </c>
      <c r="C7390" s="1" t="s">
        <v>1138</v>
      </c>
      <c r="D7390" s="1" t="s">
        <v>70</v>
      </c>
      <c r="E7390" s="1" t="s">
        <v>33</v>
      </c>
      <c r="F7390" s="2" t="s">
        <v>1898</v>
      </c>
      <c r="G7390" s="1">
        <v>29.97</v>
      </c>
      <c r="H7390" s="1">
        <v>3</v>
      </c>
      <c r="I7390" s="1">
        <v>0.29970000000000002</v>
      </c>
    </row>
    <row r="7391" spans="1:9" x14ac:dyDescent="0.35">
      <c r="A7391" s="3" t="s">
        <v>3776</v>
      </c>
      <c r="B7391" s="1" t="s">
        <v>325</v>
      </c>
      <c r="C7391" s="1" t="s">
        <v>2453</v>
      </c>
      <c r="D7391" s="1" t="s">
        <v>171</v>
      </c>
      <c r="E7391" s="1" t="s">
        <v>14</v>
      </c>
      <c r="F7391" s="2" t="s">
        <v>15</v>
      </c>
      <c r="G7391" s="1">
        <v>390.36799999999999</v>
      </c>
      <c r="H7391" s="1">
        <v>2</v>
      </c>
      <c r="I7391" s="1">
        <v>48.795999999999999</v>
      </c>
    </row>
    <row r="7392" spans="1:9" x14ac:dyDescent="0.35">
      <c r="A7392" s="3" t="s">
        <v>3776</v>
      </c>
      <c r="B7392" s="1" t="s">
        <v>325</v>
      </c>
      <c r="C7392" s="1" t="s">
        <v>2453</v>
      </c>
      <c r="D7392" s="1" t="s">
        <v>171</v>
      </c>
      <c r="E7392" s="1" t="s">
        <v>29</v>
      </c>
      <c r="F7392" s="2" t="s">
        <v>2645</v>
      </c>
      <c r="G7392" s="1">
        <v>101.52</v>
      </c>
      <c r="H7392" s="1">
        <v>5</v>
      </c>
      <c r="I7392" s="1">
        <v>19.035</v>
      </c>
    </row>
    <row r="7393" spans="1:9" x14ac:dyDescent="0.35">
      <c r="A7393" s="3">
        <v>42837</v>
      </c>
      <c r="B7393" s="1" t="s">
        <v>1448</v>
      </c>
      <c r="C7393" s="1" t="s">
        <v>367</v>
      </c>
      <c r="D7393" s="1" t="s">
        <v>250</v>
      </c>
      <c r="E7393" s="1" t="s">
        <v>44</v>
      </c>
      <c r="F7393" s="2" t="s">
        <v>1951</v>
      </c>
      <c r="G7393" s="1">
        <v>74.352000000000004</v>
      </c>
      <c r="H7393" s="1">
        <v>3</v>
      </c>
      <c r="I7393" s="1">
        <v>23.234999999999999</v>
      </c>
    </row>
    <row r="7394" spans="1:9" x14ac:dyDescent="0.35">
      <c r="A7394" s="3">
        <v>42771</v>
      </c>
      <c r="B7394" s="1" t="s">
        <v>2705</v>
      </c>
      <c r="C7394" s="1" t="s">
        <v>17</v>
      </c>
      <c r="D7394" s="1" t="s">
        <v>18</v>
      </c>
      <c r="E7394" s="1" t="s">
        <v>44</v>
      </c>
      <c r="F7394" s="2" t="s">
        <v>2331</v>
      </c>
      <c r="G7394" s="1">
        <v>15.7</v>
      </c>
      <c r="H7394" s="1">
        <v>5</v>
      </c>
      <c r="I7394" s="1">
        <v>7.0650000000000004</v>
      </c>
    </row>
    <row r="7395" spans="1:9" x14ac:dyDescent="0.35">
      <c r="A7395" s="3">
        <v>42771</v>
      </c>
      <c r="B7395" s="1" t="s">
        <v>2705</v>
      </c>
      <c r="C7395" s="1" t="s">
        <v>17</v>
      </c>
      <c r="D7395" s="1" t="s">
        <v>18</v>
      </c>
      <c r="E7395" s="1" t="s">
        <v>31</v>
      </c>
      <c r="F7395" s="2" t="s">
        <v>2496</v>
      </c>
      <c r="G7395" s="1">
        <v>59.52</v>
      </c>
      <c r="H7395" s="1">
        <v>3</v>
      </c>
      <c r="I7395" s="1">
        <v>15.475199999999999</v>
      </c>
    </row>
    <row r="7396" spans="1:9" x14ac:dyDescent="0.35">
      <c r="A7396" s="3">
        <v>42771</v>
      </c>
      <c r="B7396" s="1" t="s">
        <v>2705</v>
      </c>
      <c r="C7396" s="1" t="s">
        <v>17</v>
      </c>
      <c r="D7396" s="1" t="s">
        <v>18</v>
      </c>
      <c r="E7396" s="1" t="s">
        <v>44</v>
      </c>
      <c r="F7396" s="2" t="s">
        <v>602</v>
      </c>
      <c r="G7396" s="1">
        <v>34.4</v>
      </c>
      <c r="H7396" s="1">
        <v>5</v>
      </c>
      <c r="I7396" s="1">
        <v>15.824</v>
      </c>
    </row>
    <row r="7397" spans="1:9" x14ac:dyDescent="0.35">
      <c r="A7397" s="3" t="s">
        <v>3636</v>
      </c>
      <c r="B7397" s="1" t="s">
        <v>2598</v>
      </c>
      <c r="C7397" s="1" t="s">
        <v>135</v>
      </c>
      <c r="D7397" s="1" t="s">
        <v>136</v>
      </c>
      <c r="E7397" s="1" t="s">
        <v>24</v>
      </c>
      <c r="F7397" s="2" t="s">
        <v>1633</v>
      </c>
      <c r="G7397" s="1">
        <v>313.17599999999999</v>
      </c>
      <c r="H7397" s="1">
        <v>2</v>
      </c>
      <c r="I7397" s="1">
        <v>-120.0508</v>
      </c>
    </row>
    <row r="7398" spans="1:9" x14ac:dyDescent="0.35">
      <c r="A7398" s="3" t="s">
        <v>3636</v>
      </c>
      <c r="B7398" s="1" t="s">
        <v>2598</v>
      </c>
      <c r="C7398" s="1" t="s">
        <v>135</v>
      </c>
      <c r="D7398" s="1" t="s">
        <v>136</v>
      </c>
      <c r="E7398" s="1" t="s">
        <v>14</v>
      </c>
      <c r="F7398" s="2" t="s">
        <v>1100</v>
      </c>
      <c r="G7398" s="1">
        <v>866.64599999999996</v>
      </c>
      <c r="H7398" s="1">
        <v>3</v>
      </c>
      <c r="I7398" s="1">
        <v>173.32919999999999</v>
      </c>
    </row>
    <row r="7399" spans="1:9" x14ac:dyDescent="0.35">
      <c r="A7399" s="3" t="s">
        <v>3325</v>
      </c>
      <c r="B7399" s="1" t="s">
        <v>2450</v>
      </c>
      <c r="C7399" s="1" t="s">
        <v>367</v>
      </c>
      <c r="D7399" s="1" t="s">
        <v>250</v>
      </c>
      <c r="E7399" s="1" t="s">
        <v>37</v>
      </c>
      <c r="F7399" s="2" t="s">
        <v>400</v>
      </c>
      <c r="G7399" s="1">
        <v>795.40800000000002</v>
      </c>
      <c r="H7399" s="1">
        <v>6</v>
      </c>
      <c r="I7399" s="1">
        <v>59.6556</v>
      </c>
    </row>
    <row r="7400" spans="1:9" x14ac:dyDescent="0.35">
      <c r="A7400" s="3">
        <v>41980</v>
      </c>
      <c r="B7400" s="1" t="s">
        <v>961</v>
      </c>
      <c r="C7400" s="1" t="s">
        <v>154</v>
      </c>
      <c r="D7400" s="1" t="s">
        <v>106</v>
      </c>
      <c r="E7400" s="1" t="s">
        <v>44</v>
      </c>
      <c r="F7400" s="2" t="s">
        <v>1769</v>
      </c>
      <c r="G7400" s="1">
        <v>35.856000000000002</v>
      </c>
      <c r="H7400" s="1">
        <v>9</v>
      </c>
      <c r="I7400" s="1">
        <v>12.9978</v>
      </c>
    </row>
    <row r="7401" spans="1:9" x14ac:dyDescent="0.35">
      <c r="A7401" s="3">
        <v>41980</v>
      </c>
      <c r="B7401" s="1" t="s">
        <v>961</v>
      </c>
      <c r="C7401" s="1" t="s">
        <v>154</v>
      </c>
      <c r="D7401" s="1" t="s">
        <v>106</v>
      </c>
      <c r="E7401" s="1" t="s">
        <v>81</v>
      </c>
      <c r="F7401" s="2" t="s">
        <v>958</v>
      </c>
      <c r="G7401" s="1">
        <v>23.84</v>
      </c>
      <c r="H7401" s="1">
        <v>4</v>
      </c>
      <c r="I7401" s="1">
        <v>3.278</v>
      </c>
    </row>
    <row r="7402" spans="1:9" x14ac:dyDescent="0.35">
      <c r="A7402" s="3">
        <v>42591</v>
      </c>
      <c r="B7402" s="1" t="s">
        <v>1153</v>
      </c>
      <c r="C7402" s="1" t="s">
        <v>47</v>
      </c>
      <c r="D7402" s="1" t="s">
        <v>48</v>
      </c>
      <c r="E7402" s="1" t="s">
        <v>29</v>
      </c>
      <c r="F7402" s="2" t="s">
        <v>868</v>
      </c>
      <c r="G7402" s="1">
        <v>43.13</v>
      </c>
      <c r="H7402" s="1">
        <v>1</v>
      </c>
      <c r="I7402" s="1">
        <v>14.664199999999999</v>
      </c>
    </row>
    <row r="7403" spans="1:9" x14ac:dyDescent="0.35">
      <c r="A7403" s="3">
        <v>42591</v>
      </c>
      <c r="B7403" s="1" t="s">
        <v>1153</v>
      </c>
      <c r="C7403" s="1" t="s">
        <v>47</v>
      </c>
      <c r="D7403" s="1" t="s">
        <v>48</v>
      </c>
      <c r="E7403" s="1" t="s">
        <v>44</v>
      </c>
      <c r="F7403" s="2" t="s">
        <v>495</v>
      </c>
      <c r="G7403" s="1">
        <v>30.87</v>
      </c>
      <c r="H7403" s="1">
        <v>7</v>
      </c>
      <c r="I7403" s="1">
        <v>14.200200000000001</v>
      </c>
    </row>
    <row r="7404" spans="1:9" x14ac:dyDescent="0.35">
      <c r="A7404" s="3">
        <v>42894</v>
      </c>
      <c r="B7404" s="1" t="s">
        <v>539</v>
      </c>
      <c r="C7404" s="1" t="s">
        <v>135</v>
      </c>
      <c r="D7404" s="1" t="s">
        <v>136</v>
      </c>
      <c r="E7404" s="1" t="s">
        <v>289</v>
      </c>
      <c r="F7404" s="2" t="s">
        <v>666</v>
      </c>
      <c r="G7404" s="1">
        <v>70.12</v>
      </c>
      <c r="H7404" s="1">
        <v>4</v>
      </c>
      <c r="I7404" s="1">
        <v>21.036000000000001</v>
      </c>
    </row>
    <row r="7405" spans="1:9" x14ac:dyDescent="0.35">
      <c r="A7405" s="3" t="s">
        <v>3740</v>
      </c>
      <c r="B7405" s="1" t="s">
        <v>480</v>
      </c>
      <c r="C7405" s="1" t="s">
        <v>3047</v>
      </c>
      <c r="D7405" s="1" t="s">
        <v>18</v>
      </c>
      <c r="E7405" s="1" t="s">
        <v>12</v>
      </c>
      <c r="F7405" s="2" t="s">
        <v>1015</v>
      </c>
      <c r="G7405" s="1">
        <v>509.95749999999998</v>
      </c>
      <c r="H7405" s="1">
        <v>5</v>
      </c>
      <c r="I7405" s="1">
        <v>41.996499999999997</v>
      </c>
    </row>
    <row r="7406" spans="1:9" x14ac:dyDescent="0.35">
      <c r="A7406" s="3" t="s">
        <v>3740</v>
      </c>
      <c r="B7406" s="1" t="s">
        <v>480</v>
      </c>
      <c r="C7406" s="1" t="s">
        <v>3047</v>
      </c>
      <c r="D7406" s="1" t="s">
        <v>18</v>
      </c>
      <c r="E7406" s="1" t="s">
        <v>29</v>
      </c>
      <c r="F7406" s="2" t="s">
        <v>918</v>
      </c>
      <c r="G7406" s="1">
        <v>122.91</v>
      </c>
      <c r="H7406" s="1">
        <v>3</v>
      </c>
      <c r="I7406" s="1">
        <v>34.4148</v>
      </c>
    </row>
    <row r="7407" spans="1:9" x14ac:dyDescent="0.35">
      <c r="A7407" s="3" t="s">
        <v>3740</v>
      </c>
      <c r="B7407" s="1" t="s">
        <v>480</v>
      </c>
      <c r="C7407" s="1" t="s">
        <v>3047</v>
      </c>
      <c r="D7407" s="1" t="s">
        <v>18</v>
      </c>
      <c r="E7407" s="1" t="s">
        <v>14</v>
      </c>
      <c r="F7407" s="2" t="s">
        <v>2026</v>
      </c>
      <c r="G7407" s="1">
        <v>97.567999999999998</v>
      </c>
      <c r="H7407" s="1">
        <v>2</v>
      </c>
      <c r="I7407" s="1">
        <v>-6.0979999999999999</v>
      </c>
    </row>
    <row r="7408" spans="1:9" x14ac:dyDescent="0.35">
      <c r="A7408" s="3" t="s">
        <v>3740</v>
      </c>
      <c r="B7408" s="1" t="s">
        <v>480</v>
      </c>
      <c r="C7408" s="1" t="s">
        <v>3047</v>
      </c>
      <c r="D7408" s="1" t="s">
        <v>18</v>
      </c>
      <c r="E7408" s="1" t="s">
        <v>14</v>
      </c>
      <c r="F7408" s="2" t="s">
        <v>2489</v>
      </c>
      <c r="G7408" s="1">
        <v>722.35199999999998</v>
      </c>
      <c r="H7408" s="1">
        <v>3</v>
      </c>
      <c r="I7408" s="1">
        <v>81.264600000000002</v>
      </c>
    </row>
    <row r="7409" spans="1:9" x14ac:dyDescent="0.35">
      <c r="A7409" s="3" t="s">
        <v>3649</v>
      </c>
      <c r="B7409" s="1" t="s">
        <v>2105</v>
      </c>
      <c r="C7409" s="1" t="s">
        <v>154</v>
      </c>
      <c r="D7409" s="1" t="s">
        <v>106</v>
      </c>
      <c r="E7409" s="1" t="s">
        <v>19</v>
      </c>
      <c r="F7409" s="2" t="s">
        <v>1287</v>
      </c>
      <c r="G7409" s="1">
        <v>11.52</v>
      </c>
      <c r="H7409" s="1">
        <v>5</v>
      </c>
      <c r="I7409" s="1">
        <v>4.1760000000000002</v>
      </c>
    </row>
    <row r="7410" spans="1:9" x14ac:dyDescent="0.35">
      <c r="A7410" s="3" t="s">
        <v>3633</v>
      </c>
      <c r="B7410" s="1" t="s">
        <v>2474</v>
      </c>
      <c r="C7410" s="1" t="s">
        <v>17</v>
      </c>
      <c r="D7410" s="1" t="s">
        <v>18</v>
      </c>
      <c r="E7410" s="1" t="s">
        <v>29</v>
      </c>
      <c r="F7410" s="2" t="s">
        <v>2460</v>
      </c>
      <c r="G7410" s="1">
        <v>167.84</v>
      </c>
      <c r="H7410" s="1">
        <v>8</v>
      </c>
      <c r="I7410" s="1">
        <v>11.748799999999999</v>
      </c>
    </row>
    <row r="7411" spans="1:9" x14ac:dyDescent="0.35">
      <c r="A7411" s="3">
        <v>41855</v>
      </c>
      <c r="B7411" s="1" t="s">
        <v>1322</v>
      </c>
      <c r="C7411" s="1" t="s">
        <v>1256</v>
      </c>
      <c r="D7411" s="1" t="s">
        <v>250</v>
      </c>
      <c r="E7411" s="1" t="s">
        <v>24</v>
      </c>
      <c r="F7411" s="2" t="s">
        <v>2774</v>
      </c>
      <c r="G7411" s="1">
        <v>172.11</v>
      </c>
      <c r="H7411" s="1">
        <v>1</v>
      </c>
      <c r="I7411" s="1">
        <v>-94.660499999999999</v>
      </c>
    </row>
    <row r="7412" spans="1:9" x14ac:dyDescent="0.35">
      <c r="A7412" s="3" t="s">
        <v>3777</v>
      </c>
      <c r="B7412" s="1" t="s">
        <v>59</v>
      </c>
      <c r="C7412" s="1" t="s">
        <v>135</v>
      </c>
      <c r="D7412" s="1" t="s">
        <v>136</v>
      </c>
      <c r="E7412" s="1" t="s">
        <v>81</v>
      </c>
      <c r="F7412" s="2" t="s">
        <v>1612</v>
      </c>
      <c r="G7412" s="1">
        <v>99.98</v>
      </c>
      <c r="H7412" s="1">
        <v>2</v>
      </c>
      <c r="I7412" s="1">
        <v>7.9984000000000002</v>
      </c>
    </row>
    <row r="7413" spans="1:9" x14ac:dyDescent="0.35">
      <c r="A7413" s="3" t="s">
        <v>3721</v>
      </c>
      <c r="B7413" s="1" t="s">
        <v>1614</v>
      </c>
      <c r="C7413" s="1" t="s">
        <v>1803</v>
      </c>
      <c r="D7413" s="1" t="s">
        <v>212</v>
      </c>
      <c r="E7413" s="1" t="s">
        <v>33</v>
      </c>
      <c r="F7413" s="2" t="s">
        <v>2669</v>
      </c>
      <c r="G7413" s="1">
        <v>156.792</v>
      </c>
      <c r="H7413" s="1">
        <v>1</v>
      </c>
      <c r="I7413" s="1">
        <v>17.639099999999999</v>
      </c>
    </row>
    <row r="7414" spans="1:9" x14ac:dyDescent="0.35">
      <c r="A7414" s="3" t="s">
        <v>3721</v>
      </c>
      <c r="B7414" s="1" t="s">
        <v>1614</v>
      </c>
      <c r="C7414" s="1" t="s">
        <v>1803</v>
      </c>
      <c r="D7414" s="1" t="s">
        <v>212</v>
      </c>
      <c r="E7414" s="1" t="s">
        <v>81</v>
      </c>
      <c r="F7414" s="2" t="s">
        <v>371</v>
      </c>
      <c r="G7414" s="1">
        <v>35.36</v>
      </c>
      <c r="H7414" s="1">
        <v>2</v>
      </c>
      <c r="I7414" s="1">
        <v>-3.0939999999999999</v>
      </c>
    </row>
    <row r="7415" spans="1:9" x14ac:dyDescent="0.35">
      <c r="A7415" s="3" t="s">
        <v>3721</v>
      </c>
      <c r="B7415" s="1" t="s">
        <v>1614</v>
      </c>
      <c r="C7415" s="1" t="s">
        <v>1803</v>
      </c>
      <c r="D7415" s="1" t="s">
        <v>212</v>
      </c>
      <c r="E7415" s="1" t="s">
        <v>29</v>
      </c>
      <c r="F7415" s="2" t="s">
        <v>3013</v>
      </c>
      <c r="G7415" s="1">
        <v>13.592000000000001</v>
      </c>
      <c r="H7415" s="1">
        <v>1</v>
      </c>
      <c r="I7415" s="1">
        <v>-0.33979999999999999</v>
      </c>
    </row>
    <row r="7416" spans="1:9" x14ac:dyDescent="0.35">
      <c r="A7416" s="3" t="s">
        <v>3684</v>
      </c>
      <c r="B7416" s="1" t="s">
        <v>180</v>
      </c>
      <c r="C7416" s="1" t="s">
        <v>74</v>
      </c>
      <c r="D7416" s="1" t="s">
        <v>75</v>
      </c>
      <c r="E7416" s="1" t="s">
        <v>14</v>
      </c>
      <c r="F7416" s="2" t="s">
        <v>341</v>
      </c>
      <c r="G7416" s="1">
        <v>386.68</v>
      </c>
      <c r="H7416" s="1">
        <v>2</v>
      </c>
      <c r="I7416" s="1">
        <v>-5.524</v>
      </c>
    </row>
    <row r="7417" spans="1:9" x14ac:dyDescent="0.35">
      <c r="A7417" s="3" t="s">
        <v>3684</v>
      </c>
      <c r="B7417" s="1" t="s">
        <v>180</v>
      </c>
      <c r="C7417" s="1" t="s">
        <v>74</v>
      </c>
      <c r="D7417" s="1" t="s">
        <v>75</v>
      </c>
      <c r="E7417" s="1" t="s">
        <v>81</v>
      </c>
      <c r="F7417" s="2" t="s">
        <v>2536</v>
      </c>
      <c r="G7417" s="1">
        <v>379.96</v>
      </c>
      <c r="H7417" s="1">
        <v>5</v>
      </c>
      <c r="I7417" s="1">
        <v>47.494999999999997</v>
      </c>
    </row>
    <row r="7418" spans="1:9" x14ac:dyDescent="0.35">
      <c r="A7418" s="3" t="s">
        <v>3684</v>
      </c>
      <c r="B7418" s="1" t="s">
        <v>180</v>
      </c>
      <c r="C7418" s="1" t="s">
        <v>74</v>
      </c>
      <c r="D7418" s="1" t="s">
        <v>75</v>
      </c>
      <c r="E7418" s="1" t="s">
        <v>33</v>
      </c>
      <c r="F7418" s="2" t="s">
        <v>1239</v>
      </c>
      <c r="G7418" s="1">
        <v>539.91</v>
      </c>
      <c r="H7418" s="1">
        <v>3</v>
      </c>
      <c r="I7418" s="1">
        <v>-116.98050000000001</v>
      </c>
    </row>
    <row r="7419" spans="1:9" x14ac:dyDescent="0.35">
      <c r="A7419" s="3" t="s">
        <v>3684</v>
      </c>
      <c r="B7419" s="1" t="s">
        <v>180</v>
      </c>
      <c r="C7419" s="1" t="s">
        <v>74</v>
      </c>
      <c r="D7419" s="1" t="s">
        <v>75</v>
      </c>
      <c r="E7419" s="1" t="s">
        <v>44</v>
      </c>
      <c r="F7419" s="2" t="s">
        <v>2565</v>
      </c>
      <c r="G7419" s="1">
        <v>41.24</v>
      </c>
      <c r="H7419" s="1">
        <v>5</v>
      </c>
      <c r="I7419" s="1">
        <v>13.9185</v>
      </c>
    </row>
    <row r="7420" spans="1:9" x14ac:dyDescent="0.35">
      <c r="A7420" s="3" t="s">
        <v>3684</v>
      </c>
      <c r="B7420" s="1" t="s">
        <v>180</v>
      </c>
      <c r="C7420" s="1" t="s">
        <v>74</v>
      </c>
      <c r="D7420" s="1" t="s">
        <v>75</v>
      </c>
      <c r="E7420" s="1" t="s">
        <v>35</v>
      </c>
      <c r="F7420" s="2" t="s">
        <v>2650</v>
      </c>
      <c r="G7420" s="1">
        <v>51.896999999999998</v>
      </c>
      <c r="H7420" s="1">
        <v>1</v>
      </c>
      <c r="I7420" s="1">
        <v>-41.517600000000002</v>
      </c>
    </row>
    <row r="7421" spans="1:9" x14ac:dyDescent="0.35">
      <c r="A7421" s="3" t="s">
        <v>3684</v>
      </c>
      <c r="B7421" s="1" t="s">
        <v>180</v>
      </c>
      <c r="C7421" s="1" t="s">
        <v>74</v>
      </c>
      <c r="D7421" s="1" t="s">
        <v>75</v>
      </c>
      <c r="E7421" s="1" t="s">
        <v>26</v>
      </c>
      <c r="F7421" s="2" t="s">
        <v>1585</v>
      </c>
      <c r="G7421" s="1">
        <v>552.55999999999995</v>
      </c>
      <c r="H7421" s="1">
        <v>5</v>
      </c>
      <c r="I7421" s="1">
        <v>-138.13999999999999</v>
      </c>
    </row>
    <row r="7422" spans="1:9" x14ac:dyDescent="0.35">
      <c r="A7422" s="3" t="s">
        <v>3684</v>
      </c>
      <c r="B7422" s="1" t="s">
        <v>180</v>
      </c>
      <c r="C7422" s="1" t="s">
        <v>74</v>
      </c>
      <c r="D7422" s="1" t="s">
        <v>75</v>
      </c>
      <c r="E7422" s="1" t="s">
        <v>35</v>
      </c>
      <c r="F7422" s="2" t="s">
        <v>1823</v>
      </c>
      <c r="G7422" s="1">
        <v>23.16</v>
      </c>
      <c r="H7422" s="1">
        <v>5</v>
      </c>
      <c r="I7422" s="1">
        <v>-15.44</v>
      </c>
    </row>
    <row r="7423" spans="1:9" x14ac:dyDescent="0.35">
      <c r="A7423" s="3" t="s">
        <v>3684</v>
      </c>
      <c r="B7423" s="1" t="s">
        <v>180</v>
      </c>
      <c r="C7423" s="1" t="s">
        <v>74</v>
      </c>
      <c r="D7423" s="1" t="s">
        <v>75</v>
      </c>
      <c r="E7423" s="1" t="s">
        <v>26</v>
      </c>
      <c r="F7423" s="2" t="s">
        <v>3055</v>
      </c>
      <c r="G7423" s="1">
        <v>126.08</v>
      </c>
      <c r="H7423" s="1">
        <v>2</v>
      </c>
      <c r="I7423" s="1">
        <v>-28.367999999999999</v>
      </c>
    </row>
    <row r="7424" spans="1:9" x14ac:dyDescent="0.35">
      <c r="A7424" s="3" t="s">
        <v>3684</v>
      </c>
      <c r="B7424" s="1" t="s">
        <v>180</v>
      </c>
      <c r="C7424" s="1" t="s">
        <v>74</v>
      </c>
      <c r="D7424" s="1" t="s">
        <v>75</v>
      </c>
      <c r="E7424" s="1" t="s">
        <v>338</v>
      </c>
      <c r="F7424" s="2" t="s">
        <v>2589</v>
      </c>
      <c r="G7424" s="1">
        <v>449.1</v>
      </c>
      <c r="H7424" s="1">
        <v>3</v>
      </c>
      <c r="I7424" s="1">
        <v>-643.71</v>
      </c>
    </row>
    <row r="7425" spans="1:9" x14ac:dyDescent="0.35">
      <c r="A7425" s="3">
        <v>43012</v>
      </c>
      <c r="B7425" s="1" t="s">
        <v>394</v>
      </c>
      <c r="C7425" s="1" t="s">
        <v>74</v>
      </c>
      <c r="D7425" s="1" t="s">
        <v>75</v>
      </c>
      <c r="E7425" s="1" t="s">
        <v>37</v>
      </c>
      <c r="F7425" s="2" t="s">
        <v>2173</v>
      </c>
      <c r="G7425" s="1">
        <v>195.10400000000001</v>
      </c>
      <c r="H7425" s="1">
        <v>4</v>
      </c>
      <c r="I7425" s="1">
        <v>21.949200000000001</v>
      </c>
    </row>
    <row r="7426" spans="1:9" x14ac:dyDescent="0.35">
      <c r="A7426" s="3">
        <v>43012</v>
      </c>
      <c r="B7426" s="1" t="s">
        <v>394</v>
      </c>
      <c r="C7426" s="1" t="s">
        <v>74</v>
      </c>
      <c r="D7426" s="1" t="s">
        <v>75</v>
      </c>
      <c r="E7426" s="1" t="s">
        <v>29</v>
      </c>
      <c r="F7426" s="2" t="s">
        <v>1181</v>
      </c>
      <c r="G7426" s="1">
        <v>36.671999999999997</v>
      </c>
      <c r="H7426" s="1">
        <v>3</v>
      </c>
      <c r="I7426" s="1">
        <v>6.4176000000000002</v>
      </c>
    </row>
    <row r="7427" spans="1:9" x14ac:dyDescent="0.35">
      <c r="A7427" s="3" t="s">
        <v>3778</v>
      </c>
      <c r="B7427" s="1" t="s">
        <v>398</v>
      </c>
      <c r="C7427" s="1" t="s">
        <v>93</v>
      </c>
      <c r="D7427" s="1" t="s">
        <v>52</v>
      </c>
      <c r="E7427" s="1" t="s">
        <v>14</v>
      </c>
      <c r="F7427" s="2" t="s">
        <v>155</v>
      </c>
      <c r="G7427" s="1">
        <v>85.245999999999995</v>
      </c>
      <c r="H7427" s="1">
        <v>2</v>
      </c>
      <c r="I7427" s="1">
        <v>-6.0890000000000004</v>
      </c>
    </row>
    <row r="7428" spans="1:9" x14ac:dyDescent="0.35">
      <c r="A7428" s="3" t="s">
        <v>3778</v>
      </c>
      <c r="B7428" s="1" t="s">
        <v>398</v>
      </c>
      <c r="C7428" s="1" t="s">
        <v>93</v>
      </c>
      <c r="D7428" s="1" t="s">
        <v>52</v>
      </c>
      <c r="E7428" s="1" t="s">
        <v>29</v>
      </c>
      <c r="F7428" s="2" t="s">
        <v>2557</v>
      </c>
      <c r="G7428" s="1">
        <v>32.712000000000003</v>
      </c>
      <c r="H7428" s="1">
        <v>2</v>
      </c>
      <c r="I7428" s="1">
        <v>-26.169599999999999</v>
      </c>
    </row>
    <row r="7429" spans="1:9" x14ac:dyDescent="0.35">
      <c r="A7429" s="3" t="s">
        <v>3608</v>
      </c>
      <c r="B7429" s="1" t="s">
        <v>2977</v>
      </c>
      <c r="C7429" s="1" t="s">
        <v>167</v>
      </c>
      <c r="D7429" s="1" t="s">
        <v>704</v>
      </c>
      <c r="E7429" s="1" t="s">
        <v>35</v>
      </c>
      <c r="F7429" s="2" t="s">
        <v>953</v>
      </c>
      <c r="G7429" s="1">
        <v>11.43</v>
      </c>
      <c r="H7429" s="1">
        <v>3</v>
      </c>
      <c r="I7429" s="1">
        <v>5.3720999999999997</v>
      </c>
    </row>
    <row r="7430" spans="1:9" x14ac:dyDescent="0.35">
      <c r="A7430" s="3" t="s">
        <v>3608</v>
      </c>
      <c r="B7430" s="1" t="s">
        <v>2977</v>
      </c>
      <c r="C7430" s="1" t="s">
        <v>167</v>
      </c>
      <c r="D7430" s="1" t="s">
        <v>704</v>
      </c>
      <c r="E7430" s="1" t="s">
        <v>35</v>
      </c>
      <c r="F7430" s="2" t="s">
        <v>633</v>
      </c>
      <c r="G7430" s="1">
        <v>30.44</v>
      </c>
      <c r="H7430" s="1">
        <v>2</v>
      </c>
      <c r="I7430" s="1">
        <v>14.9156</v>
      </c>
    </row>
    <row r="7431" spans="1:9" x14ac:dyDescent="0.35">
      <c r="A7431" s="3" t="s">
        <v>3608</v>
      </c>
      <c r="B7431" s="1" t="s">
        <v>2977</v>
      </c>
      <c r="C7431" s="1" t="s">
        <v>167</v>
      </c>
      <c r="D7431" s="1" t="s">
        <v>704</v>
      </c>
      <c r="E7431" s="1" t="s">
        <v>44</v>
      </c>
      <c r="F7431" s="2" t="s">
        <v>447</v>
      </c>
      <c r="G7431" s="1">
        <v>12.96</v>
      </c>
      <c r="H7431" s="1">
        <v>2</v>
      </c>
      <c r="I7431" s="1">
        <v>6.3503999999999996</v>
      </c>
    </row>
    <row r="7432" spans="1:9" x14ac:dyDescent="0.35">
      <c r="A7432" s="3" t="s">
        <v>3608</v>
      </c>
      <c r="B7432" s="1" t="s">
        <v>2977</v>
      </c>
      <c r="C7432" s="1" t="s">
        <v>167</v>
      </c>
      <c r="D7432" s="1" t="s">
        <v>704</v>
      </c>
      <c r="E7432" s="1" t="s">
        <v>44</v>
      </c>
      <c r="F7432" s="2" t="s">
        <v>2888</v>
      </c>
      <c r="G7432" s="1">
        <v>16</v>
      </c>
      <c r="H7432" s="1">
        <v>4</v>
      </c>
      <c r="I7432" s="1">
        <v>7.68</v>
      </c>
    </row>
    <row r="7433" spans="1:9" x14ac:dyDescent="0.35">
      <c r="A7433" s="3" t="s">
        <v>3608</v>
      </c>
      <c r="B7433" s="1" t="s">
        <v>2977</v>
      </c>
      <c r="C7433" s="1" t="s">
        <v>167</v>
      </c>
      <c r="D7433" s="1" t="s">
        <v>704</v>
      </c>
      <c r="E7433" s="1" t="s">
        <v>37</v>
      </c>
      <c r="F7433" s="2" t="s">
        <v>1559</v>
      </c>
      <c r="G7433" s="1">
        <v>32.67</v>
      </c>
      <c r="H7433" s="1">
        <v>3</v>
      </c>
      <c r="I7433" s="1">
        <v>8.4941999999999993</v>
      </c>
    </row>
    <row r="7434" spans="1:9" x14ac:dyDescent="0.35">
      <c r="A7434" s="3">
        <v>41890</v>
      </c>
      <c r="B7434" s="1" t="s">
        <v>2748</v>
      </c>
      <c r="C7434" s="1" t="s">
        <v>272</v>
      </c>
      <c r="D7434" s="1" t="s">
        <v>158</v>
      </c>
      <c r="E7434" s="1" t="s">
        <v>137</v>
      </c>
      <c r="F7434" s="2" t="s">
        <v>1367</v>
      </c>
      <c r="G7434" s="1">
        <v>4.4640000000000004</v>
      </c>
      <c r="H7434" s="1">
        <v>3</v>
      </c>
      <c r="I7434" s="1">
        <v>-0.9486</v>
      </c>
    </row>
    <row r="7435" spans="1:9" x14ac:dyDescent="0.35">
      <c r="A7435" s="3">
        <v>41890</v>
      </c>
      <c r="B7435" s="1" t="s">
        <v>2748</v>
      </c>
      <c r="C7435" s="1" t="s">
        <v>272</v>
      </c>
      <c r="D7435" s="1" t="s">
        <v>158</v>
      </c>
      <c r="E7435" s="1" t="s">
        <v>35</v>
      </c>
      <c r="F7435" s="2" t="s">
        <v>1363</v>
      </c>
      <c r="G7435" s="1">
        <v>9.3450000000000006</v>
      </c>
      <c r="H7435" s="1">
        <v>5</v>
      </c>
      <c r="I7435" s="1">
        <v>-6.5415000000000001</v>
      </c>
    </row>
    <row r="7436" spans="1:9" x14ac:dyDescent="0.35">
      <c r="A7436" s="3" t="s">
        <v>3535</v>
      </c>
      <c r="B7436" s="1" t="s">
        <v>654</v>
      </c>
      <c r="C7436" s="1" t="s">
        <v>2992</v>
      </c>
      <c r="D7436" s="1" t="s">
        <v>18</v>
      </c>
      <c r="E7436" s="1" t="s">
        <v>35</v>
      </c>
      <c r="F7436" s="2" t="s">
        <v>953</v>
      </c>
      <c r="G7436" s="1">
        <v>9.1440000000000001</v>
      </c>
      <c r="H7436" s="1">
        <v>3</v>
      </c>
      <c r="I7436" s="1">
        <v>3.0861000000000001</v>
      </c>
    </row>
    <row r="7437" spans="1:9" x14ac:dyDescent="0.35">
      <c r="A7437" s="3" t="s">
        <v>3535</v>
      </c>
      <c r="B7437" s="1" t="s">
        <v>654</v>
      </c>
      <c r="C7437" s="1" t="s">
        <v>2992</v>
      </c>
      <c r="D7437" s="1" t="s">
        <v>18</v>
      </c>
      <c r="E7437" s="1" t="s">
        <v>35</v>
      </c>
      <c r="F7437" s="2" t="s">
        <v>583</v>
      </c>
      <c r="G7437" s="1">
        <v>23.135999999999999</v>
      </c>
      <c r="H7437" s="1">
        <v>6</v>
      </c>
      <c r="I7437" s="1">
        <v>8.3867999999999991</v>
      </c>
    </row>
    <row r="7438" spans="1:9" x14ac:dyDescent="0.35">
      <c r="A7438" s="3" t="s">
        <v>3535</v>
      </c>
      <c r="B7438" s="1" t="s">
        <v>654</v>
      </c>
      <c r="C7438" s="1" t="s">
        <v>2992</v>
      </c>
      <c r="D7438" s="1" t="s">
        <v>18</v>
      </c>
      <c r="E7438" s="1" t="s">
        <v>31</v>
      </c>
      <c r="F7438" s="2" t="s">
        <v>1941</v>
      </c>
      <c r="G7438" s="1">
        <v>99.2</v>
      </c>
      <c r="H7438" s="1">
        <v>5</v>
      </c>
      <c r="I7438" s="1">
        <v>25.792000000000002</v>
      </c>
    </row>
    <row r="7439" spans="1:9" x14ac:dyDescent="0.35">
      <c r="A7439" s="3" t="s">
        <v>3779</v>
      </c>
      <c r="B7439" s="1" t="s">
        <v>1089</v>
      </c>
      <c r="C7439" s="1" t="s">
        <v>47</v>
      </c>
      <c r="D7439" s="1" t="s">
        <v>48</v>
      </c>
      <c r="E7439" s="1" t="s">
        <v>35</v>
      </c>
      <c r="F7439" s="2" t="s">
        <v>1484</v>
      </c>
      <c r="G7439" s="1">
        <v>21.36</v>
      </c>
      <c r="H7439" s="1">
        <v>5</v>
      </c>
      <c r="I7439" s="1">
        <v>7.2089999999999996</v>
      </c>
    </row>
    <row r="7440" spans="1:9" x14ac:dyDescent="0.35">
      <c r="A7440" s="3" t="s">
        <v>3198</v>
      </c>
      <c r="B7440" s="1" t="s">
        <v>1577</v>
      </c>
      <c r="C7440" s="1" t="s">
        <v>2697</v>
      </c>
      <c r="D7440" s="1" t="s">
        <v>48</v>
      </c>
      <c r="E7440" s="1" t="s">
        <v>29</v>
      </c>
      <c r="F7440" s="2" t="s">
        <v>2393</v>
      </c>
      <c r="G7440" s="1">
        <v>46.9</v>
      </c>
      <c r="H7440" s="1">
        <v>5</v>
      </c>
      <c r="I7440" s="1">
        <v>13.132</v>
      </c>
    </row>
    <row r="7441" spans="1:9" x14ac:dyDescent="0.35">
      <c r="A7441" s="3">
        <v>42775</v>
      </c>
      <c r="B7441" s="1" t="s">
        <v>1904</v>
      </c>
      <c r="C7441" s="1" t="s">
        <v>17</v>
      </c>
      <c r="D7441" s="1" t="s">
        <v>18</v>
      </c>
      <c r="E7441" s="1" t="s">
        <v>35</v>
      </c>
      <c r="F7441" s="2" t="s">
        <v>1068</v>
      </c>
      <c r="G7441" s="1">
        <v>18.72</v>
      </c>
      <c r="H7441" s="1">
        <v>5</v>
      </c>
      <c r="I7441" s="1">
        <v>6.5519999999999996</v>
      </c>
    </row>
    <row r="7442" spans="1:9" x14ac:dyDescent="0.35">
      <c r="A7442" s="3">
        <v>42775</v>
      </c>
      <c r="B7442" s="1" t="s">
        <v>1904</v>
      </c>
      <c r="C7442" s="1" t="s">
        <v>17</v>
      </c>
      <c r="D7442" s="1" t="s">
        <v>18</v>
      </c>
      <c r="E7442" s="1" t="s">
        <v>24</v>
      </c>
      <c r="F7442" s="2" t="s">
        <v>1862</v>
      </c>
      <c r="G7442" s="1">
        <v>236.52799999999999</v>
      </c>
      <c r="H7442" s="1">
        <v>2</v>
      </c>
      <c r="I7442" s="1">
        <v>-2.9565999999999999</v>
      </c>
    </row>
    <row r="7443" spans="1:9" x14ac:dyDescent="0.35">
      <c r="A7443" s="3" t="s">
        <v>3262</v>
      </c>
      <c r="B7443" s="1" t="s">
        <v>771</v>
      </c>
      <c r="C7443" s="1" t="s">
        <v>461</v>
      </c>
      <c r="D7443" s="1" t="s">
        <v>18</v>
      </c>
      <c r="E7443" s="1" t="s">
        <v>19</v>
      </c>
      <c r="F7443" s="2" t="s">
        <v>351</v>
      </c>
      <c r="G7443" s="1">
        <v>18.899999999999999</v>
      </c>
      <c r="H7443" s="1">
        <v>3</v>
      </c>
      <c r="I7443" s="1">
        <v>8.6940000000000008</v>
      </c>
    </row>
    <row r="7444" spans="1:9" x14ac:dyDescent="0.35">
      <c r="A7444" s="3">
        <v>41894</v>
      </c>
      <c r="B7444" s="1" t="s">
        <v>3010</v>
      </c>
      <c r="C7444" s="1" t="s">
        <v>1373</v>
      </c>
      <c r="D7444" s="1" t="s">
        <v>52</v>
      </c>
      <c r="E7444" s="1" t="s">
        <v>44</v>
      </c>
      <c r="F7444" s="2" t="s">
        <v>284</v>
      </c>
      <c r="G7444" s="1">
        <v>10.688000000000001</v>
      </c>
      <c r="H7444" s="1">
        <v>2</v>
      </c>
      <c r="I7444" s="1">
        <v>3.7408000000000001</v>
      </c>
    </row>
    <row r="7445" spans="1:9" x14ac:dyDescent="0.35">
      <c r="A7445" s="3">
        <v>41894</v>
      </c>
      <c r="B7445" s="1" t="s">
        <v>3010</v>
      </c>
      <c r="C7445" s="1" t="s">
        <v>1373</v>
      </c>
      <c r="D7445" s="1" t="s">
        <v>52</v>
      </c>
      <c r="E7445" s="1" t="s">
        <v>26</v>
      </c>
      <c r="F7445" s="2" t="s">
        <v>1051</v>
      </c>
      <c r="G7445" s="1">
        <v>237.096</v>
      </c>
      <c r="H7445" s="1">
        <v>3</v>
      </c>
      <c r="I7445" s="1">
        <v>20.745899999999999</v>
      </c>
    </row>
    <row r="7446" spans="1:9" x14ac:dyDescent="0.35">
      <c r="A7446" s="3">
        <v>42796</v>
      </c>
      <c r="B7446" s="1" t="s">
        <v>1049</v>
      </c>
      <c r="C7446" s="1" t="s">
        <v>154</v>
      </c>
      <c r="D7446" s="1" t="s">
        <v>106</v>
      </c>
      <c r="E7446" s="1" t="s">
        <v>44</v>
      </c>
      <c r="F7446" s="2" t="s">
        <v>1335</v>
      </c>
      <c r="G7446" s="1">
        <v>5.1840000000000002</v>
      </c>
      <c r="H7446" s="1">
        <v>1</v>
      </c>
      <c r="I7446" s="1">
        <v>1.8144</v>
      </c>
    </row>
    <row r="7447" spans="1:9" x14ac:dyDescent="0.35">
      <c r="A7447" s="3">
        <v>42796</v>
      </c>
      <c r="B7447" s="1" t="s">
        <v>1049</v>
      </c>
      <c r="C7447" s="1" t="s">
        <v>154</v>
      </c>
      <c r="D7447" s="1" t="s">
        <v>106</v>
      </c>
      <c r="E7447" s="1" t="s">
        <v>44</v>
      </c>
      <c r="F7447" s="2" t="s">
        <v>2535</v>
      </c>
      <c r="G7447" s="1">
        <v>65.584000000000003</v>
      </c>
      <c r="H7447" s="1">
        <v>2</v>
      </c>
      <c r="I7447" s="1">
        <v>23.7742</v>
      </c>
    </row>
    <row r="7448" spans="1:9" x14ac:dyDescent="0.35">
      <c r="A7448" s="3">
        <v>42796</v>
      </c>
      <c r="B7448" s="1" t="s">
        <v>1049</v>
      </c>
      <c r="C7448" s="1" t="s">
        <v>154</v>
      </c>
      <c r="D7448" s="1" t="s">
        <v>106</v>
      </c>
      <c r="E7448" s="1" t="s">
        <v>29</v>
      </c>
      <c r="F7448" s="2" t="s">
        <v>2125</v>
      </c>
      <c r="G7448" s="1">
        <v>22.2</v>
      </c>
      <c r="H7448" s="1">
        <v>1</v>
      </c>
      <c r="I7448" s="1">
        <v>-26.085000000000001</v>
      </c>
    </row>
    <row r="7449" spans="1:9" x14ac:dyDescent="0.35">
      <c r="A7449" s="3">
        <v>42796</v>
      </c>
      <c r="B7449" s="1" t="s">
        <v>1049</v>
      </c>
      <c r="C7449" s="1" t="s">
        <v>154</v>
      </c>
      <c r="D7449" s="1" t="s">
        <v>106</v>
      </c>
      <c r="E7449" s="1" t="s">
        <v>44</v>
      </c>
      <c r="F7449" s="2" t="s">
        <v>1639</v>
      </c>
      <c r="G7449" s="1">
        <v>419.4</v>
      </c>
      <c r="H7449" s="1">
        <v>5</v>
      </c>
      <c r="I7449" s="1">
        <v>146.79</v>
      </c>
    </row>
    <row r="7450" spans="1:9" x14ac:dyDescent="0.35">
      <c r="A7450" s="3">
        <v>43050</v>
      </c>
      <c r="B7450" s="1" t="s">
        <v>2380</v>
      </c>
      <c r="C7450" s="1" t="s">
        <v>2099</v>
      </c>
      <c r="D7450" s="1" t="s">
        <v>171</v>
      </c>
      <c r="E7450" s="1" t="s">
        <v>29</v>
      </c>
      <c r="F7450" s="2" t="s">
        <v>1130</v>
      </c>
      <c r="G7450" s="1">
        <v>88.92</v>
      </c>
      <c r="H7450" s="1">
        <v>5</v>
      </c>
      <c r="I7450" s="1">
        <v>14.4495</v>
      </c>
    </row>
    <row r="7451" spans="1:9" x14ac:dyDescent="0.35">
      <c r="A7451" s="3" t="s">
        <v>3221</v>
      </c>
      <c r="B7451" s="1" t="s">
        <v>1192</v>
      </c>
      <c r="C7451" s="1" t="s">
        <v>93</v>
      </c>
      <c r="D7451" s="1" t="s">
        <v>52</v>
      </c>
      <c r="E7451" s="1" t="s">
        <v>31</v>
      </c>
      <c r="F7451" s="2" t="s">
        <v>237</v>
      </c>
      <c r="G7451" s="1">
        <v>9.9120000000000008</v>
      </c>
      <c r="H7451" s="1">
        <v>3</v>
      </c>
      <c r="I7451" s="1">
        <v>3.2214</v>
      </c>
    </row>
    <row r="7452" spans="1:9" x14ac:dyDescent="0.35">
      <c r="A7452" s="3" t="s">
        <v>3221</v>
      </c>
      <c r="B7452" s="1" t="s">
        <v>1192</v>
      </c>
      <c r="C7452" s="1" t="s">
        <v>93</v>
      </c>
      <c r="D7452" s="1" t="s">
        <v>52</v>
      </c>
      <c r="E7452" s="1" t="s">
        <v>14</v>
      </c>
      <c r="F7452" s="2" t="s">
        <v>1997</v>
      </c>
      <c r="G7452" s="1">
        <v>318.43</v>
      </c>
      <c r="H7452" s="1">
        <v>5</v>
      </c>
      <c r="I7452" s="1">
        <v>-77.332999999999998</v>
      </c>
    </row>
    <row r="7453" spans="1:9" x14ac:dyDescent="0.35">
      <c r="A7453" s="3" t="s">
        <v>3221</v>
      </c>
      <c r="B7453" s="1" t="s">
        <v>1192</v>
      </c>
      <c r="C7453" s="1" t="s">
        <v>93</v>
      </c>
      <c r="D7453" s="1" t="s">
        <v>52</v>
      </c>
      <c r="E7453" s="1" t="s">
        <v>35</v>
      </c>
      <c r="F7453" s="2" t="s">
        <v>613</v>
      </c>
      <c r="G7453" s="1">
        <v>5.8</v>
      </c>
      <c r="H7453" s="1">
        <v>5</v>
      </c>
      <c r="I7453" s="1">
        <v>-10.15</v>
      </c>
    </row>
    <row r="7454" spans="1:9" x14ac:dyDescent="0.35">
      <c r="A7454" s="3" t="s">
        <v>3221</v>
      </c>
      <c r="B7454" s="1" t="s">
        <v>1192</v>
      </c>
      <c r="C7454" s="1" t="s">
        <v>93</v>
      </c>
      <c r="D7454" s="1" t="s">
        <v>52</v>
      </c>
      <c r="E7454" s="1" t="s">
        <v>33</v>
      </c>
      <c r="F7454" s="2" t="s">
        <v>2563</v>
      </c>
      <c r="G7454" s="1">
        <v>1415.76</v>
      </c>
      <c r="H7454" s="1">
        <v>6</v>
      </c>
      <c r="I7454" s="1">
        <v>88.484999999999999</v>
      </c>
    </row>
    <row r="7455" spans="1:9" x14ac:dyDescent="0.35">
      <c r="A7455" s="3" t="s">
        <v>3526</v>
      </c>
      <c r="B7455" s="1" t="s">
        <v>954</v>
      </c>
      <c r="C7455" s="1" t="s">
        <v>2473</v>
      </c>
      <c r="D7455" s="1" t="s">
        <v>106</v>
      </c>
      <c r="E7455" s="1" t="s">
        <v>33</v>
      </c>
      <c r="F7455" s="2" t="s">
        <v>1538</v>
      </c>
      <c r="G7455" s="1">
        <v>148.47999999999999</v>
      </c>
      <c r="H7455" s="1">
        <v>2</v>
      </c>
      <c r="I7455" s="1">
        <v>16.704000000000001</v>
      </c>
    </row>
    <row r="7456" spans="1:9" x14ac:dyDescent="0.35">
      <c r="A7456" s="3" t="s">
        <v>3780</v>
      </c>
      <c r="B7456" s="1" t="s">
        <v>1275</v>
      </c>
      <c r="C7456" s="1" t="s">
        <v>154</v>
      </c>
      <c r="D7456" s="1" t="s">
        <v>106</v>
      </c>
      <c r="E7456" s="1" t="s">
        <v>19</v>
      </c>
      <c r="F7456" s="2" t="s">
        <v>2298</v>
      </c>
      <c r="G7456" s="1">
        <v>9.2479999999999993</v>
      </c>
      <c r="H7456" s="1">
        <v>4</v>
      </c>
      <c r="I7456" s="1">
        <v>3.1212</v>
      </c>
    </row>
    <row r="7457" spans="1:9" x14ac:dyDescent="0.35">
      <c r="A7457" s="3" t="s">
        <v>3780</v>
      </c>
      <c r="B7457" s="1" t="s">
        <v>1275</v>
      </c>
      <c r="C7457" s="1" t="s">
        <v>154</v>
      </c>
      <c r="D7457" s="1" t="s">
        <v>106</v>
      </c>
      <c r="E7457" s="1" t="s">
        <v>26</v>
      </c>
      <c r="F7457" s="2" t="s">
        <v>872</v>
      </c>
      <c r="G7457" s="1">
        <v>1036.624</v>
      </c>
      <c r="H7457" s="1">
        <v>2</v>
      </c>
      <c r="I7457" s="1">
        <v>51.831200000000003</v>
      </c>
    </row>
    <row r="7458" spans="1:9" x14ac:dyDescent="0.35">
      <c r="A7458" s="3" t="s">
        <v>3627</v>
      </c>
      <c r="B7458" s="1" t="s">
        <v>1212</v>
      </c>
      <c r="C7458" s="1" t="s">
        <v>1017</v>
      </c>
      <c r="D7458" s="1" t="s">
        <v>163</v>
      </c>
      <c r="E7458" s="1" t="s">
        <v>33</v>
      </c>
      <c r="F7458" s="2" t="s">
        <v>40</v>
      </c>
      <c r="G7458" s="1">
        <v>569.64</v>
      </c>
      <c r="H7458" s="1">
        <v>2</v>
      </c>
      <c r="I7458" s="1">
        <v>148.10640000000001</v>
      </c>
    </row>
    <row r="7459" spans="1:9" x14ac:dyDescent="0.35">
      <c r="A7459" s="3" t="s">
        <v>3627</v>
      </c>
      <c r="B7459" s="1" t="s">
        <v>1212</v>
      </c>
      <c r="C7459" s="1" t="s">
        <v>1017</v>
      </c>
      <c r="D7459" s="1" t="s">
        <v>163</v>
      </c>
      <c r="E7459" s="1" t="s">
        <v>35</v>
      </c>
      <c r="F7459" s="2" t="s">
        <v>1102</v>
      </c>
      <c r="G7459" s="1">
        <v>9.14</v>
      </c>
      <c r="H7459" s="1">
        <v>1</v>
      </c>
      <c r="I7459" s="1">
        <v>4.57</v>
      </c>
    </row>
    <row r="7460" spans="1:9" x14ac:dyDescent="0.35">
      <c r="A7460" s="3" t="s">
        <v>3627</v>
      </c>
      <c r="B7460" s="1" t="s">
        <v>1212</v>
      </c>
      <c r="C7460" s="1" t="s">
        <v>1017</v>
      </c>
      <c r="D7460" s="1" t="s">
        <v>163</v>
      </c>
      <c r="E7460" s="1" t="s">
        <v>29</v>
      </c>
      <c r="F7460" s="2" t="s">
        <v>2169</v>
      </c>
      <c r="G7460" s="1">
        <v>1196.8599999999999</v>
      </c>
      <c r="H7460" s="1">
        <v>7</v>
      </c>
      <c r="I7460" s="1">
        <v>119.68600000000001</v>
      </c>
    </row>
    <row r="7461" spans="1:9" x14ac:dyDescent="0.35">
      <c r="A7461" s="3" t="s">
        <v>3627</v>
      </c>
      <c r="B7461" s="1" t="s">
        <v>1212</v>
      </c>
      <c r="C7461" s="1" t="s">
        <v>1017</v>
      </c>
      <c r="D7461" s="1" t="s">
        <v>163</v>
      </c>
      <c r="E7461" s="1" t="s">
        <v>12</v>
      </c>
      <c r="F7461" s="2" t="s">
        <v>1172</v>
      </c>
      <c r="G7461" s="1">
        <v>523.26</v>
      </c>
      <c r="H7461" s="1">
        <v>9</v>
      </c>
      <c r="I7461" s="1">
        <v>125.58240000000001</v>
      </c>
    </row>
    <row r="7462" spans="1:9" x14ac:dyDescent="0.35">
      <c r="A7462" s="3">
        <v>42312</v>
      </c>
      <c r="B7462" s="1" t="s">
        <v>1715</v>
      </c>
      <c r="C7462" s="1" t="s">
        <v>17</v>
      </c>
      <c r="D7462" s="1" t="s">
        <v>18</v>
      </c>
      <c r="E7462" s="1" t="s">
        <v>579</v>
      </c>
      <c r="F7462" s="2" t="s">
        <v>2806</v>
      </c>
      <c r="G7462" s="1">
        <v>639.96799999999996</v>
      </c>
      <c r="H7462" s="1">
        <v>4</v>
      </c>
      <c r="I7462" s="1">
        <v>215.98920000000001</v>
      </c>
    </row>
    <row r="7463" spans="1:9" x14ac:dyDescent="0.35">
      <c r="A7463" s="3">
        <v>42312</v>
      </c>
      <c r="B7463" s="1" t="s">
        <v>1715</v>
      </c>
      <c r="C7463" s="1" t="s">
        <v>17</v>
      </c>
      <c r="D7463" s="1" t="s">
        <v>18</v>
      </c>
      <c r="E7463" s="1" t="s">
        <v>44</v>
      </c>
      <c r="F7463" s="2" t="s">
        <v>94</v>
      </c>
      <c r="G7463" s="1">
        <v>52.76</v>
      </c>
      <c r="H7463" s="1">
        <v>2</v>
      </c>
      <c r="I7463" s="1">
        <v>24.269600000000001</v>
      </c>
    </row>
    <row r="7464" spans="1:9" x14ac:dyDescent="0.35">
      <c r="A7464" s="3" t="s">
        <v>3453</v>
      </c>
      <c r="B7464" s="1" t="s">
        <v>321</v>
      </c>
      <c r="C7464" s="1" t="s">
        <v>47</v>
      </c>
      <c r="D7464" s="1" t="s">
        <v>48</v>
      </c>
      <c r="E7464" s="1" t="s">
        <v>81</v>
      </c>
      <c r="F7464" s="2" t="s">
        <v>624</v>
      </c>
      <c r="G7464" s="1">
        <v>538.91999999999996</v>
      </c>
      <c r="H7464" s="1">
        <v>9</v>
      </c>
      <c r="I7464" s="1">
        <v>80.837999999999994</v>
      </c>
    </row>
    <row r="7465" spans="1:9" x14ac:dyDescent="0.35">
      <c r="A7465" s="3">
        <v>42591</v>
      </c>
      <c r="B7465" s="1" t="s">
        <v>1570</v>
      </c>
      <c r="C7465" s="1" t="s">
        <v>2527</v>
      </c>
      <c r="D7465" s="1" t="s">
        <v>18</v>
      </c>
      <c r="E7465" s="1" t="s">
        <v>31</v>
      </c>
      <c r="F7465" s="2" t="s">
        <v>2413</v>
      </c>
      <c r="G7465" s="1">
        <v>14.88</v>
      </c>
      <c r="H7465" s="1">
        <v>2</v>
      </c>
      <c r="I7465" s="1">
        <v>3.72</v>
      </c>
    </row>
    <row r="7466" spans="1:9" x14ac:dyDescent="0.35">
      <c r="A7466" s="3">
        <v>42591</v>
      </c>
      <c r="B7466" s="1" t="s">
        <v>1570</v>
      </c>
      <c r="C7466" s="1" t="s">
        <v>2527</v>
      </c>
      <c r="D7466" s="1" t="s">
        <v>18</v>
      </c>
      <c r="E7466" s="1" t="s">
        <v>44</v>
      </c>
      <c r="F7466" s="2" t="s">
        <v>2552</v>
      </c>
      <c r="G7466" s="1">
        <v>34.24</v>
      </c>
      <c r="H7466" s="1">
        <v>8</v>
      </c>
      <c r="I7466" s="1">
        <v>15.407999999999999</v>
      </c>
    </row>
    <row r="7467" spans="1:9" x14ac:dyDescent="0.35">
      <c r="A7467" s="3">
        <v>42591</v>
      </c>
      <c r="B7467" s="1" t="s">
        <v>1570</v>
      </c>
      <c r="C7467" s="1" t="s">
        <v>2527</v>
      </c>
      <c r="D7467" s="1" t="s">
        <v>18</v>
      </c>
      <c r="E7467" s="1" t="s">
        <v>26</v>
      </c>
      <c r="F7467" s="2" t="s">
        <v>948</v>
      </c>
      <c r="G7467" s="1">
        <v>261.74</v>
      </c>
      <c r="H7467" s="1">
        <v>2</v>
      </c>
      <c r="I7467" s="1">
        <v>65.435000000000002</v>
      </c>
    </row>
    <row r="7468" spans="1:9" x14ac:dyDescent="0.35">
      <c r="A7468" s="3" t="s">
        <v>3412</v>
      </c>
      <c r="B7468" s="1" t="s">
        <v>2562</v>
      </c>
      <c r="C7468" s="1" t="s">
        <v>17</v>
      </c>
      <c r="D7468" s="1" t="s">
        <v>18</v>
      </c>
      <c r="E7468" s="1" t="s">
        <v>37</v>
      </c>
      <c r="F7468" s="2" t="s">
        <v>676</v>
      </c>
      <c r="G7468" s="1">
        <v>87.84</v>
      </c>
      <c r="H7468" s="1">
        <v>8</v>
      </c>
      <c r="I7468" s="1">
        <v>23.716799999999999</v>
      </c>
    </row>
    <row r="7469" spans="1:9" x14ac:dyDescent="0.35">
      <c r="A7469" s="3">
        <v>43050</v>
      </c>
      <c r="B7469" s="1" t="s">
        <v>1284</v>
      </c>
      <c r="C7469" s="1" t="s">
        <v>17</v>
      </c>
      <c r="D7469" s="1" t="s">
        <v>18</v>
      </c>
      <c r="E7469" s="1" t="s">
        <v>29</v>
      </c>
      <c r="F7469" s="2" t="s">
        <v>1213</v>
      </c>
      <c r="G7469" s="1">
        <v>34.92</v>
      </c>
      <c r="H7469" s="1">
        <v>4</v>
      </c>
      <c r="I7469" s="1">
        <v>11.8728</v>
      </c>
    </row>
    <row r="7470" spans="1:9" x14ac:dyDescent="0.35">
      <c r="A7470" s="3" t="s">
        <v>3729</v>
      </c>
      <c r="B7470" s="1" t="s">
        <v>1446</v>
      </c>
      <c r="C7470" s="1" t="s">
        <v>135</v>
      </c>
      <c r="D7470" s="1" t="s">
        <v>136</v>
      </c>
      <c r="E7470" s="1" t="s">
        <v>44</v>
      </c>
      <c r="F7470" s="2" t="s">
        <v>94</v>
      </c>
      <c r="G7470" s="1">
        <v>14.94</v>
      </c>
      <c r="H7470" s="1">
        <v>3</v>
      </c>
      <c r="I7470" s="1">
        <v>7.0217999999999998</v>
      </c>
    </row>
    <row r="7471" spans="1:9" x14ac:dyDescent="0.35">
      <c r="A7471" s="3" t="s">
        <v>3729</v>
      </c>
      <c r="B7471" s="1" t="s">
        <v>1446</v>
      </c>
      <c r="C7471" s="1" t="s">
        <v>135</v>
      </c>
      <c r="D7471" s="1" t="s">
        <v>136</v>
      </c>
      <c r="E7471" s="1" t="s">
        <v>29</v>
      </c>
      <c r="F7471" s="2" t="s">
        <v>1727</v>
      </c>
      <c r="G7471" s="1">
        <v>14.56</v>
      </c>
      <c r="H7471" s="1">
        <v>2</v>
      </c>
      <c r="I7471" s="1">
        <v>6.2607999999999997</v>
      </c>
    </row>
    <row r="7472" spans="1:9" x14ac:dyDescent="0.35">
      <c r="A7472" s="3" t="s">
        <v>3456</v>
      </c>
      <c r="B7472" s="1" t="s">
        <v>1985</v>
      </c>
      <c r="C7472" s="1" t="s">
        <v>74</v>
      </c>
      <c r="D7472" s="1" t="s">
        <v>75</v>
      </c>
      <c r="E7472" s="1" t="s">
        <v>35</v>
      </c>
      <c r="F7472" s="2" t="s">
        <v>224</v>
      </c>
      <c r="G7472" s="1">
        <v>3.5760000000000001</v>
      </c>
      <c r="H7472" s="1">
        <v>4</v>
      </c>
      <c r="I7472" s="1">
        <v>-2.8607999999999998</v>
      </c>
    </row>
    <row r="7473" spans="1:9" x14ac:dyDescent="0.35">
      <c r="A7473" s="3" t="s">
        <v>3456</v>
      </c>
      <c r="B7473" s="1" t="s">
        <v>1985</v>
      </c>
      <c r="C7473" s="1" t="s">
        <v>74</v>
      </c>
      <c r="D7473" s="1" t="s">
        <v>75</v>
      </c>
      <c r="E7473" s="1" t="s">
        <v>26</v>
      </c>
      <c r="F7473" s="2" t="s">
        <v>410</v>
      </c>
      <c r="G7473" s="1">
        <v>147.184</v>
      </c>
      <c r="H7473" s="1">
        <v>2</v>
      </c>
      <c r="I7473" s="1">
        <v>-29.436800000000002</v>
      </c>
    </row>
    <row r="7474" spans="1:9" x14ac:dyDescent="0.35">
      <c r="A7474" s="3">
        <v>42376</v>
      </c>
      <c r="B7474" s="1" t="s">
        <v>2421</v>
      </c>
      <c r="C7474" s="1" t="s">
        <v>2848</v>
      </c>
      <c r="D7474" s="1" t="s">
        <v>61</v>
      </c>
      <c r="E7474" s="1" t="s">
        <v>579</v>
      </c>
      <c r="F7474" s="2" t="s">
        <v>2197</v>
      </c>
      <c r="G7474" s="1">
        <v>1499.95</v>
      </c>
      <c r="H7474" s="1">
        <v>5</v>
      </c>
      <c r="I7474" s="1">
        <v>449.98500000000001</v>
      </c>
    </row>
    <row r="7475" spans="1:9" x14ac:dyDescent="0.35">
      <c r="A7475" s="3">
        <v>42647</v>
      </c>
      <c r="B7475" s="1" t="s">
        <v>1554</v>
      </c>
      <c r="C7475" s="1" t="s">
        <v>154</v>
      </c>
      <c r="D7475" s="1" t="s">
        <v>106</v>
      </c>
      <c r="E7475" s="1" t="s">
        <v>31</v>
      </c>
      <c r="F7475" s="2" t="s">
        <v>1296</v>
      </c>
      <c r="G7475" s="1">
        <v>13.568</v>
      </c>
      <c r="H7475" s="1">
        <v>4</v>
      </c>
      <c r="I7475" s="1">
        <v>3.2223999999999999</v>
      </c>
    </row>
    <row r="7476" spans="1:9" x14ac:dyDescent="0.35">
      <c r="A7476" s="3">
        <v>41791</v>
      </c>
      <c r="B7476" s="1" t="s">
        <v>1671</v>
      </c>
      <c r="C7476" s="1" t="s">
        <v>10</v>
      </c>
      <c r="D7476" s="1" t="s">
        <v>11</v>
      </c>
      <c r="E7476" s="1" t="s">
        <v>14</v>
      </c>
      <c r="F7476" s="2" t="s">
        <v>267</v>
      </c>
      <c r="G7476" s="1">
        <v>2573.8200000000002</v>
      </c>
      <c r="H7476" s="1">
        <v>9</v>
      </c>
      <c r="I7476" s="1">
        <v>746.40779999999995</v>
      </c>
    </row>
    <row r="7477" spans="1:9" x14ac:dyDescent="0.35">
      <c r="A7477" s="3">
        <v>41791</v>
      </c>
      <c r="B7477" s="1" t="s">
        <v>1671</v>
      </c>
      <c r="C7477" s="1" t="s">
        <v>10</v>
      </c>
      <c r="D7477" s="1" t="s">
        <v>11</v>
      </c>
      <c r="E7477" s="1" t="s">
        <v>35</v>
      </c>
      <c r="F7477" s="2" t="s">
        <v>1007</v>
      </c>
      <c r="G7477" s="1">
        <v>609.98</v>
      </c>
      <c r="H7477" s="1">
        <v>2</v>
      </c>
      <c r="I7477" s="1">
        <v>274.49099999999999</v>
      </c>
    </row>
    <row r="7478" spans="1:9" x14ac:dyDescent="0.35">
      <c r="A7478" s="3">
        <v>41791</v>
      </c>
      <c r="B7478" s="1" t="s">
        <v>1671</v>
      </c>
      <c r="C7478" s="1" t="s">
        <v>10</v>
      </c>
      <c r="D7478" s="1" t="s">
        <v>11</v>
      </c>
      <c r="E7478" s="1" t="s">
        <v>31</v>
      </c>
      <c r="F7478" s="2" t="s">
        <v>812</v>
      </c>
      <c r="G7478" s="1">
        <v>5.48</v>
      </c>
      <c r="H7478" s="1">
        <v>2</v>
      </c>
      <c r="I7478" s="1">
        <v>1.4796</v>
      </c>
    </row>
    <row r="7479" spans="1:9" x14ac:dyDescent="0.35">
      <c r="A7479" s="3">
        <v>41791</v>
      </c>
      <c r="B7479" s="1" t="s">
        <v>1671</v>
      </c>
      <c r="C7479" s="1" t="s">
        <v>10</v>
      </c>
      <c r="D7479" s="1" t="s">
        <v>11</v>
      </c>
      <c r="E7479" s="1" t="s">
        <v>33</v>
      </c>
      <c r="F7479" s="2" t="s">
        <v>97</v>
      </c>
      <c r="G7479" s="1">
        <v>391.98</v>
      </c>
      <c r="H7479" s="1">
        <v>2</v>
      </c>
      <c r="I7479" s="1">
        <v>113.6742</v>
      </c>
    </row>
    <row r="7480" spans="1:9" x14ac:dyDescent="0.35">
      <c r="A7480" s="3">
        <v>41791</v>
      </c>
      <c r="B7480" s="1" t="s">
        <v>1671</v>
      </c>
      <c r="C7480" s="1" t="s">
        <v>10</v>
      </c>
      <c r="D7480" s="1" t="s">
        <v>11</v>
      </c>
      <c r="E7480" s="1" t="s">
        <v>33</v>
      </c>
      <c r="F7480" s="2" t="s">
        <v>1466</v>
      </c>
      <c r="G7480" s="1">
        <v>755.96</v>
      </c>
      <c r="H7480" s="1">
        <v>4</v>
      </c>
      <c r="I7480" s="1">
        <v>204.10919999999999</v>
      </c>
    </row>
    <row r="7481" spans="1:9" x14ac:dyDescent="0.35">
      <c r="A7481" s="3">
        <v>41791</v>
      </c>
      <c r="B7481" s="1" t="s">
        <v>1671</v>
      </c>
      <c r="C7481" s="1" t="s">
        <v>10</v>
      </c>
      <c r="D7481" s="1" t="s">
        <v>11</v>
      </c>
      <c r="E7481" s="1" t="s">
        <v>137</v>
      </c>
      <c r="F7481" s="2" t="s">
        <v>2504</v>
      </c>
      <c r="G7481" s="1">
        <v>31.12</v>
      </c>
      <c r="H7481" s="1">
        <v>4</v>
      </c>
      <c r="I7481" s="1">
        <v>0.31119999999999998</v>
      </c>
    </row>
    <row r="7482" spans="1:9" x14ac:dyDescent="0.35">
      <c r="A7482" s="3">
        <v>41791</v>
      </c>
      <c r="B7482" s="1" t="s">
        <v>1671</v>
      </c>
      <c r="C7482" s="1" t="s">
        <v>10</v>
      </c>
      <c r="D7482" s="1" t="s">
        <v>11</v>
      </c>
      <c r="E7482" s="1" t="s">
        <v>44</v>
      </c>
      <c r="F7482" s="2" t="s">
        <v>1341</v>
      </c>
      <c r="G7482" s="1">
        <v>6.54</v>
      </c>
      <c r="H7482" s="1">
        <v>1</v>
      </c>
      <c r="I7482" s="1">
        <v>3.0084</v>
      </c>
    </row>
    <row r="7483" spans="1:9" x14ac:dyDescent="0.35">
      <c r="A7483" s="3">
        <v>42378</v>
      </c>
      <c r="B7483" s="1" t="s">
        <v>2522</v>
      </c>
      <c r="C7483" s="1" t="s">
        <v>689</v>
      </c>
      <c r="D7483" s="1" t="s">
        <v>18</v>
      </c>
      <c r="E7483" s="1" t="s">
        <v>87</v>
      </c>
      <c r="F7483" s="2" t="s">
        <v>264</v>
      </c>
      <c r="G7483" s="1">
        <v>12.78</v>
      </c>
      <c r="H7483" s="1">
        <v>1</v>
      </c>
      <c r="I7483" s="1">
        <v>5.7510000000000003</v>
      </c>
    </row>
    <row r="7484" spans="1:9" x14ac:dyDescent="0.35">
      <c r="A7484" s="3" t="s">
        <v>3379</v>
      </c>
      <c r="B7484" s="1" t="s">
        <v>2362</v>
      </c>
      <c r="C7484" s="1" t="s">
        <v>135</v>
      </c>
      <c r="D7484" s="1" t="s">
        <v>136</v>
      </c>
      <c r="E7484" s="1" t="s">
        <v>35</v>
      </c>
      <c r="F7484" s="2" t="s">
        <v>166</v>
      </c>
      <c r="G7484" s="1">
        <v>18.463999999999999</v>
      </c>
      <c r="H7484" s="1">
        <v>4</v>
      </c>
      <c r="I7484" s="1">
        <v>6.9240000000000004</v>
      </c>
    </row>
    <row r="7485" spans="1:9" x14ac:dyDescent="0.35">
      <c r="A7485" s="3" t="s">
        <v>3661</v>
      </c>
      <c r="B7485" s="1" t="s">
        <v>740</v>
      </c>
      <c r="C7485" s="1" t="s">
        <v>74</v>
      </c>
      <c r="D7485" s="1" t="s">
        <v>75</v>
      </c>
      <c r="E7485" s="1" t="s">
        <v>14</v>
      </c>
      <c r="F7485" s="2" t="s">
        <v>1997</v>
      </c>
      <c r="G7485" s="1">
        <v>445.80200000000002</v>
      </c>
      <c r="H7485" s="1">
        <v>7</v>
      </c>
      <c r="I7485" s="1">
        <v>-108.2662</v>
      </c>
    </row>
    <row r="7486" spans="1:9" x14ac:dyDescent="0.35">
      <c r="A7486" s="3" t="s">
        <v>3530</v>
      </c>
      <c r="B7486" s="1" t="s">
        <v>191</v>
      </c>
      <c r="C7486" s="1" t="s">
        <v>2756</v>
      </c>
      <c r="D7486" s="1" t="s">
        <v>2757</v>
      </c>
      <c r="E7486" s="1" t="s">
        <v>31</v>
      </c>
      <c r="F7486" s="2" t="s">
        <v>1329</v>
      </c>
      <c r="G7486" s="1">
        <v>2.48</v>
      </c>
      <c r="H7486" s="1">
        <v>1</v>
      </c>
      <c r="I7486" s="1">
        <v>0.86799999999999999</v>
      </c>
    </row>
    <row r="7487" spans="1:9" x14ac:dyDescent="0.35">
      <c r="A7487" s="3" t="s">
        <v>3530</v>
      </c>
      <c r="B7487" s="1" t="s">
        <v>191</v>
      </c>
      <c r="C7487" s="1" t="s">
        <v>2756</v>
      </c>
      <c r="D7487" s="1" t="s">
        <v>2757</v>
      </c>
      <c r="E7487" s="1" t="s">
        <v>35</v>
      </c>
      <c r="F7487" s="2" t="s">
        <v>2495</v>
      </c>
      <c r="G7487" s="1">
        <v>25.9</v>
      </c>
      <c r="H7487" s="1">
        <v>5</v>
      </c>
      <c r="I7487" s="1">
        <v>12.691000000000001</v>
      </c>
    </row>
    <row r="7488" spans="1:9" x14ac:dyDescent="0.35">
      <c r="A7488" s="3" t="s">
        <v>3498</v>
      </c>
      <c r="B7488" s="1" t="s">
        <v>1211</v>
      </c>
      <c r="C7488" s="1" t="s">
        <v>123</v>
      </c>
      <c r="D7488" s="1" t="s">
        <v>1203</v>
      </c>
      <c r="E7488" s="1" t="s">
        <v>44</v>
      </c>
      <c r="F7488" s="2" t="s">
        <v>2201</v>
      </c>
      <c r="G7488" s="1">
        <v>29.9</v>
      </c>
      <c r="H7488" s="1">
        <v>5</v>
      </c>
      <c r="I7488" s="1">
        <v>14.651</v>
      </c>
    </row>
    <row r="7489" spans="1:9" x14ac:dyDescent="0.35">
      <c r="A7489" s="3" t="s">
        <v>3498</v>
      </c>
      <c r="B7489" s="1" t="s">
        <v>1211</v>
      </c>
      <c r="C7489" s="1" t="s">
        <v>123</v>
      </c>
      <c r="D7489" s="1" t="s">
        <v>1203</v>
      </c>
      <c r="E7489" s="1" t="s">
        <v>81</v>
      </c>
      <c r="F7489" s="2" t="s">
        <v>2140</v>
      </c>
      <c r="G7489" s="1">
        <v>2249.91</v>
      </c>
      <c r="H7489" s="1">
        <v>9</v>
      </c>
      <c r="I7489" s="1">
        <v>517.47929999999997</v>
      </c>
    </row>
    <row r="7490" spans="1:9" x14ac:dyDescent="0.35">
      <c r="A7490" s="3" t="s">
        <v>3498</v>
      </c>
      <c r="B7490" s="1" t="s">
        <v>1211</v>
      </c>
      <c r="C7490" s="1" t="s">
        <v>123</v>
      </c>
      <c r="D7490" s="1" t="s">
        <v>1203</v>
      </c>
      <c r="E7490" s="1" t="s">
        <v>24</v>
      </c>
      <c r="F7490" s="2" t="s">
        <v>440</v>
      </c>
      <c r="G7490" s="1">
        <v>1053.164</v>
      </c>
      <c r="H7490" s="1">
        <v>4</v>
      </c>
      <c r="I7490" s="1">
        <v>-105.3164</v>
      </c>
    </row>
    <row r="7491" spans="1:9" x14ac:dyDescent="0.35">
      <c r="A7491" s="3">
        <v>42866</v>
      </c>
      <c r="B7491" s="1" t="s">
        <v>2694</v>
      </c>
      <c r="C7491" s="1" t="s">
        <v>461</v>
      </c>
      <c r="D7491" s="1" t="s">
        <v>18</v>
      </c>
      <c r="E7491" s="1" t="s">
        <v>44</v>
      </c>
      <c r="F7491" s="2" t="s">
        <v>1455</v>
      </c>
      <c r="G7491" s="1">
        <v>12.96</v>
      </c>
      <c r="H7491" s="1">
        <v>2</v>
      </c>
      <c r="I7491" s="1">
        <v>6.2207999999999997</v>
      </c>
    </row>
    <row r="7492" spans="1:9" x14ac:dyDescent="0.35">
      <c r="A7492" s="3">
        <v>42286</v>
      </c>
      <c r="B7492" s="1" t="s">
        <v>558</v>
      </c>
      <c r="C7492" s="1" t="s">
        <v>17</v>
      </c>
      <c r="D7492" s="1" t="s">
        <v>18</v>
      </c>
      <c r="E7492" s="1" t="s">
        <v>29</v>
      </c>
      <c r="F7492" s="2" t="s">
        <v>208</v>
      </c>
      <c r="G7492" s="1">
        <v>106.68</v>
      </c>
      <c r="H7492" s="1">
        <v>6</v>
      </c>
      <c r="I7492" s="1">
        <v>33.070799999999998</v>
      </c>
    </row>
    <row r="7493" spans="1:9" x14ac:dyDescent="0.35">
      <c r="A7493" s="3" t="s">
        <v>3283</v>
      </c>
      <c r="B7493" s="1" t="s">
        <v>1756</v>
      </c>
      <c r="C7493" s="1" t="s">
        <v>2946</v>
      </c>
      <c r="D7493" s="1" t="s">
        <v>136</v>
      </c>
      <c r="E7493" s="1" t="s">
        <v>33</v>
      </c>
      <c r="F7493" s="2" t="s">
        <v>2882</v>
      </c>
      <c r="G7493" s="1">
        <v>119.94</v>
      </c>
      <c r="H7493" s="1">
        <v>6</v>
      </c>
      <c r="I7493" s="1">
        <v>5.9969999999999999</v>
      </c>
    </row>
    <row r="7494" spans="1:9" x14ac:dyDescent="0.35">
      <c r="A7494" s="3">
        <v>43048</v>
      </c>
      <c r="B7494" s="1" t="s">
        <v>2514</v>
      </c>
      <c r="C7494" s="1" t="s">
        <v>93</v>
      </c>
      <c r="D7494" s="1" t="s">
        <v>52</v>
      </c>
      <c r="E7494" s="1" t="s">
        <v>44</v>
      </c>
      <c r="F7494" s="2" t="s">
        <v>2379</v>
      </c>
      <c r="G7494" s="1">
        <v>10.272</v>
      </c>
      <c r="H7494" s="1">
        <v>3</v>
      </c>
      <c r="I7494" s="1">
        <v>3.21</v>
      </c>
    </row>
    <row r="7495" spans="1:9" x14ac:dyDescent="0.35">
      <c r="A7495" s="3">
        <v>43048</v>
      </c>
      <c r="B7495" s="1" t="s">
        <v>2514</v>
      </c>
      <c r="C7495" s="1" t="s">
        <v>93</v>
      </c>
      <c r="D7495" s="1" t="s">
        <v>52</v>
      </c>
      <c r="E7495" s="1" t="s">
        <v>24</v>
      </c>
      <c r="F7495" s="2" t="s">
        <v>2003</v>
      </c>
      <c r="G7495" s="1">
        <v>512.19000000000005</v>
      </c>
      <c r="H7495" s="1">
        <v>5</v>
      </c>
      <c r="I7495" s="1">
        <v>-65.852999999999994</v>
      </c>
    </row>
    <row r="7496" spans="1:9" x14ac:dyDescent="0.35">
      <c r="A7496" s="3">
        <v>43048</v>
      </c>
      <c r="B7496" s="1" t="s">
        <v>2514</v>
      </c>
      <c r="C7496" s="1" t="s">
        <v>93</v>
      </c>
      <c r="D7496" s="1" t="s">
        <v>52</v>
      </c>
      <c r="E7496" s="1" t="s">
        <v>37</v>
      </c>
      <c r="F7496" s="2" t="s">
        <v>1737</v>
      </c>
      <c r="G7496" s="1">
        <v>1.556</v>
      </c>
      <c r="H7496" s="1">
        <v>2</v>
      </c>
      <c r="I7496" s="1">
        <v>-4.2012</v>
      </c>
    </row>
    <row r="7497" spans="1:9" x14ac:dyDescent="0.35">
      <c r="A7497" s="3" t="s">
        <v>3781</v>
      </c>
      <c r="B7497" s="1" t="s">
        <v>2325</v>
      </c>
      <c r="C7497" s="1" t="s">
        <v>1694</v>
      </c>
      <c r="D7497" s="1" t="s">
        <v>18</v>
      </c>
      <c r="E7497" s="1" t="s">
        <v>35</v>
      </c>
      <c r="F7497" s="2" t="s">
        <v>1301</v>
      </c>
      <c r="G7497" s="1">
        <v>4.4480000000000004</v>
      </c>
      <c r="H7497" s="1">
        <v>2</v>
      </c>
      <c r="I7497" s="1">
        <v>1.4456</v>
      </c>
    </row>
    <row r="7498" spans="1:9" x14ac:dyDescent="0.35">
      <c r="A7498" s="3" t="s">
        <v>3781</v>
      </c>
      <c r="B7498" s="1" t="s">
        <v>2325</v>
      </c>
      <c r="C7498" s="1" t="s">
        <v>1694</v>
      </c>
      <c r="D7498" s="1" t="s">
        <v>18</v>
      </c>
      <c r="E7498" s="1" t="s">
        <v>29</v>
      </c>
      <c r="F7498" s="2" t="s">
        <v>1272</v>
      </c>
      <c r="G7498" s="1">
        <v>276.69</v>
      </c>
      <c r="H7498" s="1">
        <v>3</v>
      </c>
      <c r="I7498" s="1">
        <v>49.804200000000002</v>
      </c>
    </row>
    <row r="7499" spans="1:9" x14ac:dyDescent="0.35">
      <c r="A7499" s="3" t="s">
        <v>3781</v>
      </c>
      <c r="B7499" s="1" t="s">
        <v>2325</v>
      </c>
      <c r="C7499" s="1" t="s">
        <v>1694</v>
      </c>
      <c r="D7499" s="1" t="s">
        <v>18</v>
      </c>
      <c r="E7499" s="1" t="s">
        <v>137</v>
      </c>
      <c r="F7499" s="2" t="s">
        <v>585</v>
      </c>
      <c r="G7499" s="1">
        <v>4.96</v>
      </c>
      <c r="H7499" s="1">
        <v>4</v>
      </c>
      <c r="I7499" s="1">
        <v>2.3311999999999999</v>
      </c>
    </row>
    <row r="7500" spans="1:9" x14ac:dyDescent="0.35">
      <c r="A7500" s="3" t="s">
        <v>3781</v>
      </c>
      <c r="B7500" s="1" t="s">
        <v>2325</v>
      </c>
      <c r="C7500" s="1" t="s">
        <v>1694</v>
      </c>
      <c r="D7500" s="1" t="s">
        <v>18</v>
      </c>
      <c r="E7500" s="1" t="s">
        <v>31</v>
      </c>
      <c r="F7500" s="2" t="s">
        <v>89</v>
      </c>
      <c r="G7500" s="1">
        <v>71.92</v>
      </c>
      <c r="H7500" s="1">
        <v>4</v>
      </c>
      <c r="I7500" s="1">
        <v>20.8568</v>
      </c>
    </row>
    <row r="7501" spans="1:9" x14ac:dyDescent="0.35">
      <c r="A7501" s="3" t="s">
        <v>3781</v>
      </c>
      <c r="B7501" s="1" t="s">
        <v>2325</v>
      </c>
      <c r="C7501" s="1" t="s">
        <v>1694</v>
      </c>
      <c r="D7501" s="1" t="s">
        <v>18</v>
      </c>
      <c r="E7501" s="1" t="s">
        <v>29</v>
      </c>
      <c r="F7501" s="2" t="s">
        <v>402</v>
      </c>
      <c r="G7501" s="1">
        <v>18.84</v>
      </c>
      <c r="H7501" s="1">
        <v>3</v>
      </c>
      <c r="I7501" s="1">
        <v>7.9127999999999998</v>
      </c>
    </row>
    <row r="7502" spans="1:9" x14ac:dyDescent="0.35">
      <c r="A7502" s="3" t="s">
        <v>3781</v>
      </c>
      <c r="B7502" s="1" t="s">
        <v>2325</v>
      </c>
      <c r="C7502" s="1" t="s">
        <v>1694</v>
      </c>
      <c r="D7502" s="1" t="s">
        <v>18</v>
      </c>
      <c r="E7502" s="1" t="s">
        <v>81</v>
      </c>
      <c r="F7502" s="2" t="s">
        <v>792</v>
      </c>
      <c r="G7502" s="1">
        <v>140.97</v>
      </c>
      <c r="H7502" s="1">
        <v>3</v>
      </c>
      <c r="I7502" s="1">
        <v>19.735800000000001</v>
      </c>
    </row>
    <row r="7503" spans="1:9" x14ac:dyDescent="0.35">
      <c r="A7503" s="3" t="s">
        <v>3781</v>
      </c>
      <c r="B7503" s="1" t="s">
        <v>2325</v>
      </c>
      <c r="C7503" s="1" t="s">
        <v>1694</v>
      </c>
      <c r="D7503" s="1" t="s">
        <v>18</v>
      </c>
      <c r="E7503" s="1" t="s">
        <v>33</v>
      </c>
      <c r="F7503" s="2" t="s">
        <v>97</v>
      </c>
      <c r="G7503" s="1">
        <v>470.37599999999998</v>
      </c>
      <c r="H7503" s="1">
        <v>3</v>
      </c>
      <c r="I7503" s="1">
        <v>52.917299999999997</v>
      </c>
    </row>
    <row r="7504" spans="1:9" x14ac:dyDescent="0.35">
      <c r="A7504" s="3" t="s">
        <v>3565</v>
      </c>
      <c r="B7504" s="1" t="s">
        <v>1720</v>
      </c>
      <c r="C7504" s="1" t="s">
        <v>17</v>
      </c>
      <c r="D7504" s="1" t="s">
        <v>18</v>
      </c>
      <c r="E7504" s="1" t="s">
        <v>31</v>
      </c>
      <c r="F7504" s="2" t="s">
        <v>2123</v>
      </c>
      <c r="G7504" s="1">
        <v>6.08</v>
      </c>
      <c r="H7504" s="1">
        <v>2</v>
      </c>
      <c r="I7504" s="1">
        <v>2.0672000000000001</v>
      </c>
    </row>
    <row r="7505" spans="1:9" x14ac:dyDescent="0.35">
      <c r="A7505" s="3" t="s">
        <v>3565</v>
      </c>
      <c r="B7505" s="1" t="s">
        <v>1720</v>
      </c>
      <c r="C7505" s="1" t="s">
        <v>17</v>
      </c>
      <c r="D7505" s="1" t="s">
        <v>18</v>
      </c>
      <c r="E7505" s="1" t="s">
        <v>33</v>
      </c>
      <c r="F7505" s="2" t="s">
        <v>139</v>
      </c>
      <c r="G7505" s="1">
        <v>164.792</v>
      </c>
      <c r="H7505" s="1">
        <v>1</v>
      </c>
      <c r="I7505" s="1">
        <v>18.539100000000001</v>
      </c>
    </row>
    <row r="7506" spans="1:9" x14ac:dyDescent="0.35">
      <c r="A7506" s="3" t="s">
        <v>3602</v>
      </c>
      <c r="B7506" s="1" t="s">
        <v>2886</v>
      </c>
      <c r="C7506" s="1" t="s">
        <v>3056</v>
      </c>
      <c r="D7506" s="1" t="s">
        <v>388</v>
      </c>
      <c r="E7506" s="1" t="s">
        <v>87</v>
      </c>
      <c r="F7506" s="2" t="s">
        <v>332</v>
      </c>
      <c r="G7506" s="1">
        <v>23.36</v>
      </c>
      <c r="H7506" s="1">
        <v>2</v>
      </c>
      <c r="I7506" s="1">
        <v>11.68</v>
      </c>
    </row>
    <row r="7507" spans="1:9" x14ac:dyDescent="0.35">
      <c r="A7507" s="3">
        <v>42953</v>
      </c>
      <c r="B7507" s="1" t="s">
        <v>2054</v>
      </c>
      <c r="C7507" s="1" t="s">
        <v>1808</v>
      </c>
      <c r="D7507" s="1" t="s">
        <v>106</v>
      </c>
      <c r="E7507" s="1" t="s">
        <v>35</v>
      </c>
      <c r="F7507" s="2" t="s">
        <v>633</v>
      </c>
      <c r="G7507" s="1">
        <v>12.176</v>
      </c>
      <c r="H7507" s="1">
        <v>4</v>
      </c>
      <c r="I7507" s="1">
        <v>-18.872800000000002</v>
      </c>
    </row>
    <row r="7508" spans="1:9" x14ac:dyDescent="0.35">
      <c r="A7508" s="3">
        <v>41681</v>
      </c>
      <c r="B7508" s="1" t="s">
        <v>539</v>
      </c>
      <c r="C7508" s="1" t="s">
        <v>64</v>
      </c>
      <c r="D7508" s="1" t="s">
        <v>18</v>
      </c>
      <c r="E7508" s="1" t="s">
        <v>33</v>
      </c>
      <c r="F7508" s="2" t="s">
        <v>1882</v>
      </c>
      <c r="G7508" s="1">
        <v>46.384</v>
      </c>
      <c r="H7508" s="1">
        <v>2</v>
      </c>
      <c r="I7508" s="1">
        <v>5.2182000000000004</v>
      </c>
    </row>
    <row r="7509" spans="1:9" x14ac:dyDescent="0.35">
      <c r="A7509" s="3">
        <v>41681</v>
      </c>
      <c r="B7509" s="1" t="s">
        <v>539</v>
      </c>
      <c r="C7509" s="1" t="s">
        <v>64</v>
      </c>
      <c r="D7509" s="1" t="s">
        <v>18</v>
      </c>
      <c r="E7509" s="1" t="s">
        <v>26</v>
      </c>
      <c r="F7509" s="2" t="s">
        <v>489</v>
      </c>
      <c r="G7509" s="1">
        <v>362.92</v>
      </c>
      <c r="H7509" s="1">
        <v>2</v>
      </c>
      <c r="I7509" s="1">
        <v>105.24679999999999</v>
      </c>
    </row>
    <row r="7510" spans="1:9" x14ac:dyDescent="0.35">
      <c r="A7510" s="3" t="s">
        <v>3781</v>
      </c>
      <c r="B7510" s="1" t="s">
        <v>968</v>
      </c>
      <c r="C7510" s="1" t="s">
        <v>249</v>
      </c>
      <c r="D7510" s="1" t="s">
        <v>250</v>
      </c>
      <c r="E7510" s="1" t="s">
        <v>44</v>
      </c>
      <c r="F7510" s="2" t="s">
        <v>1398</v>
      </c>
      <c r="G7510" s="1">
        <v>9.2479999999999993</v>
      </c>
      <c r="H7510" s="1">
        <v>2</v>
      </c>
      <c r="I7510" s="1">
        <v>3.3523999999999998</v>
      </c>
    </row>
    <row r="7511" spans="1:9" x14ac:dyDescent="0.35">
      <c r="A7511" s="3" t="s">
        <v>3781</v>
      </c>
      <c r="B7511" s="1" t="s">
        <v>968</v>
      </c>
      <c r="C7511" s="1" t="s">
        <v>249</v>
      </c>
      <c r="D7511" s="1" t="s">
        <v>250</v>
      </c>
      <c r="E7511" s="1" t="s">
        <v>33</v>
      </c>
      <c r="F7511" s="2" t="s">
        <v>1297</v>
      </c>
      <c r="G7511" s="1">
        <v>1889.9459999999999</v>
      </c>
      <c r="H7511" s="1">
        <v>9</v>
      </c>
      <c r="I7511" s="1">
        <v>-377.98919999999998</v>
      </c>
    </row>
    <row r="7512" spans="1:9" x14ac:dyDescent="0.35">
      <c r="A7512" s="3" t="s">
        <v>3781</v>
      </c>
      <c r="B7512" s="1" t="s">
        <v>968</v>
      </c>
      <c r="C7512" s="1" t="s">
        <v>249</v>
      </c>
      <c r="D7512" s="1" t="s">
        <v>250</v>
      </c>
      <c r="E7512" s="1" t="s">
        <v>26</v>
      </c>
      <c r="F7512" s="2" t="s">
        <v>359</v>
      </c>
      <c r="G7512" s="1">
        <v>62.04</v>
      </c>
      <c r="H7512" s="1">
        <v>5</v>
      </c>
      <c r="I7512" s="1">
        <v>4.6529999999999996</v>
      </c>
    </row>
    <row r="7513" spans="1:9" x14ac:dyDescent="0.35">
      <c r="A7513" s="3" t="s">
        <v>3781</v>
      </c>
      <c r="B7513" s="1" t="s">
        <v>968</v>
      </c>
      <c r="C7513" s="1" t="s">
        <v>249</v>
      </c>
      <c r="D7513" s="1" t="s">
        <v>250</v>
      </c>
      <c r="E7513" s="1" t="s">
        <v>29</v>
      </c>
      <c r="F7513" s="2" t="s">
        <v>1794</v>
      </c>
      <c r="G7513" s="1">
        <v>396.92</v>
      </c>
      <c r="H7513" s="1">
        <v>5</v>
      </c>
      <c r="I7513" s="1">
        <v>148.845</v>
      </c>
    </row>
    <row r="7514" spans="1:9" x14ac:dyDescent="0.35">
      <c r="A7514" s="3" t="s">
        <v>3781</v>
      </c>
      <c r="B7514" s="1" t="s">
        <v>968</v>
      </c>
      <c r="C7514" s="1" t="s">
        <v>249</v>
      </c>
      <c r="D7514" s="1" t="s">
        <v>250</v>
      </c>
      <c r="E7514" s="1" t="s">
        <v>26</v>
      </c>
      <c r="F7514" s="2" t="s">
        <v>2239</v>
      </c>
      <c r="G7514" s="1">
        <v>239.45599999999999</v>
      </c>
      <c r="H7514" s="1">
        <v>7</v>
      </c>
      <c r="I7514" s="1">
        <v>17.959199999999999</v>
      </c>
    </row>
    <row r="7515" spans="1:9" x14ac:dyDescent="0.35">
      <c r="A7515" s="3" t="s">
        <v>3781</v>
      </c>
      <c r="B7515" s="1" t="s">
        <v>968</v>
      </c>
      <c r="C7515" s="1" t="s">
        <v>249</v>
      </c>
      <c r="D7515" s="1" t="s">
        <v>250</v>
      </c>
      <c r="E7515" s="1" t="s">
        <v>31</v>
      </c>
      <c r="F7515" s="2" t="s">
        <v>647</v>
      </c>
      <c r="G7515" s="1">
        <v>13.12</v>
      </c>
      <c r="H7515" s="1">
        <v>5</v>
      </c>
      <c r="I7515" s="1">
        <v>2.1320000000000001</v>
      </c>
    </row>
    <row r="7516" spans="1:9" x14ac:dyDescent="0.35">
      <c r="A7516" s="3">
        <v>42990</v>
      </c>
      <c r="B7516" s="1" t="s">
        <v>968</v>
      </c>
      <c r="C7516" s="1" t="s">
        <v>693</v>
      </c>
      <c r="D7516" s="1" t="s">
        <v>11</v>
      </c>
      <c r="E7516" s="1" t="s">
        <v>35</v>
      </c>
      <c r="F7516" s="2" t="s">
        <v>1523</v>
      </c>
      <c r="G7516" s="1">
        <v>29.36</v>
      </c>
      <c r="H7516" s="1">
        <v>2</v>
      </c>
      <c r="I7516" s="1">
        <v>13.505599999999999</v>
      </c>
    </row>
    <row r="7517" spans="1:9" x14ac:dyDescent="0.35">
      <c r="A7517" s="3">
        <v>42990</v>
      </c>
      <c r="B7517" s="1" t="s">
        <v>968</v>
      </c>
      <c r="C7517" s="1" t="s">
        <v>693</v>
      </c>
      <c r="D7517" s="1" t="s">
        <v>11</v>
      </c>
      <c r="E7517" s="1" t="s">
        <v>37</v>
      </c>
      <c r="F7517" s="2" t="s">
        <v>2367</v>
      </c>
      <c r="G7517" s="1">
        <v>214.9</v>
      </c>
      <c r="H7517" s="1">
        <v>5</v>
      </c>
      <c r="I7517" s="1">
        <v>62.320999999999998</v>
      </c>
    </row>
    <row r="7518" spans="1:9" x14ac:dyDescent="0.35">
      <c r="A7518" s="3">
        <v>42990</v>
      </c>
      <c r="B7518" s="1" t="s">
        <v>968</v>
      </c>
      <c r="C7518" s="1" t="s">
        <v>693</v>
      </c>
      <c r="D7518" s="1" t="s">
        <v>11</v>
      </c>
      <c r="E7518" s="1" t="s">
        <v>35</v>
      </c>
      <c r="F7518" s="2" t="s">
        <v>273</v>
      </c>
      <c r="G7518" s="1">
        <v>15.92</v>
      </c>
      <c r="H7518" s="1">
        <v>4</v>
      </c>
      <c r="I7518" s="1">
        <v>7.4824000000000002</v>
      </c>
    </row>
    <row r="7519" spans="1:9" x14ac:dyDescent="0.35">
      <c r="A7519" s="3">
        <v>42990</v>
      </c>
      <c r="B7519" s="1" t="s">
        <v>968</v>
      </c>
      <c r="C7519" s="1" t="s">
        <v>693</v>
      </c>
      <c r="D7519" s="1" t="s">
        <v>11</v>
      </c>
      <c r="E7519" s="1" t="s">
        <v>81</v>
      </c>
      <c r="F7519" s="2" t="s">
        <v>1405</v>
      </c>
      <c r="G7519" s="1">
        <v>146.44999999999999</v>
      </c>
      <c r="H7519" s="1">
        <v>5</v>
      </c>
      <c r="I7519" s="1">
        <v>48.328499999999998</v>
      </c>
    </row>
    <row r="7520" spans="1:9" x14ac:dyDescent="0.35">
      <c r="A7520" s="3">
        <v>42990</v>
      </c>
      <c r="B7520" s="1" t="s">
        <v>968</v>
      </c>
      <c r="C7520" s="1" t="s">
        <v>693</v>
      </c>
      <c r="D7520" s="1" t="s">
        <v>11</v>
      </c>
      <c r="E7520" s="1" t="s">
        <v>26</v>
      </c>
      <c r="F7520" s="2" t="s">
        <v>838</v>
      </c>
      <c r="G7520" s="1">
        <v>15.14</v>
      </c>
      <c r="H7520" s="1">
        <v>1</v>
      </c>
      <c r="I7520" s="1">
        <v>0.60560000000000003</v>
      </c>
    </row>
    <row r="7521" spans="1:9" x14ac:dyDescent="0.35">
      <c r="A7521" s="3">
        <v>42990</v>
      </c>
      <c r="B7521" s="1" t="s">
        <v>968</v>
      </c>
      <c r="C7521" s="1" t="s">
        <v>693</v>
      </c>
      <c r="D7521" s="1" t="s">
        <v>11</v>
      </c>
      <c r="E7521" s="1" t="s">
        <v>19</v>
      </c>
      <c r="F7521" s="2" t="s">
        <v>2612</v>
      </c>
      <c r="G7521" s="1">
        <v>5.76</v>
      </c>
      <c r="H7521" s="1">
        <v>2</v>
      </c>
      <c r="I7521" s="1">
        <v>2.6496</v>
      </c>
    </row>
    <row r="7522" spans="1:9" x14ac:dyDescent="0.35">
      <c r="A7522" s="3">
        <v>42990</v>
      </c>
      <c r="B7522" s="1" t="s">
        <v>968</v>
      </c>
      <c r="C7522" s="1" t="s">
        <v>693</v>
      </c>
      <c r="D7522" s="1" t="s">
        <v>11</v>
      </c>
      <c r="E7522" s="1" t="s">
        <v>579</v>
      </c>
      <c r="F7522" s="2" t="s">
        <v>1497</v>
      </c>
      <c r="G7522" s="1">
        <v>1399.98</v>
      </c>
      <c r="H7522" s="1">
        <v>2</v>
      </c>
      <c r="I7522" s="1">
        <v>629.99099999999999</v>
      </c>
    </row>
    <row r="7523" spans="1:9" x14ac:dyDescent="0.35">
      <c r="A7523" s="3">
        <v>42499</v>
      </c>
      <c r="B7523" s="1" t="s">
        <v>795</v>
      </c>
      <c r="C7523" s="1" t="s">
        <v>1114</v>
      </c>
      <c r="D7523" s="1" t="s">
        <v>250</v>
      </c>
      <c r="E7523" s="1" t="s">
        <v>35</v>
      </c>
      <c r="F7523" s="2" t="s">
        <v>940</v>
      </c>
      <c r="G7523" s="1">
        <v>8.952</v>
      </c>
      <c r="H7523" s="1">
        <v>2</v>
      </c>
      <c r="I7523" s="1">
        <v>-7.46</v>
      </c>
    </row>
    <row r="7524" spans="1:9" x14ac:dyDescent="0.35">
      <c r="A7524" s="3">
        <v>42499</v>
      </c>
      <c r="B7524" s="1" t="s">
        <v>795</v>
      </c>
      <c r="C7524" s="1" t="s">
        <v>1114</v>
      </c>
      <c r="D7524" s="1" t="s">
        <v>250</v>
      </c>
      <c r="E7524" s="1" t="s">
        <v>35</v>
      </c>
      <c r="F7524" s="2" t="s">
        <v>1962</v>
      </c>
      <c r="G7524" s="1">
        <v>8.8559999999999999</v>
      </c>
      <c r="H7524" s="1">
        <v>6</v>
      </c>
      <c r="I7524" s="1">
        <v>-6.4943999999999997</v>
      </c>
    </row>
    <row r="7525" spans="1:9" x14ac:dyDescent="0.35">
      <c r="A7525" s="3">
        <v>42499</v>
      </c>
      <c r="B7525" s="1" t="s">
        <v>795</v>
      </c>
      <c r="C7525" s="1" t="s">
        <v>1114</v>
      </c>
      <c r="D7525" s="1" t="s">
        <v>250</v>
      </c>
      <c r="E7525" s="1" t="s">
        <v>14</v>
      </c>
      <c r="F7525" s="2" t="s">
        <v>435</v>
      </c>
      <c r="G7525" s="1">
        <v>85.245999999999995</v>
      </c>
      <c r="H7525" s="1">
        <v>2</v>
      </c>
      <c r="I7525" s="1">
        <v>-1.2178</v>
      </c>
    </row>
    <row r="7526" spans="1:9" x14ac:dyDescent="0.35">
      <c r="A7526" s="3">
        <v>41921</v>
      </c>
      <c r="B7526" s="1" t="s">
        <v>243</v>
      </c>
      <c r="C7526" s="1" t="s">
        <v>2449</v>
      </c>
      <c r="D7526" s="1" t="s">
        <v>212</v>
      </c>
      <c r="E7526" s="1" t="s">
        <v>87</v>
      </c>
      <c r="F7526" s="2" t="s">
        <v>1331</v>
      </c>
      <c r="G7526" s="1">
        <v>21.728000000000002</v>
      </c>
      <c r="H7526" s="1">
        <v>7</v>
      </c>
      <c r="I7526" s="1">
        <v>7.6048</v>
      </c>
    </row>
    <row r="7527" spans="1:9" x14ac:dyDescent="0.35">
      <c r="A7527" s="3">
        <v>41921</v>
      </c>
      <c r="B7527" s="1" t="s">
        <v>243</v>
      </c>
      <c r="C7527" s="1" t="s">
        <v>2449</v>
      </c>
      <c r="D7527" s="1" t="s">
        <v>212</v>
      </c>
      <c r="E7527" s="1" t="s">
        <v>14</v>
      </c>
      <c r="F7527" s="2" t="s">
        <v>1474</v>
      </c>
      <c r="G7527" s="1">
        <v>1487.04</v>
      </c>
      <c r="H7527" s="1">
        <v>5</v>
      </c>
      <c r="I7527" s="1">
        <v>148.70400000000001</v>
      </c>
    </row>
    <row r="7528" spans="1:9" x14ac:dyDescent="0.35">
      <c r="A7528" s="3" t="s">
        <v>3570</v>
      </c>
      <c r="B7528" s="1" t="s">
        <v>108</v>
      </c>
      <c r="C7528" s="1" t="s">
        <v>64</v>
      </c>
      <c r="D7528" s="1" t="s">
        <v>18</v>
      </c>
      <c r="E7528" s="1" t="s">
        <v>87</v>
      </c>
      <c r="F7528" s="2" t="s">
        <v>332</v>
      </c>
      <c r="G7528" s="1">
        <v>71.88</v>
      </c>
      <c r="H7528" s="1">
        <v>6</v>
      </c>
      <c r="I7528" s="1">
        <v>33.064799999999998</v>
      </c>
    </row>
    <row r="7529" spans="1:9" x14ac:dyDescent="0.35">
      <c r="A7529" s="3" t="s">
        <v>3570</v>
      </c>
      <c r="B7529" s="1" t="s">
        <v>108</v>
      </c>
      <c r="C7529" s="1" t="s">
        <v>64</v>
      </c>
      <c r="D7529" s="1" t="s">
        <v>18</v>
      </c>
      <c r="E7529" s="1" t="s">
        <v>29</v>
      </c>
      <c r="F7529" s="2" t="s">
        <v>2306</v>
      </c>
      <c r="G7529" s="1">
        <v>9.24</v>
      </c>
      <c r="H7529" s="1">
        <v>3</v>
      </c>
      <c r="I7529" s="1">
        <v>2.9567999999999999</v>
      </c>
    </row>
    <row r="7530" spans="1:9" x14ac:dyDescent="0.35">
      <c r="A7530" s="3" t="s">
        <v>3570</v>
      </c>
      <c r="B7530" s="1" t="s">
        <v>108</v>
      </c>
      <c r="C7530" s="1" t="s">
        <v>64</v>
      </c>
      <c r="D7530" s="1" t="s">
        <v>18</v>
      </c>
      <c r="E7530" s="1" t="s">
        <v>44</v>
      </c>
      <c r="F7530" s="2" t="s">
        <v>2243</v>
      </c>
      <c r="G7530" s="1">
        <v>35.880000000000003</v>
      </c>
      <c r="H7530" s="1">
        <v>6</v>
      </c>
      <c r="I7530" s="1">
        <v>16.146000000000001</v>
      </c>
    </row>
    <row r="7531" spans="1:9" x14ac:dyDescent="0.35">
      <c r="A7531" s="3" t="s">
        <v>3570</v>
      </c>
      <c r="B7531" s="1" t="s">
        <v>108</v>
      </c>
      <c r="C7531" s="1" t="s">
        <v>64</v>
      </c>
      <c r="D7531" s="1" t="s">
        <v>18</v>
      </c>
      <c r="E7531" s="1" t="s">
        <v>35</v>
      </c>
      <c r="F7531" s="2" t="s">
        <v>67</v>
      </c>
      <c r="G7531" s="1">
        <v>17.04</v>
      </c>
      <c r="H7531" s="1">
        <v>3</v>
      </c>
      <c r="I7531" s="1">
        <v>5.5380000000000003</v>
      </c>
    </row>
    <row r="7532" spans="1:9" x14ac:dyDescent="0.35">
      <c r="A7532" s="3" t="s">
        <v>3570</v>
      </c>
      <c r="B7532" s="1" t="s">
        <v>108</v>
      </c>
      <c r="C7532" s="1" t="s">
        <v>64</v>
      </c>
      <c r="D7532" s="1" t="s">
        <v>18</v>
      </c>
      <c r="E7532" s="1" t="s">
        <v>35</v>
      </c>
      <c r="F7532" s="2" t="s">
        <v>1307</v>
      </c>
      <c r="G7532" s="1">
        <v>931.17600000000004</v>
      </c>
      <c r="H7532" s="1">
        <v>3</v>
      </c>
      <c r="I7532" s="1">
        <v>314.27190000000002</v>
      </c>
    </row>
    <row r="7533" spans="1:9" x14ac:dyDescent="0.35">
      <c r="A7533" s="3" t="s">
        <v>3158</v>
      </c>
      <c r="B7533" s="1" t="s">
        <v>282</v>
      </c>
      <c r="C7533" s="1" t="s">
        <v>3057</v>
      </c>
      <c r="D7533" s="1" t="s">
        <v>229</v>
      </c>
      <c r="E7533" s="1" t="s">
        <v>29</v>
      </c>
      <c r="F7533" s="2" t="s">
        <v>2187</v>
      </c>
      <c r="G7533" s="1">
        <v>266.35199999999998</v>
      </c>
      <c r="H7533" s="1">
        <v>3</v>
      </c>
      <c r="I7533" s="1">
        <v>-13.317600000000001</v>
      </c>
    </row>
    <row r="7534" spans="1:9" x14ac:dyDescent="0.35">
      <c r="A7534" s="3" t="s">
        <v>3158</v>
      </c>
      <c r="B7534" s="1" t="s">
        <v>282</v>
      </c>
      <c r="C7534" s="1" t="s">
        <v>3057</v>
      </c>
      <c r="D7534" s="1" t="s">
        <v>229</v>
      </c>
      <c r="E7534" s="1" t="s">
        <v>14</v>
      </c>
      <c r="F7534" s="2" t="s">
        <v>946</v>
      </c>
      <c r="G7534" s="1">
        <v>483.13600000000002</v>
      </c>
      <c r="H7534" s="1">
        <v>4</v>
      </c>
      <c r="I7534" s="1">
        <v>54.352800000000002</v>
      </c>
    </row>
    <row r="7535" spans="1:9" x14ac:dyDescent="0.35">
      <c r="A7535" s="3" t="s">
        <v>3446</v>
      </c>
      <c r="B7535" s="1" t="s">
        <v>2060</v>
      </c>
      <c r="C7535" s="1" t="s">
        <v>1522</v>
      </c>
      <c r="D7535" s="1" t="s">
        <v>43</v>
      </c>
      <c r="E7535" s="1" t="s">
        <v>14</v>
      </c>
      <c r="F7535" s="2" t="s">
        <v>1386</v>
      </c>
      <c r="G7535" s="1">
        <v>196.78399999999999</v>
      </c>
      <c r="H7535" s="1">
        <v>2</v>
      </c>
      <c r="I7535" s="1">
        <v>-22.138200000000001</v>
      </c>
    </row>
    <row r="7536" spans="1:9" x14ac:dyDescent="0.35">
      <c r="A7536" s="3" t="s">
        <v>3446</v>
      </c>
      <c r="B7536" s="1" t="s">
        <v>2060</v>
      </c>
      <c r="C7536" s="1" t="s">
        <v>1522</v>
      </c>
      <c r="D7536" s="1" t="s">
        <v>43</v>
      </c>
      <c r="E7536" s="1" t="s">
        <v>12</v>
      </c>
      <c r="F7536" s="2" t="s">
        <v>516</v>
      </c>
      <c r="G7536" s="1">
        <v>231.92</v>
      </c>
      <c r="H7536" s="1">
        <v>5</v>
      </c>
      <c r="I7536" s="1">
        <v>5.798</v>
      </c>
    </row>
    <row r="7537" spans="1:9" x14ac:dyDescent="0.35">
      <c r="A7537" s="3" t="s">
        <v>3335</v>
      </c>
      <c r="B7537" s="1" t="s">
        <v>1563</v>
      </c>
      <c r="C7537" s="1" t="s">
        <v>17</v>
      </c>
      <c r="D7537" s="1" t="s">
        <v>18</v>
      </c>
      <c r="E7537" s="1" t="s">
        <v>289</v>
      </c>
      <c r="F7537" s="2" t="s">
        <v>991</v>
      </c>
      <c r="G7537" s="1">
        <v>29.7</v>
      </c>
      <c r="H7537" s="1">
        <v>3</v>
      </c>
      <c r="I7537" s="1">
        <v>8.0190000000000001</v>
      </c>
    </row>
    <row r="7538" spans="1:9" x14ac:dyDescent="0.35">
      <c r="A7538" s="3">
        <v>42806</v>
      </c>
      <c r="B7538" s="1" t="s">
        <v>2139</v>
      </c>
      <c r="C7538" s="1" t="s">
        <v>93</v>
      </c>
      <c r="D7538" s="1" t="s">
        <v>52</v>
      </c>
      <c r="E7538" s="1" t="s">
        <v>29</v>
      </c>
      <c r="F7538" s="2" t="s">
        <v>3013</v>
      </c>
      <c r="G7538" s="1">
        <v>13.592000000000001</v>
      </c>
      <c r="H7538" s="1">
        <v>2</v>
      </c>
      <c r="I7538" s="1">
        <v>-14.271599999999999</v>
      </c>
    </row>
    <row r="7539" spans="1:9" x14ac:dyDescent="0.35">
      <c r="A7539" s="3" t="s">
        <v>3589</v>
      </c>
      <c r="B7539" s="1" t="s">
        <v>869</v>
      </c>
      <c r="C7539" s="1" t="s">
        <v>64</v>
      </c>
      <c r="D7539" s="1" t="s">
        <v>18</v>
      </c>
      <c r="E7539" s="1" t="s">
        <v>44</v>
      </c>
      <c r="F7539" s="2" t="s">
        <v>285</v>
      </c>
      <c r="G7539" s="1">
        <v>70.88</v>
      </c>
      <c r="H7539" s="1">
        <v>2</v>
      </c>
      <c r="I7539" s="1">
        <v>33.313600000000001</v>
      </c>
    </row>
    <row r="7540" spans="1:9" x14ac:dyDescent="0.35">
      <c r="A7540" s="3">
        <v>42778</v>
      </c>
      <c r="B7540" s="1" t="s">
        <v>1807</v>
      </c>
      <c r="C7540" s="1" t="s">
        <v>395</v>
      </c>
      <c r="D7540" s="1" t="s">
        <v>229</v>
      </c>
      <c r="E7540" s="1" t="s">
        <v>26</v>
      </c>
      <c r="F7540" s="2" t="s">
        <v>717</v>
      </c>
      <c r="G7540" s="1">
        <v>114.288</v>
      </c>
      <c r="H7540" s="1">
        <v>1</v>
      </c>
      <c r="I7540" s="1">
        <v>12.8574</v>
      </c>
    </row>
    <row r="7541" spans="1:9" x14ac:dyDescent="0.35">
      <c r="A7541" s="3">
        <v>42778</v>
      </c>
      <c r="B7541" s="1" t="s">
        <v>1807</v>
      </c>
      <c r="C7541" s="1" t="s">
        <v>395</v>
      </c>
      <c r="D7541" s="1" t="s">
        <v>229</v>
      </c>
      <c r="E7541" s="1" t="s">
        <v>35</v>
      </c>
      <c r="F7541" s="2" t="s">
        <v>1344</v>
      </c>
      <c r="G7541" s="1">
        <v>36.624000000000002</v>
      </c>
      <c r="H7541" s="1">
        <v>8</v>
      </c>
      <c r="I7541" s="1">
        <v>-24.416</v>
      </c>
    </row>
    <row r="7542" spans="1:9" x14ac:dyDescent="0.35">
      <c r="A7542" s="3">
        <v>42778</v>
      </c>
      <c r="B7542" s="1" t="s">
        <v>1807</v>
      </c>
      <c r="C7542" s="1" t="s">
        <v>395</v>
      </c>
      <c r="D7542" s="1" t="s">
        <v>229</v>
      </c>
      <c r="E7542" s="1" t="s">
        <v>12</v>
      </c>
      <c r="F7542" s="2" t="s">
        <v>2766</v>
      </c>
      <c r="G7542" s="1">
        <v>242.352</v>
      </c>
      <c r="H7542" s="1">
        <v>8</v>
      </c>
      <c r="I7542" s="1">
        <v>-363.52800000000002</v>
      </c>
    </row>
    <row r="7543" spans="1:9" x14ac:dyDescent="0.35">
      <c r="A7543" s="3">
        <v>42778</v>
      </c>
      <c r="B7543" s="1" t="s">
        <v>1807</v>
      </c>
      <c r="C7543" s="1" t="s">
        <v>395</v>
      </c>
      <c r="D7543" s="1" t="s">
        <v>229</v>
      </c>
      <c r="E7543" s="1" t="s">
        <v>33</v>
      </c>
      <c r="F7543" s="2" t="s">
        <v>2780</v>
      </c>
      <c r="G7543" s="1">
        <v>49.616</v>
      </c>
      <c r="H7543" s="1">
        <v>2</v>
      </c>
      <c r="I7543" s="1">
        <v>4.9615999999999998</v>
      </c>
    </row>
    <row r="7544" spans="1:9" x14ac:dyDescent="0.35">
      <c r="A7544" s="3">
        <v>42778</v>
      </c>
      <c r="B7544" s="1" t="s">
        <v>1807</v>
      </c>
      <c r="C7544" s="1" t="s">
        <v>395</v>
      </c>
      <c r="D7544" s="1" t="s">
        <v>229</v>
      </c>
      <c r="E7544" s="1" t="s">
        <v>29</v>
      </c>
      <c r="F7544" s="2" t="s">
        <v>1781</v>
      </c>
      <c r="G7544" s="1">
        <v>508.70400000000001</v>
      </c>
      <c r="H7544" s="1">
        <v>6</v>
      </c>
      <c r="I7544" s="1">
        <v>0</v>
      </c>
    </row>
    <row r="7545" spans="1:9" x14ac:dyDescent="0.35">
      <c r="A7545" s="3">
        <v>42778</v>
      </c>
      <c r="B7545" s="1" t="s">
        <v>1807</v>
      </c>
      <c r="C7545" s="1" t="s">
        <v>395</v>
      </c>
      <c r="D7545" s="1" t="s">
        <v>229</v>
      </c>
      <c r="E7545" s="1" t="s">
        <v>33</v>
      </c>
      <c r="F7545" s="2" t="s">
        <v>2281</v>
      </c>
      <c r="G7545" s="1">
        <v>57.36</v>
      </c>
      <c r="H7545" s="1">
        <v>6</v>
      </c>
      <c r="I7545" s="1">
        <v>-14.34</v>
      </c>
    </row>
    <row r="7546" spans="1:9" x14ac:dyDescent="0.35">
      <c r="A7546" s="3">
        <v>42778</v>
      </c>
      <c r="B7546" s="1" t="s">
        <v>1807</v>
      </c>
      <c r="C7546" s="1" t="s">
        <v>395</v>
      </c>
      <c r="D7546" s="1" t="s">
        <v>229</v>
      </c>
      <c r="E7546" s="1" t="s">
        <v>14</v>
      </c>
      <c r="F7546" s="2" t="s">
        <v>1108</v>
      </c>
      <c r="G7546" s="1">
        <v>906.68</v>
      </c>
      <c r="H7546" s="1">
        <v>5</v>
      </c>
      <c r="I7546" s="1">
        <v>68.001000000000005</v>
      </c>
    </row>
    <row r="7547" spans="1:9" x14ac:dyDescent="0.35">
      <c r="A7547" s="3">
        <v>41922</v>
      </c>
      <c r="B7547" s="1" t="s">
        <v>3058</v>
      </c>
      <c r="C7547" s="1" t="s">
        <v>785</v>
      </c>
      <c r="D7547" s="1" t="s">
        <v>52</v>
      </c>
      <c r="E7547" s="1" t="s">
        <v>33</v>
      </c>
      <c r="F7547" s="2" t="s">
        <v>2533</v>
      </c>
      <c r="G7547" s="1">
        <v>719.952</v>
      </c>
      <c r="H7547" s="1">
        <v>6</v>
      </c>
      <c r="I7547" s="1">
        <v>71.995199999999997</v>
      </c>
    </row>
    <row r="7548" spans="1:9" x14ac:dyDescent="0.35">
      <c r="A7548" s="3">
        <v>41922</v>
      </c>
      <c r="B7548" s="1" t="s">
        <v>3058</v>
      </c>
      <c r="C7548" s="1" t="s">
        <v>785</v>
      </c>
      <c r="D7548" s="1" t="s">
        <v>52</v>
      </c>
      <c r="E7548" s="1" t="s">
        <v>33</v>
      </c>
      <c r="F7548" s="2" t="s">
        <v>934</v>
      </c>
      <c r="G7548" s="1">
        <v>755.94399999999996</v>
      </c>
      <c r="H7548" s="1">
        <v>7</v>
      </c>
      <c r="I7548" s="1">
        <v>66.145099999999999</v>
      </c>
    </row>
    <row r="7549" spans="1:9" x14ac:dyDescent="0.35">
      <c r="A7549" s="3">
        <v>41922</v>
      </c>
      <c r="B7549" s="1" t="s">
        <v>3058</v>
      </c>
      <c r="C7549" s="1" t="s">
        <v>785</v>
      </c>
      <c r="D7549" s="1" t="s">
        <v>52</v>
      </c>
      <c r="E7549" s="1" t="s">
        <v>35</v>
      </c>
      <c r="F7549" s="2" t="s">
        <v>2023</v>
      </c>
      <c r="G7549" s="1">
        <v>11.98</v>
      </c>
      <c r="H7549" s="1">
        <v>5</v>
      </c>
      <c r="I7549" s="1">
        <v>-19.167999999999999</v>
      </c>
    </row>
    <row r="7550" spans="1:9" x14ac:dyDescent="0.35">
      <c r="A7550" s="3">
        <v>41922</v>
      </c>
      <c r="B7550" s="1" t="s">
        <v>3058</v>
      </c>
      <c r="C7550" s="1" t="s">
        <v>785</v>
      </c>
      <c r="D7550" s="1" t="s">
        <v>52</v>
      </c>
      <c r="E7550" s="1" t="s">
        <v>35</v>
      </c>
      <c r="F7550" s="2" t="s">
        <v>581</v>
      </c>
      <c r="G7550" s="1">
        <v>0.89800000000000002</v>
      </c>
      <c r="H7550" s="1">
        <v>1</v>
      </c>
      <c r="I7550" s="1">
        <v>-1.5714999999999999</v>
      </c>
    </row>
    <row r="7551" spans="1:9" x14ac:dyDescent="0.35">
      <c r="A7551" s="3">
        <v>42499</v>
      </c>
      <c r="B7551" s="1" t="s">
        <v>2160</v>
      </c>
      <c r="C7551" s="1" t="s">
        <v>93</v>
      </c>
      <c r="D7551" s="1" t="s">
        <v>52</v>
      </c>
      <c r="E7551" s="1" t="s">
        <v>29</v>
      </c>
      <c r="F7551" s="2" t="s">
        <v>2286</v>
      </c>
      <c r="G7551" s="1">
        <v>21.204000000000001</v>
      </c>
      <c r="H7551" s="1">
        <v>3</v>
      </c>
      <c r="I7551" s="1">
        <v>-11.6622</v>
      </c>
    </row>
    <row r="7552" spans="1:9" x14ac:dyDescent="0.35">
      <c r="A7552" s="3" t="s">
        <v>3782</v>
      </c>
      <c r="B7552" s="1" t="s">
        <v>1923</v>
      </c>
      <c r="C7552" s="1" t="s">
        <v>135</v>
      </c>
      <c r="D7552" s="1" t="s">
        <v>136</v>
      </c>
      <c r="E7552" s="1" t="s">
        <v>87</v>
      </c>
      <c r="F7552" s="2" t="s">
        <v>2874</v>
      </c>
      <c r="G7552" s="1">
        <v>34.74</v>
      </c>
      <c r="H7552" s="1">
        <v>3</v>
      </c>
      <c r="I7552" s="1">
        <v>17.37</v>
      </c>
    </row>
    <row r="7553" spans="1:9" x14ac:dyDescent="0.35">
      <c r="A7553" s="3" t="s">
        <v>3782</v>
      </c>
      <c r="B7553" s="1" t="s">
        <v>1923</v>
      </c>
      <c r="C7553" s="1" t="s">
        <v>135</v>
      </c>
      <c r="D7553" s="1" t="s">
        <v>136</v>
      </c>
      <c r="E7553" s="1" t="s">
        <v>33</v>
      </c>
      <c r="F7553" s="2" t="s">
        <v>1473</v>
      </c>
      <c r="G7553" s="1">
        <v>833.94</v>
      </c>
      <c r="H7553" s="1">
        <v>6</v>
      </c>
      <c r="I7553" s="1">
        <v>216.8244</v>
      </c>
    </row>
    <row r="7554" spans="1:9" x14ac:dyDescent="0.35">
      <c r="A7554" s="3" t="s">
        <v>3782</v>
      </c>
      <c r="B7554" s="1" t="s">
        <v>1923</v>
      </c>
      <c r="C7554" s="1" t="s">
        <v>135</v>
      </c>
      <c r="D7554" s="1" t="s">
        <v>136</v>
      </c>
      <c r="E7554" s="1" t="s">
        <v>35</v>
      </c>
      <c r="F7554" s="2" t="s">
        <v>1377</v>
      </c>
      <c r="G7554" s="1">
        <v>12.96</v>
      </c>
      <c r="H7554" s="1">
        <v>3</v>
      </c>
      <c r="I7554" s="1">
        <v>4.5359999999999996</v>
      </c>
    </row>
    <row r="7555" spans="1:9" x14ac:dyDescent="0.35">
      <c r="A7555" s="3" t="s">
        <v>3782</v>
      </c>
      <c r="B7555" s="1" t="s">
        <v>1923</v>
      </c>
      <c r="C7555" s="1" t="s">
        <v>135</v>
      </c>
      <c r="D7555" s="1" t="s">
        <v>136</v>
      </c>
      <c r="E7555" s="1" t="s">
        <v>44</v>
      </c>
      <c r="F7555" s="2" t="s">
        <v>2314</v>
      </c>
      <c r="G7555" s="1">
        <v>25.92</v>
      </c>
      <c r="H7555" s="1">
        <v>4</v>
      </c>
      <c r="I7555" s="1">
        <v>12.441599999999999</v>
      </c>
    </row>
    <row r="7556" spans="1:9" x14ac:dyDescent="0.35">
      <c r="A7556" s="3">
        <v>41917</v>
      </c>
      <c r="B7556" s="1" t="s">
        <v>1178</v>
      </c>
      <c r="C7556" s="1" t="s">
        <v>74</v>
      </c>
      <c r="D7556" s="1" t="s">
        <v>75</v>
      </c>
      <c r="E7556" s="1" t="s">
        <v>12</v>
      </c>
      <c r="F7556" s="2" t="s">
        <v>1512</v>
      </c>
      <c r="G7556" s="1">
        <v>349.96499999999997</v>
      </c>
      <c r="H7556" s="1">
        <v>7</v>
      </c>
      <c r="I7556" s="1">
        <v>-216.97829999999999</v>
      </c>
    </row>
    <row r="7557" spans="1:9" x14ac:dyDescent="0.35">
      <c r="A7557" s="3">
        <v>41917</v>
      </c>
      <c r="B7557" s="1" t="s">
        <v>1178</v>
      </c>
      <c r="C7557" s="1" t="s">
        <v>74</v>
      </c>
      <c r="D7557" s="1" t="s">
        <v>75</v>
      </c>
      <c r="E7557" s="1" t="s">
        <v>31</v>
      </c>
      <c r="F7557" s="2" t="s">
        <v>1360</v>
      </c>
      <c r="G7557" s="1">
        <v>22.32</v>
      </c>
      <c r="H7557" s="1">
        <v>5</v>
      </c>
      <c r="I7557" s="1">
        <v>5.3010000000000002</v>
      </c>
    </row>
    <row r="7558" spans="1:9" x14ac:dyDescent="0.35">
      <c r="A7558" s="3" t="s">
        <v>3227</v>
      </c>
      <c r="B7558" s="1" t="s">
        <v>1228</v>
      </c>
      <c r="C7558" s="1" t="s">
        <v>249</v>
      </c>
      <c r="D7558" s="1" t="s">
        <v>129</v>
      </c>
      <c r="E7558" s="1" t="s">
        <v>44</v>
      </c>
      <c r="F7558" s="2" t="s">
        <v>1603</v>
      </c>
      <c r="G7558" s="1">
        <v>158.28</v>
      </c>
      <c r="H7558" s="1">
        <v>6</v>
      </c>
      <c r="I7558" s="1">
        <v>72.808800000000005</v>
      </c>
    </row>
    <row r="7559" spans="1:9" x14ac:dyDescent="0.35">
      <c r="A7559" s="3" t="s">
        <v>3227</v>
      </c>
      <c r="B7559" s="1" t="s">
        <v>1228</v>
      </c>
      <c r="C7559" s="1" t="s">
        <v>249</v>
      </c>
      <c r="D7559" s="1" t="s">
        <v>129</v>
      </c>
      <c r="E7559" s="1" t="s">
        <v>35</v>
      </c>
      <c r="F7559" s="2" t="s">
        <v>1505</v>
      </c>
      <c r="G7559" s="1">
        <v>497.94</v>
      </c>
      <c r="H7559" s="1">
        <v>3</v>
      </c>
      <c r="I7559" s="1">
        <v>224.07300000000001</v>
      </c>
    </row>
    <row r="7560" spans="1:9" x14ac:dyDescent="0.35">
      <c r="A7560" s="3">
        <v>41650</v>
      </c>
      <c r="B7560" s="1" t="s">
        <v>1281</v>
      </c>
      <c r="C7560" s="1" t="s">
        <v>559</v>
      </c>
      <c r="D7560" s="1" t="s">
        <v>136</v>
      </c>
      <c r="E7560" s="1" t="s">
        <v>37</v>
      </c>
      <c r="F7560" s="2" t="s">
        <v>343</v>
      </c>
      <c r="G7560" s="1">
        <v>533.94000000000005</v>
      </c>
      <c r="H7560" s="1">
        <v>3</v>
      </c>
      <c r="I7560" s="1">
        <v>154.8426</v>
      </c>
    </row>
    <row r="7561" spans="1:9" x14ac:dyDescent="0.35">
      <c r="A7561" s="3">
        <v>41650</v>
      </c>
      <c r="B7561" s="1" t="s">
        <v>1281</v>
      </c>
      <c r="C7561" s="1" t="s">
        <v>559</v>
      </c>
      <c r="D7561" s="1" t="s">
        <v>136</v>
      </c>
      <c r="E7561" s="1" t="s">
        <v>44</v>
      </c>
      <c r="F7561" s="2" t="s">
        <v>1621</v>
      </c>
      <c r="G7561" s="1">
        <v>167.94</v>
      </c>
      <c r="H7561" s="1">
        <v>3</v>
      </c>
      <c r="I7561" s="1">
        <v>82.290599999999998</v>
      </c>
    </row>
    <row r="7562" spans="1:9" x14ac:dyDescent="0.35">
      <c r="A7562" s="3">
        <v>41650</v>
      </c>
      <c r="B7562" s="1" t="s">
        <v>1281</v>
      </c>
      <c r="C7562" s="1" t="s">
        <v>559</v>
      </c>
      <c r="D7562" s="1" t="s">
        <v>136</v>
      </c>
      <c r="E7562" s="1" t="s">
        <v>29</v>
      </c>
      <c r="F7562" s="2" t="s">
        <v>2027</v>
      </c>
      <c r="G7562" s="1">
        <v>31.68</v>
      </c>
      <c r="H7562" s="1">
        <v>6</v>
      </c>
      <c r="I7562" s="1">
        <v>9.8208000000000002</v>
      </c>
    </row>
    <row r="7563" spans="1:9" x14ac:dyDescent="0.35">
      <c r="A7563" s="3" t="s">
        <v>3507</v>
      </c>
      <c r="B7563" s="1" t="s">
        <v>834</v>
      </c>
      <c r="C7563" s="1" t="s">
        <v>1114</v>
      </c>
      <c r="D7563" s="1" t="s">
        <v>75</v>
      </c>
      <c r="E7563" s="1" t="s">
        <v>14</v>
      </c>
      <c r="F7563" s="2" t="s">
        <v>15</v>
      </c>
      <c r="G7563" s="1">
        <v>170.786</v>
      </c>
      <c r="H7563" s="1">
        <v>1</v>
      </c>
      <c r="I7563" s="1">
        <v>0</v>
      </c>
    </row>
    <row r="7564" spans="1:9" x14ac:dyDescent="0.35">
      <c r="A7564" s="3">
        <v>42438</v>
      </c>
      <c r="B7564" s="1" t="s">
        <v>1000</v>
      </c>
      <c r="C7564" s="1" t="s">
        <v>154</v>
      </c>
      <c r="D7564" s="1" t="s">
        <v>106</v>
      </c>
      <c r="E7564" s="1" t="s">
        <v>12</v>
      </c>
      <c r="F7564" s="2" t="s">
        <v>2730</v>
      </c>
      <c r="G7564" s="1">
        <v>198.744</v>
      </c>
      <c r="H7564" s="1">
        <v>4</v>
      </c>
      <c r="I7564" s="1">
        <v>0</v>
      </c>
    </row>
    <row r="7565" spans="1:9" x14ac:dyDescent="0.35">
      <c r="A7565" s="3">
        <v>42865</v>
      </c>
      <c r="B7565" s="1" t="s">
        <v>714</v>
      </c>
      <c r="C7565" s="1" t="s">
        <v>395</v>
      </c>
      <c r="D7565" s="1" t="s">
        <v>229</v>
      </c>
      <c r="E7565" s="1" t="s">
        <v>81</v>
      </c>
      <c r="F7565" s="2" t="s">
        <v>1195</v>
      </c>
      <c r="G7565" s="1">
        <v>63.823999999999998</v>
      </c>
      <c r="H7565" s="1">
        <v>2</v>
      </c>
      <c r="I7565" s="1">
        <v>13.5626</v>
      </c>
    </row>
    <row r="7566" spans="1:9" x14ac:dyDescent="0.35">
      <c r="A7566" s="3" t="s">
        <v>3289</v>
      </c>
      <c r="B7566" s="1" t="s">
        <v>2241</v>
      </c>
      <c r="C7566" s="1" t="s">
        <v>47</v>
      </c>
      <c r="D7566" s="1" t="s">
        <v>48</v>
      </c>
      <c r="E7566" s="1" t="s">
        <v>14</v>
      </c>
      <c r="F7566" s="2" t="s">
        <v>2233</v>
      </c>
      <c r="G7566" s="1">
        <v>435.16800000000001</v>
      </c>
      <c r="H7566" s="1">
        <v>4</v>
      </c>
      <c r="I7566" s="1">
        <v>-59.835599999999999</v>
      </c>
    </row>
    <row r="7567" spans="1:9" x14ac:dyDescent="0.35">
      <c r="A7567" s="3" t="s">
        <v>3289</v>
      </c>
      <c r="B7567" s="1" t="s">
        <v>2241</v>
      </c>
      <c r="C7567" s="1" t="s">
        <v>47</v>
      </c>
      <c r="D7567" s="1" t="s">
        <v>48</v>
      </c>
      <c r="E7567" s="1" t="s">
        <v>12</v>
      </c>
      <c r="F7567" s="2" t="s">
        <v>1979</v>
      </c>
      <c r="G7567" s="1">
        <v>48.58</v>
      </c>
      <c r="H7567" s="1">
        <v>1</v>
      </c>
      <c r="I7567" s="1">
        <v>7.7728000000000002</v>
      </c>
    </row>
    <row r="7568" spans="1:9" x14ac:dyDescent="0.35">
      <c r="A7568" s="3" t="s">
        <v>3439</v>
      </c>
      <c r="B7568" s="1" t="s">
        <v>1686</v>
      </c>
      <c r="C7568" s="1" t="s">
        <v>93</v>
      </c>
      <c r="D7568" s="1" t="s">
        <v>52</v>
      </c>
      <c r="E7568" s="1" t="s">
        <v>81</v>
      </c>
      <c r="F7568" s="2" t="s">
        <v>198</v>
      </c>
      <c r="G7568" s="1">
        <v>47.975999999999999</v>
      </c>
      <c r="H7568" s="1">
        <v>3</v>
      </c>
      <c r="I7568" s="1">
        <v>8.3957999999999995</v>
      </c>
    </row>
    <row r="7569" spans="1:9" x14ac:dyDescent="0.35">
      <c r="A7569" s="3" t="s">
        <v>3439</v>
      </c>
      <c r="B7569" s="1" t="s">
        <v>1686</v>
      </c>
      <c r="C7569" s="1" t="s">
        <v>93</v>
      </c>
      <c r="D7569" s="1" t="s">
        <v>52</v>
      </c>
      <c r="E7569" s="1" t="s">
        <v>44</v>
      </c>
      <c r="F7569" s="2" t="s">
        <v>2468</v>
      </c>
      <c r="G7569" s="1">
        <v>20.736000000000001</v>
      </c>
      <c r="H7569" s="1">
        <v>4</v>
      </c>
      <c r="I7569" s="1">
        <v>7.2576000000000001</v>
      </c>
    </row>
    <row r="7570" spans="1:9" x14ac:dyDescent="0.35">
      <c r="A7570" s="3">
        <v>41771</v>
      </c>
      <c r="B7570" s="1" t="s">
        <v>845</v>
      </c>
      <c r="C7570" s="1" t="s">
        <v>17</v>
      </c>
      <c r="D7570" s="1" t="s">
        <v>18</v>
      </c>
      <c r="E7570" s="1" t="s">
        <v>31</v>
      </c>
      <c r="F7570" s="2" t="s">
        <v>772</v>
      </c>
      <c r="G7570" s="1">
        <v>26.46</v>
      </c>
      <c r="H7570" s="1">
        <v>9</v>
      </c>
      <c r="I7570" s="1">
        <v>11.907</v>
      </c>
    </row>
    <row r="7571" spans="1:9" x14ac:dyDescent="0.35">
      <c r="A7571" s="3">
        <v>41771</v>
      </c>
      <c r="B7571" s="1" t="s">
        <v>845</v>
      </c>
      <c r="C7571" s="1" t="s">
        <v>17</v>
      </c>
      <c r="D7571" s="1" t="s">
        <v>18</v>
      </c>
      <c r="E7571" s="1" t="s">
        <v>44</v>
      </c>
      <c r="F7571" s="2" t="s">
        <v>2727</v>
      </c>
      <c r="G7571" s="1">
        <v>49.12</v>
      </c>
      <c r="H7571" s="1">
        <v>4</v>
      </c>
      <c r="I7571" s="1">
        <v>23.086400000000001</v>
      </c>
    </row>
    <row r="7572" spans="1:9" x14ac:dyDescent="0.35">
      <c r="A7572" s="3">
        <v>41771</v>
      </c>
      <c r="B7572" s="1" t="s">
        <v>845</v>
      </c>
      <c r="C7572" s="1" t="s">
        <v>17</v>
      </c>
      <c r="D7572" s="1" t="s">
        <v>18</v>
      </c>
      <c r="E7572" s="1" t="s">
        <v>137</v>
      </c>
      <c r="F7572" s="2" t="s">
        <v>1157</v>
      </c>
      <c r="G7572" s="1">
        <v>15</v>
      </c>
      <c r="H7572" s="1">
        <v>3</v>
      </c>
      <c r="I7572" s="1">
        <v>7.2</v>
      </c>
    </row>
    <row r="7573" spans="1:9" x14ac:dyDescent="0.35">
      <c r="A7573" s="3" t="s">
        <v>3713</v>
      </c>
      <c r="B7573" s="1" t="s">
        <v>1426</v>
      </c>
      <c r="C7573" s="1" t="s">
        <v>2227</v>
      </c>
      <c r="D7573" s="1" t="s">
        <v>163</v>
      </c>
      <c r="E7573" s="1" t="s">
        <v>26</v>
      </c>
      <c r="F7573" s="2" t="s">
        <v>109</v>
      </c>
      <c r="G7573" s="1">
        <v>194.7</v>
      </c>
      <c r="H7573" s="1">
        <v>5</v>
      </c>
      <c r="I7573" s="1">
        <v>9.7349999999999994</v>
      </c>
    </row>
    <row r="7574" spans="1:9" x14ac:dyDescent="0.35">
      <c r="A7574" s="3" t="s">
        <v>3713</v>
      </c>
      <c r="B7574" s="1" t="s">
        <v>1426</v>
      </c>
      <c r="C7574" s="1" t="s">
        <v>2227</v>
      </c>
      <c r="D7574" s="1" t="s">
        <v>163</v>
      </c>
      <c r="E7574" s="1" t="s">
        <v>24</v>
      </c>
      <c r="F7574" s="2" t="s">
        <v>1862</v>
      </c>
      <c r="G7574" s="1">
        <v>591.32000000000005</v>
      </c>
      <c r="H7574" s="1">
        <v>4</v>
      </c>
      <c r="I7574" s="1">
        <v>112.35080000000001</v>
      </c>
    </row>
    <row r="7575" spans="1:9" x14ac:dyDescent="0.35">
      <c r="A7575" s="3" t="s">
        <v>3713</v>
      </c>
      <c r="B7575" s="1" t="s">
        <v>1426</v>
      </c>
      <c r="C7575" s="1" t="s">
        <v>2227</v>
      </c>
      <c r="D7575" s="1" t="s">
        <v>163</v>
      </c>
      <c r="E7575" s="1" t="s">
        <v>31</v>
      </c>
      <c r="F7575" s="2" t="s">
        <v>1492</v>
      </c>
      <c r="G7575" s="1">
        <v>2.84</v>
      </c>
      <c r="H7575" s="1">
        <v>1</v>
      </c>
      <c r="I7575" s="1">
        <v>0.88039999999999996</v>
      </c>
    </row>
    <row r="7576" spans="1:9" x14ac:dyDescent="0.35">
      <c r="A7576" s="3">
        <v>42228</v>
      </c>
      <c r="B7576" s="1" t="s">
        <v>1632</v>
      </c>
      <c r="C7576" s="1" t="s">
        <v>17</v>
      </c>
      <c r="D7576" s="1" t="s">
        <v>18</v>
      </c>
      <c r="E7576" s="1" t="s">
        <v>26</v>
      </c>
      <c r="F7576" s="2" t="s">
        <v>58</v>
      </c>
      <c r="G7576" s="1">
        <v>221.96</v>
      </c>
      <c r="H7576" s="1">
        <v>2</v>
      </c>
      <c r="I7576" s="1">
        <v>4.4391999999999996</v>
      </c>
    </row>
    <row r="7577" spans="1:9" x14ac:dyDescent="0.35">
      <c r="A7577" s="3">
        <v>42228</v>
      </c>
      <c r="B7577" s="1" t="s">
        <v>1632</v>
      </c>
      <c r="C7577" s="1" t="s">
        <v>17</v>
      </c>
      <c r="D7577" s="1" t="s">
        <v>18</v>
      </c>
      <c r="E7577" s="1" t="s">
        <v>81</v>
      </c>
      <c r="F7577" s="2" t="s">
        <v>1699</v>
      </c>
      <c r="G7577" s="1">
        <v>236</v>
      </c>
      <c r="H7577" s="1">
        <v>4</v>
      </c>
      <c r="I7577" s="1">
        <v>40.119999999999997</v>
      </c>
    </row>
    <row r="7578" spans="1:9" x14ac:dyDescent="0.35">
      <c r="A7578" s="3">
        <v>41681</v>
      </c>
      <c r="B7578" s="1" t="s">
        <v>1482</v>
      </c>
      <c r="C7578" s="1" t="s">
        <v>47</v>
      </c>
      <c r="D7578" s="1" t="s">
        <v>48</v>
      </c>
      <c r="E7578" s="1" t="s">
        <v>81</v>
      </c>
      <c r="F7578" s="2" t="s">
        <v>1537</v>
      </c>
      <c r="G7578" s="1">
        <v>41.94</v>
      </c>
      <c r="H7578" s="1">
        <v>2</v>
      </c>
      <c r="I7578" s="1">
        <v>15.0984</v>
      </c>
    </row>
    <row r="7579" spans="1:9" x14ac:dyDescent="0.35">
      <c r="A7579" s="3">
        <v>41681</v>
      </c>
      <c r="B7579" s="1" t="s">
        <v>1482</v>
      </c>
      <c r="C7579" s="1" t="s">
        <v>47</v>
      </c>
      <c r="D7579" s="1" t="s">
        <v>48</v>
      </c>
      <c r="E7579" s="1" t="s">
        <v>33</v>
      </c>
      <c r="F7579" s="2" t="s">
        <v>1651</v>
      </c>
      <c r="G7579" s="1">
        <v>52.792000000000002</v>
      </c>
      <c r="H7579" s="1">
        <v>1</v>
      </c>
      <c r="I7579" s="1">
        <v>4.6193</v>
      </c>
    </row>
    <row r="7580" spans="1:9" x14ac:dyDescent="0.35">
      <c r="A7580" s="3" t="s">
        <v>3406</v>
      </c>
      <c r="B7580" s="1" t="s">
        <v>214</v>
      </c>
      <c r="C7580" s="1" t="s">
        <v>1138</v>
      </c>
      <c r="D7580" s="1" t="s">
        <v>70</v>
      </c>
      <c r="E7580" s="1" t="s">
        <v>14</v>
      </c>
      <c r="F7580" s="2" t="s">
        <v>891</v>
      </c>
      <c r="G7580" s="1">
        <v>563.94000000000005</v>
      </c>
      <c r="H7580" s="1">
        <v>3</v>
      </c>
      <c r="I7580" s="1">
        <v>112.788</v>
      </c>
    </row>
    <row r="7581" spans="1:9" x14ac:dyDescent="0.35">
      <c r="A7581" s="3" t="s">
        <v>3783</v>
      </c>
      <c r="B7581" s="1" t="s">
        <v>951</v>
      </c>
      <c r="C7581" s="1" t="s">
        <v>482</v>
      </c>
      <c r="D7581" s="1" t="s">
        <v>388</v>
      </c>
      <c r="E7581" s="1" t="s">
        <v>37</v>
      </c>
      <c r="F7581" s="2" t="s">
        <v>2902</v>
      </c>
      <c r="G7581" s="1">
        <v>2625.12</v>
      </c>
      <c r="H7581" s="1">
        <v>8</v>
      </c>
      <c r="I7581" s="1">
        <v>735.03359999999998</v>
      </c>
    </row>
    <row r="7582" spans="1:9" x14ac:dyDescent="0.35">
      <c r="A7582" s="3" t="s">
        <v>3783</v>
      </c>
      <c r="B7582" s="1" t="s">
        <v>951</v>
      </c>
      <c r="C7582" s="1" t="s">
        <v>482</v>
      </c>
      <c r="D7582" s="1" t="s">
        <v>388</v>
      </c>
      <c r="E7582" s="1" t="s">
        <v>31</v>
      </c>
      <c r="F7582" s="2" t="s">
        <v>1483</v>
      </c>
      <c r="G7582" s="1">
        <v>17.940000000000001</v>
      </c>
      <c r="H7582" s="1">
        <v>3</v>
      </c>
      <c r="I7582" s="1">
        <v>4.4850000000000003</v>
      </c>
    </row>
    <row r="7583" spans="1:9" x14ac:dyDescent="0.35">
      <c r="A7583" s="3" t="s">
        <v>3376</v>
      </c>
      <c r="B7583" s="1" t="s">
        <v>2636</v>
      </c>
      <c r="C7583" s="1" t="s">
        <v>74</v>
      </c>
      <c r="D7583" s="1" t="s">
        <v>75</v>
      </c>
      <c r="E7583" s="1" t="s">
        <v>26</v>
      </c>
      <c r="F7583" s="2" t="s">
        <v>1241</v>
      </c>
      <c r="G7583" s="1">
        <v>422.85599999999999</v>
      </c>
      <c r="H7583" s="1">
        <v>3</v>
      </c>
      <c r="I7583" s="1">
        <v>15.857100000000001</v>
      </c>
    </row>
    <row r="7584" spans="1:9" x14ac:dyDescent="0.35">
      <c r="A7584" s="3" t="s">
        <v>3627</v>
      </c>
      <c r="B7584" s="1" t="s">
        <v>2392</v>
      </c>
      <c r="C7584" s="1" t="s">
        <v>135</v>
      </c>
      <c r="D7584" s="1" t="s">
        <v>136</v>
      </c>
      <c r="E7584" s="1" t="s">
        <v>14</v>
      </c>
      <c r="F7584" s="2" t="s">
        <v>144</v>
      </c>
      <c r="G7584" s="1">
        <v>127.764</v>
      </c>
      <c r="H7584" s="1">
        <v>2</v>
      </c>
      <c r="I7584" s="1">
        <v>2.8391999999999999</v>
      </c>
    </row>
    <row r="7585" spans="1:9" x14ac:dyDescent="0.35">
      <c r="A7585" s="3" t="s">
        <v>3652</v>
      </c>
      <c r="B7585" s="1" t="s">
        <v>488</v>
      </c>
      <c r="C7585" s="1" t="s">
        <v>162</v>
      </c>
      <c r="D7585" s="1" t="s">
        <v>163</v>
      </c>
      <c r="E7585" s="1" t="s">
        <v>33</v>
      </c>
      <c r="F7585" s="2" t="s">
        <v>2623</v>
      </c>
      <c r="G7585" s="1">
        <v>3499.93</v>
      </c>
      <c r="H7585" s="1">
        <v>7</v>
      </c>
      <c r="I7585" s="1">
        <v>909.98180000000002</v>
      </c>
    </row>
    <row r="7586" spans="1:9" x14ac:dyDescent="0.35">
      <c r="A7586" s="3" t="s">
        <v>3652</v>
      </c>
      <c r="B7586" s="1" t="s">
        <v>488</v>
      </c>
      <c r="C7586" s="1" t="s">
        <v>162</v>
      </c>
      <c r="D7586" s="1" t="s">
        <v>163</v>
      </c>
      <c r="E7586" s="1" t="s">
        <v>19</v>
      </c>
      <c r="F7586" s="2" t="s">
        <v>2612</v>
      </c>
      <c r="G7586" s="1">
        <v>14.4</v>
      </c>
      <c r="H7586" s="1">
        <v>5</v>
      </c>
      <c r="I7586" s="1">
        <v>6.6239999999999997</v>
      </c>
    </row>
    <row r="7587" spans="1:9" x14ac:dyDescent="0.35">
      <c r="A7587" s="3" t="s">
        <v>3652</v>
      </c>
      <c r="B7587" s="1" t="s">
        <v>488</v>
      </c>
      <c r="C7587" s="1" t="s">
        <v>162</v>
      </c>
      <c r="D7587" s="1" t="s">
        <v>163</v>
      </c>
      <c r="E7587" s="1" t="s">
        <v>44</v>
      </c>
      <c r="F7587" s="2" t="s">
        <v>1879</v>
      </c>
      <c r="G7587" s="1">
        <v>122.97</v>
      </c>
      <c r="H7587" s="1">
        <v>3</v>
      </c>
      <c r="I7587" s="1">
        <v>60.255299999999998</v>
      </c>
    </row>
    <row r="7588" spans="1:9" x14ac:dyDescent="0.35">
      <c r="A7588" s="3" t="s">
        <v>3652</v>
      </c>
      <c r="B7588" s="1" t="s">
        <v>488</v>
      </c>
      <c r="C7588" s="1" t="s">
        <v>162</v>
      </c>
      <c r="D7588" s="1" t="s">
        <v>163</v>
      </c>
      <c r="E7588" s="1" t="s">
        <v>31</v>
      </c>
      <c r="F7588" s="2" t="s">
        <v>695</v>
      </c>
      <c r="G7588" s="1">
        <v>9.32</v>
      </c>
      <c r="H7588" s="1">
        <v>4</v>
      </c>
      <c r="I7588" s="1">
        <v>2.7027999999999999</v>
      </c>
    </row>
    <row r="7589" spans="1:9" x14ac:dyDescent="0.35">
      <c r="A7589" s="3" t="s">
        <v>3652</v>
      </c>
      <c r="B7589" s="1" t="s">
        <v>488</v>
      </c>
      <c r="C7589" s="1" t="s">
        <v>162</v>
      </c>
      <c r="D7589" s="1" t="s">
        <v>163</v>
      </c>
      <c r="E7589" s="1" t="s">
        <v>35</v>
      </c>
      <c r="F7589" s="2" t="s">
        <v>1364</v>
      </c>
      <c r="G7589" s="1">
        <v>122.94</v>
      </c>
      <c r="H7589" s="1">
        <v>3</v>
      </c>
      <c r="I7589" s="1">
        <v>59.011200000000002</v>
      </c>
    </row>
    <row r="7590" spans="1:9" x14ac:dyDescent="0.35">
      <c r="A7590" s="3" t="s">
        <v>3283</v>
      </c>
      <c r="B7590" s="1" t="s">
        <v>1679</v>
      </c>
      <c r="C7590" s="1" t="s">
        <v>283</v>
      </c>
      <c r="D7590" s="1" t="s">
        <v>18</v>
      </c>
      <c r="E7590" s="1" t="s">
        <v>29</v>
      </c>
      <c r="F7590" s="2" t="s">
        <v>1899</v>
      </c>
      <c r="G7590" s="1">
        <v>17.309999999999999</v>
      </c>
      <c r="H7590" s="1">
        <v>3</v>
      </c>
      <c r="I7590" s="1">
        <v>5.1929999999999996</v>
      </c>
    </row>
    <row r="7591" spans="1:9" x14ac:dyDescent="0.35">
      <c r="A7591" s="3" t="s">
        <v>3149</v>
      </c>
      <c r="B7591" s="1" t="s">
        <v>2685</v>
      </c>
      <c r="C7591" s="1" t="s">
        <v>1354</v>
      </c>
      <c r="D7591" s="1" t="s">
        <v>106</v>
      </c>
      <c r="E7591" s="1" t="s">
        <v>31</v>
      </c>
      <c r="F7591" s="2" t="s">
        <v>2050</v>
      </c>
      <c r="G7591" s="1">
        <v>128.744</v>
      </c>
      <c r="H7591" s="1">
        <v>7</v>
      </c>
      <c r="I7591" s="1">
        <v>12.8744</v>
      </c>
    </row>
    <row r="7592" spans="1:9" x14ac:dyDescent="0.35">
      <c r="A7592" s="3">
        <v>42499</v>
      </c>
      <c r="B7592" s="1" t="s">
        <v>828</v>
      </c>
      <c r="C7592" s="1" t="s">
        <v>74</v>
      </c>
      <c r="D7592" s="1" t="s">
        <v>75</v>
      </c>
      <c r="E7592" s="1" t="s">
        <v>29</v>
      </c>
      <c r="F7592" s="2" t="s">
        <v>177</v>
      </c>
      <c r="G7592" s="1">
        <v>58.247999999999998</v>
      </c>
      <c r="H7592" s="1">
        <v>9</v>
      </c>
      <c r="I7592" s="1">
        <v>11.6496</v>
      </c>
    </row>
    <row r="7593" spans="1:9" x14ac:dyDescent="0.35">
      <c r="A7593" s="3">
        <v>42499</v>
      </c>
      <c r="B7593" s="1" t="s">
        <v>828</v>
      </c>
      <c r="C7593" s="1" t="s">
        <v>74</v>
      </c>
      <c r="D7593" s="1" t="s">
        <v>75</v>
      </c>
      <c r="E7593" s="1" t="s">
        <v>14</v>
      </c>
      <c r="F7593" s="2" t="s">
        <v>276</v>
      </c>
      <c r="G7593" s="1">
        <v>71.245999999999995</v>
      </c>
      <c r="H7593" s="1">
        <v>2</v>
      </c>
      <c r="I7593" s="1">
        <v>-19.338200000000001</v>
      </c>
    </row>
    <row r="7594" spans="1:9" x14ac:dyDescent="0.35">
      <c r="A7594" s="3">
        <v>42499</v>
      </c>
      <c r="B7594" s="1" t="s">
        <v>828</v>
      </c>
      <c r="C7594" s="1" t="s">
        <v>74</v>
      </c>
      <c r="D7594" s="1" t="s">
        <v>75</v>
      </c>
      <c r="E7594" s="1" t="s">
        <v>31</v>
      </c>
      <c r="F7594" s="2" t="s">
        <v>1622</v>
      </c>
      <c r="G7594" s="1">
        <v>7.8719999999999999</v>
      </c>
      <c r="H7594" s="1">
        <v>3</v>
      </c>
      <c r="I7594" s="1">
        <v>0.59040000000000004</v>
      </c>
    </row>
    <row r="7595" spans="1:9" x14ac:dyDescent="0.35">
      <c r="A7595" s="3">
        <v>42499</v>
      </c>
      <c r="B7595" s="1" t="s">
        <v>828</v>
      </c>
      <c r="C7595" s="1" t="s">
        <v>74</v>
      </c>
      <c r="D7595" s="1" t="s">
        <v>75</v>
      </c>
      <c r="E7595" s="1" t="s">
        <v>14</v>
      </c>
      <c r="F7595" s="2" t="s">
        <v>1330</v>
      </c>
      <c r="G7595" s="1">
        <v>887.27099999999996</v>
      </c>
      <c r="H7595" s="1">
        <v>3</v>
      </c>
      <c r="I7595" s="1">
        <v>-63.3765</v>
      </c>
    </row>
    <row r="7596" spans="1:9" x14ac:dyDescent="0.35">
      <c r="A7596" s="3" t="s">
        <v>3699</v>
      </c>
      <c r="B7596" s="1" t="s">
        <v>2194</v>
      </c>
      <c r="C7596" s="1" t="s">
        <v>429</v>
      </c>
      <c r="D7596" s="1" t="s">
        <v>120</v>
      </c>
      <c r="E7596" s="1" t="s">
        <v>35</v>
      </c>
      <c r="F7596" s="2" t="s">
        <v>962</v>
      </c>
      <c r="G7596" s="1">
        <v>146.86000000000001</v>
      </c>
      <c r="H7596" s="1">
        <v>7</v>
      </c>
      <c r="I7596" s="1">
        <v>70.492800000000003</v>
      </c>
    </row>
    <row r="7597" spans="1:9" x14ac:dyDescent="0.35">
      <c r="A7597" s="3" t="s">
        <v>3699</v>
      </c>
      <c r="B7597" s="1" t="s">
        <v>2194</v>
      </c>
      <c r="C7597" s="1" t="s">
        <v>429</v>
      </c>
      <c r="D7597" s="1" t="s">
        <v>120</v>
      </c>
      <c r="E7597" s="1" t="s">
        <v>35</v>
      </c>
      <c r="F7597" s="2" t="s">
        <v>1102</v>
      </c>
      <c r="G7597" s="1">
        <v>36.56</v>
      </c>
      <c r="H7597" s="1">
        <v>4</v>
      </c>
      <c r="I7597" s="1">
        <v>18.28</v>
      </c>
    </row>
    <row r="7598" spans="1:9" x14ac:dyDescent="0.35">
      <c r="A7598" s="3" t="s">
        <v>3469</v>
      </c>
      <c r="B7598" s="1" t="s">
        <v>561</v>
      </c>
      <c r="C7598" s="1" t="s">
        <v>17</v>
      </c>
      <c r="D7598" s="1" t="s">
        <v>18</v>
      </c>
      <c r="E7598" s="1" t="s">
        <v>33</v>
      </c>
      <c r="F7598" s="2" t="s">
        <v>957</v>
      </c>
      <c r="G7598" s="1">
        <v>225.57599999999999</v>
      </c>
      <c r="H7598" s="1">
        <v>3</v>
      </c>
      <c r="I7598" s="1">
        <v>22.557600000000001</v>
      </c>
    </row>
    <row r="7599" spans="1:9" x14ac:dyDescent="0.35">
      <c r="A7599" s="3" t="s">
        <v>3362</v>
      </c>
      <c r="B7599" s="1" t="s">
        <v>1279</v>
      </c>
      <c r="C7599" s="1" t="s">
        <v>162</v>
      </c>
      <c r="D7599" s="1" t="s">
        <v>212</v>
      </c>
      <c r="E7599" s="1" t="s">
        <v>31</v>
      </c>
      <c r="F7599" s="2" t="s">
        <v>2240</v>
      </c>
      <c r="G7599" s="1">
        <v>5.2480000000000002</v>
      </c>
      <c r="H7599" s="1">
        <v>2</v>
      </c>
      <c r="I7599" s="1">
        <v>0.4592</v>
      </c>
    </row>
    <row r="7600" spans="1:9" x14ac:dyDescent="0.35">
      <c r="A7600" s="3" t="s">
        <v>3362</v>
      </c>
      <c r="B7600" s="1" t="s">
        <v>1279</v>
      </c>
      <c r="C7600" s="1" t="s">
        <v>162</v>
      </c>
      <c r="D7600" s="1" t="s">
        <v>212</v>
      </c>
      <c r="E7600" s="1" t="s">
        <v>31</v>
      </c>
      <c r="F7600" s="2" t="s">
        <v>1594</v>
      </c>
      <c r="G7600" s="1">
        <v>38.256</v>
      </c>
      <c r="H7600" s="1">
        <v>3</v>
      </c>
      <c r="I7600" s="1">
        <v>4.782</v>
      </c>
    </row>
    <row r="7601" spans="1:9" x14ac:dyDescent="0.35">
      <c r="A7601" s="3" t="s">
        <v>3362</v>
      </c>
      <c r="B7601" s="1" t="s">
        <v>1279</v>
      </c>
      <c r="C7601" s="1" t="s">
        <v>162</v>
      </c>
      <c r="D7601" s="1" t="s">
        <v>212</v>
      </c>
      <c r="E7601" s="1" t="s">
        <v>44</v>
      </c>
      <c r="F7601" s="2" t="s">
        <v>2670</v>
      </c>
      <c r="G7601" s="1">
        <v>40.24</v>
      </c>
      <c r="H7601" s="1">
        <v>5</v>
      </c>
      <c r="I7601" s="1">
        <v>13.077999999999999</v>
      </c>
    </row>
    <row r="7602" spans="1:9" x14ac:dyDescent="0.35">
      <c r="A7602" s="3" t="s">
        <v>3362</v>
      </c>
      <c r="B7602" s="1" t="s">
        <v>1279</v>
      </c>
      <c r="C7602" s="1" t="s">
        <v>162</v>
      </c>
      <c r="D7602" s="1" t="s">
        <v>212</v>
      </c>
      <c r="E7602" s="1" t="s">
        <v>338</v>
      </c>
      <c r="F7602" s="2" t="s">
        <v>3059</v>
      </c>
      <c r="G7602" s="1">
        <v>29.925000000000001</v>
      </c>
      <c r="H7602" s="1">
        <v>5</v>
      </c>
      <c r="I7602" s="1">
        <v>-21.945</v>
      </c>
    </row>
    <row r="7603" spans="1:9" x14ac:dyDescent="0.35">
      <c r="A7603" s="3" t="s">
        <v>3362</v>
      </c>
      <c r="B7603" s="1" t="s">
        <v>1279</v>
      </c>
      <c r="C7603" s="1" t="s">
        <v>162</v>
      </c>
      <c r="D7603" s="1" t="s">
        <v>212</v>
      </c>
      <c r="E7603" s="1" t="s">
        <v>44</v>
      </c>
      <c r="F7603" s="2" t="s">
        <v>627</v>
      </c>
      <c r="G7603" s="1">
        <v>148.70400000000001</v>
      </c>
      <c r="H7603" s="1">
        <v>6</v>
      </c>
      <c r="I7603" s="1">
        <v>46.47</v>
      </c>
    </row>
    <row r="7604" spans="1:9" x14ac:dyDescent="0.35">
      <c r="A7604" s="3" t="s">
        <v>3362</v>
      </c>
      <c r="B7604" s="1" t="s">
        <v>1279</v>
      </c>
      <c r="C7604" s="1" t="s">
        <v>162</v>
      </c>
      <c r="D7604" s="1" t="s">
        <v>212</v>
      </c>
      <c r="E7604" s="1" t="s">
        <v>81</v>
      </c>
      <c r="F7604" s="2" t="s">
        <v>149</v>
      </c>
      <c r="G7604" s="1">
        <v>55.92</v>
      </c>
      <c r="H7604" s="1">
        <v>10</v>
      </c>
      <c r="I7604" s="1">
        <v>16.776</v>
      </c>
    </row>
    <row r="7605" spans="1:9" x14ac:dyDescent="0.35">
      <c r="A7605" s="3">
        <v>42589</v>
      </c>
      <c r="B7605" s="1" t="s">
        <v>2910</v>
      </c>
      <c r="C7605" s="1" t="s">
        <v>1544</v>
      </c>
      <c r="D7605" s="1" t="s">
        <v>663</v>
      </c>
      <c r="E7605" s="1" t="s">
        <v>44</v>
      </c>
      <c r="F7605" s="2" t="s">
        <v>1264</v>
      </c>
      <c r="G7605" s="1">
        <v>12.96</v>
      </c>
      <c r="H7605" s="1">
        <v>2</v>
      </c>
      <c r="I7605" s="1">
        <v>6.2207999999999997</v>
      </c>
    </row>
    <row r="7606" spans="1:9" x14ac:dyDescent="0.35">
      <c r="A7606" s="3" t="s">
        <v>3619</v>
      </c>
      <c r="B7606" s="1" t="s">
        <v>2065</v>
      </c>
      <c r="C7606" s="1" t="s">
        <v>154</v>
      </c>
      <c r="D7606" s="1" t="s">
        <v>106</v>
      </c>
      <c r="E7606" s="1" t="s">
        <v>29</v>
      </c>
      <c r="F7606" s="2" t="s">
        <v>2460</v>
      </c>
      <c r="G7606" s="1">
        <v>25.175999999999998</v>
      </c>
      <c r="H7606" s="1">
        <v>3</v>
      </c>
      <c r="I7606" s="1">
        <v>-33.358199999999997</v>
      </c>
    </row>
    <row r="7607" spans="1:9" x14ac:dyDescent="0.35">
      <c r="A7607" s="3" t="s">
        <v>3619</v>
      </c>
      <c r="B7607" s="1" t="s">
        <v>2065</v>
      </c>
      <c r="C7607" s="1" t="s">
        <v>154</v>
      </c>
      <c r="D7607" s="1" t="s">
        <v>106</v>
      </c>
      <c r="E7607" s="1" t="s">
        <v>29</v>
      </c>
      <c r="F7607" s="2" t="s">
        <v>1325</v>
      </c>
      <c r="G7607" s="1">
        <v>5.5839999999999996</v>
      </c>
      <c r="H7607" s="1">
        <v>2</v>
      </c>
      <c r="I7607" s="1">
        <v>-1.6752</v>
      </c>
    </row>
    <row r="7608" spans="1:9" x14ac:dyDescent="0.35">
      <c r="A7608" s="3" t="s">
        <v>3619</v>
      </c>
      <c r="B7608" s="1" t="s">
        <v>2065</v>
      </c>
      <c r="C7608" s="1" t="s">
        <v>154</v>
      </c>
      <c r="D7608" s="1" t="s">
        <v>106</v>
      </c>
      <c r="E7608" s="1" t="s">
        <v>26</v>
      </c>
      <c r="F7608" s="2" t="s">
        <v>1269</v>
      </c>
      <c r="G7608" s="1">
        <v>1297.3679999999999</v>
      </c>
      <c r="H7608" s="1">
        <v>9</v>
      </c>
      <c r="I7608" s="1">
        <v>97.302599999999998</v>
      </c>
    </row>
    <row r="7609" spans="1:9" x14ac:dyDescent="0.35">
      <c r="A7609" s="3" t="s">
        <v>3372</v>
      </c>
      <c r="B7609" s="1" t="s">
        <v>1824</v>
      </c>
      <c r="C7609" s="1" t="s">
        <v>399</v>
      </c>
      <c r="D7609" s="1" t="s">
        <v>52</v>
      </c>
      <c r="E7609" s="1" t="s">
        <v>26</v>
      </c>
      <c r="F7609" s="2" t="s">
        <v>970</v>
      </c>
      <c r="G7609" s="1">
        <v>264.32</v>
      </c>
      <c r="H7609" s="1">
        <v>2</v>
      </c>
      <c r="I7609" s="1">
        <v>19.824000000000002</v>
      </c>
    </row>
    <row r="7610" spans="1:9" x14ac:dyDescent="0.35">
      <c r="A7610" s="3">
        <v>42799</v>
      </c>
      <c r="B7610" s="1" t="s">
        <v>718</v>
      </c>
      <c r="C7610" s="1" t="s">
        <v>64</v>
      </c>
      <c r="D7610" s="1" t="s">
        <v>18</v>
      </c>
      <c r="E7610" s="1" t="s">
        <v>44</v>
      </c>
      <c r="F7610" s="2" t="s">
        <v>1335</v>
      </c>
      <c r="G7610" s="1">
        <v>25.92</v>
      </c>
      <c r="H7610" s="1">
        <v>4</v>
      </c>
      <c r="I7610" s="1">
        <v>12.441599999999999</v>
      </c>
    </row>
    <row r="7611" spans="1:9" x14ac:dyDescent="0.35">
      <c r="A7611" s="3">
        <v>42799</v>
      </c>
      <c r="B7611" s="1" t="s">
        <v>718</v>
      </c>
      <c r="C7611" s="1" t="s">
        <v>64</v>
      </c>
      <c r="D7611" s="1" t="s">
        <v>18</v>
      </c>
      <c r="E7611" s="1" t="s">
        <v>31</v>
      </c>
      <c r="F7611" s="2" t="s">
        <v>534</v>
      </c>
      <c r="G7611" s="1">
        <v>22.96</v>
      </c>
      <c r="H7611" s="1">
        <v>7</v>
      </c>
      <c r="I7611" s="1">
        <v>6.6584000000000003</v>
      </c>
    </row>
    <row r="7612" spans="1:9" x14ac:dyDescent="0.35">
      <c r="A7612" s="3" t="s">
        <v>3784</v>
      </c>
      <c r="B7612" s="1" t="s">
        <v>782</v>
      </c>
      <c r="C7612" s="1" t="s">
        <v>2862</v>
      </c>
      <c r="D7612" s="1" t="s">
        <v>18</v>
      </c>
      <c r="E7612" s="1" t="s">
        <v>44</v>
      </c>
      <c r="F7612" s="2" t="s">
        <v>1033</v>
      </c>
      <c r="G7612" s="1">
        <v>19.440000000000001</v>
      </c>
      <c r="H7612" s="1">
        <v>3</v>
      </c>
      <c r="I7612" s="1">
        <v>9.3312000000000008</v>
      </c>
    </row>
    <row r="7613" spans="1:9" x14ac:dyDescent="0.35">
      <c r="A7613" s="3">
        <v>42218</v>
      </c>
      <c r="B7613" s="1" t="s">
        <v>28</v>
      </c>
      <c r="C7613" s="1" t="s">
        <v>3054</v>
      </c>
      <c r="D7613" s="1" t="s">
        <v>1891</v>
      </c>
      <c r="E7613" s="1" t="s">
        <v>44</v>
      </c>
      <c r="F7613" s="2" t="s">
        <v>2402</v>
      </c>
      <c r="G7613" s="1">
        <v>9.5399999999999991</v>
      </c>
      <c r="H7613" s="1">
        <v>2</v>
      </c>
      <c r="I7613" s="1">
        <v>4.2930000000000001</v>
      </c>
    </row>
    <row r="7614" spans="1:9" x14ac:dyDescent="0.35">
      <c r="A7614" s="3">
        <v>42218</v>
      </c>
      <c r="B7614" s="1" t="s">
        <v>28</v>
      </c>
      <c r="C7614" s="1" t="s">
        <v>3054</v>
      </c>
      <c r="D7614" s="1" t="s">
        <v>1891</v>
      </c>
      <c r="E7614" s="1" t="s">
        <v>137</v>
      </c>
      <c r="F7614" s="2" t="s">
        <v>409</v>
      </c>
      <c r="G7614" s="1">
        <v>5.81</v>
      </c>
      <c r="H7614" s="1">
        <v>1</v>
      </c>
      <c r="I7614" s="1">
        <v>1.8010999999999999</v>
      </c>
    </row>
    <row r="7615" spans="1:9" x14ac:dyDescent="0.35">
      <c r="A7615" s="3">
        <v>42218</v>
      </c>
      <c r="B7615" s="1" t="s">
        <v>28</v>
      </c>
      <c r="C7615" s="1" t="s">
        <v>3054</v>
      </c>
      <c r="D7615" s="1" t="s">
        <v>1891</v>
      </c>
      <c r="E7615" s="1" t="s">
        <v>31</v>
      </c>
      <c r="F7615" s="2" t="s">
        <v>286</v>
      </c>
      <c r="G7615" s="1">
        <v>5.76</v>
      </c>
      <c r="H7615" s="1">
        <v>2</v>
      </c>
      <c r="I7615" s="1">
        <v>1.728</v>
      </c>
    </row>
    <row r="7616" spans="1:9" x14ac:dyDescent="0.35">
      <c r="A7616" s="3" t="s">
        <v>3343</v>
      </c>
      <c r="B7616" s="1" t="s">
        <v>2226</v>
      </c>
      <c r="C7616" s="1" t="s">
        <v>135</v>
      </c>
      <c r="D7616" s="1" t="s">
        <v>136</v>
      </c>
      <c r="E7616" s="1" t="s">
        <v>29</v>
      </c>
      <c r="F7616" s="2" t="s">
        <v>939</v>
      </c>
      <c r="G7616" s="1">
        <v>14.91</v>
      </c>
      <c r="H7616" s="1">
        <v>3</v>
      </c>
      <c r="I7616" s="1">
        <v>4.6220999999999997</v>
      </c>
    </row>
    <row r="7617" spans="1:9" x14ac:dyDescent="0.35">
      <c r="A7617" s="3" t="s">
        <v>3517</v>
      </c>
      <c r="B7617" s="1" t="s">
        <v>2067</v>
      </c>
      <c r="C7617" s="1" t="s">
        <v>2398</v>
      </c>
      <c r="D7617" s="1" t="s">
        <v>23</v>
      </c>
      <c r="E7617" s="1" t="s">
        <v>35</v>
      </c>
      <c r="F7617" s="2" t="s">
        <v>2825</v>
      </c>
      <c r="G7617" s="1">
        <v>6.6420000000000003</v>
      </c>
      <c r="H7617" s="1">
        <v>9</v>
      </c>
      <c r="I7617" s="1">
        <v>-4.4279999999999999</v>
      </c>
    </row>
    <row r="7618" spans="1:9" x14ac:dyDescent="0.35">
      <c r="A7618" s="3">
        <v>42655</v>
      </c>
      <c r="B7618" s="1" t="s">
        <v>2278</v>
      </c>
      <c r="C7618" s="1" t="s">
        <v>1741</v>
      </c>
      <c r="D7618" s="1" t="s">
        <v>136</v>
      </c>
      <c r="E7618" s="1" t="s">
        <v>44</v>
      </c>
      <c r="F7618" s="2" t="s">
        <v>2136</v>
      </c>
      <c r="G7618" s="1">
        <v>18.54</v>
      </c>
      <c r="H7618" s="1">
        <v>2</v>
      </c>
      <c r="I7618" s="1">
        <v>8.7138000000000009</v>
      </c>
    </row>
    <row r="7619" spans="1:9" x14ac:dyDescent="0.35">
      <c r="A7619" s="3">
        <v>42655</v>
      </c>
      <c r="B7619" s="1" t="s">
        <v>2278</v>
      </c>
      <c r="C7619" s="1" t="s">
        <v>1741</v>
      </c>
      <c r="D7619" s="1" t="s">
        <v>136</v>
      </c>
      <c r="E7619" s="1" t="s">
        <v>35</v>
      </c>
      <c r="F7619" s="2" t="s">
        <v>49</v>
      </c>
      <c r="G7619" s="1">
        <v>679.96</v>
      </c>
      <c r="H7619" s="1">
        <v>5</v>
      </c>
      <c r="I7619" s="1">
        <v>220.98699999999999</v>
      </c>
    </row>
    <row r="7620" spans="1:9" x14ac:dyDescent="0.35">
      <c r="A7620" s="3" t="s">
        <v>3357</v>
      </c>
      <c r="B7620" s="1" t="s">
        <v>1735</v>
      </c>
      <c r="C7620" s="1" t="s">
        <v>17</v>
      </c>
      <c r="D7620" s="1" t="s">
        <v>18</v>
      </c>
      <c r="E7620" s="1" t="s">
        <v>24</v>
      </c>
      <c r="F7620" s="2" t="s">
        <v>39</v>
      </c>
      <c r="G7620" s="1">
        <v>189.57599999999999</v>
      </c>
      <c r="H7620" s="1">
        <v>1</v>
      </c>
      <c r="I7620" s="1">
        <v>9.4787999999999997</v>
      </c>
    </row>
    <row r="7621" spans="1:9" x14ac:dyDescent="0.35">
      <c r="A7621" s="3" t="s">
        <v>3357</v>
      </c>
      <c r="B7621" s="1" t="s">
        <v>1735</v>
      </c>
      <c r="C7621" s="1" t="s">
        <v>17</v>
      </c>
      <c r="D7621" s="1" t="s">
        <v>18</v>
      </c>
      <c r="E7621" s="1" t="s">
        <v>33</v>
      </c>
      <c r="F7621" s="2" t="s">
        <v>2948</v>
      </c>
      <c r="G7621" s="1">
        <v>71.959999999999994</v>
      </c>
      <c r="H7621" s="1">
        <v>5</v>
      </c>
      <c r="I7621" s="1">
        <v>7.1959999999999997</v>
      </c>
    </row>
    <row r="7622" spans="1:9" x14ac:dyDescent="0.35">
      <c r="A7622" s="3" t="s">
        <v>3211</v>
      </c>
      <c r="B7622" s="1" t="s">
        <v>2081</v>
      </c>
      <c r="C7622" s="1" t="s">
        <v>17</v>
      </c>
      <c r="D7622" s="1" t="s">
        <v>18</v>
      </c>
      <c r="E7622" s="1" t="s">
        <v>33</v>
      </c>
      <c r="F7622" s="2" t="s">
        <v>468</v>
      </c>
      <c r="G7622" s="1">
        <v>539.91999999999996</v>
      </c>
      <c r="H7622" s="1">
        <v>5</v>
      </c>
      <c r="I7622" s="1">
        <v>47.243000000000002</v>
      </c>
    </row>
    <row r="7623" spans="1:9" x14ac:dyDescent="0.35">
      <c r="A7623" s="3" t="s">
        <v>3211</v>
      </c>
      <c r="B7623" s="1" t="s">
        <v>2081</v>
      </c>
      <c r="C7623" s="1" t="s">
        <v>17</v>
      </c>
      <c r="D7623" s="1" t="s">
        <v>18</v>
      </c>
      <c r="E7623" s="1" t="s">
        <v>14</v>
      </c>
      <c r="F7623" s="2" t="s">
        <v>1108</v>
      </c>
      <c r="G7623" s="1">
        <v>725.34400000000005</v>
      </c>
      <c r="H7623" s="1">
        <v>4</v>
      </c>
      <c r="I7623" s="1">
        <v>54.400799999999997</v>
      </c>
    </row>
    <row r="7624" spans="1:9" x14ac:dyDescent="0.35">
      <c r="A7624" s="3" t="s">
        <v>3211</v>
      </c>
      <c r="B7624" s="1" t="s">
        <v>2081</v>
      </c>
      <c r="C7624" s="1" t="s">
        <v>17</v>
      </c>
      <c r="D7624" s="1" t="s">
        <v>18</v>
      </c>
      <c r="E7624" s="1" t="s">
        <v>31</v>
      </c>
      <c r="F7624" s="2" t="s">
        <v>1329</v>
      </c>
      <c r="G7624" s="1">
        <v>7.44</v>
      </c>
      <c r="H7624" s="1">
        <v>3</v>
      </c>
      <c r="I7624" s="1">
        <v>2.6040000000000001</v>
      </c>
    </row>
    <row r="7625" spans="1:9" x14ac:dyDescent="0.35">
      <c r="A7625" s="3" t="s">
        <v>3314</v>
      </c>
      <c r="B7625" s="1" t="s">
        <v>3001</v>
      </c>
      <c r="C7625" s="1" t="s">
        <v>303</v>
      </c>
      <c r="D7625" s="1" t="s">
        <v>124</v>
      </c>
      <c r="E7625" s="1" t="s">
        <v>37</v>
      </c>
      <c r="F7625" s="2" t="s">
        <v>1131</v>
      </c>
      <c r="G7625" s="1">
        <v>39.479999999999997</v>
      </c>
      <c r="H7625" s="1">
        <v>1</v>
      </c>
      <c r="I7625" s="1">
        <v>11.054399999999999</v>
      </c>
    </row>
    <row r="7626" spans="1:9" x14ac:dyDescent="0.35">
      <c r="A7626" s="3" t="s">
        <v>3367</v>
      </c>
      <c r="B7626" s="1" t="s">
        <v>555</v>
      </c>
      <c r="C7626" s="1" t="s">
        <v>429</v>
      </c>
      <c r="D7626" s="1" t="s">
        <v>120</v>
      </c>
      <c r="E7626" s="1" t="s">
        <v>37</v>
      </c>
      <c r="F7626" s="2" t="s">
        <v>1905</v>
      </c>
      <c r="G7626" s="1">
        <v>850.5</v>
      </c>
      <c r="H7626" s="1">
        <v>5</v>
      </c>
      <c r="I7626" s="1">
        <v>245.7</v>
      </c>
    </row>
    <row r="7627" spans="1:9" x14ac:dyDescent="0.35">
      <c r="A7627" s="3" t="s">
        <v>3367</v>
      </c>
      <c r="B7627" s="1" t="s">
        <v>555</v>
      </c>
      <c r="C7627" s="1" t="s">
        <v>429</v>
      </c>
      <c r="D7627" s="1" t="s">
        <v>120</v>
      </c>
      <c r="E7627" s="1" t="s">
        <v>29</v>
      </c>
      <c r="F7627" s="2" t="s">
        <v>1517</v>
      </c>
      <c r="G7627" s="1">
        <v>75.33</v>
      </c>
      <c r="H7627" s="1">
        <v>9</v>
      </c>
      <c r="I7627" s="1">
        <v>19.585799999999999</v>
      </c>
    </row>
    <row r="7628" spans="1:9" x14ac:dyDescent="0.35">
      <c r="A7628" s="3" t="s">
        <v>3383</v>
      </c>
      <c r="B7628" s="1" t="s">
        <v>1173</v>
      </c>
      <c r="C7628" s="1" t="s">
        <v>272</v>
      </c>
      <c r="D7628" s="1" t="s">
        <v>158</v>
      </c>
      <c r="E7628" s="1" t="s">
        <v>37</v>
      </c>
      <c r="F7628" s="2" t="s">
        <v>2541</v>
      </c>
      <c r="G7628" s="1">
        <v>325.63200000000001</v>
      </c>
      <c r="H7628" s="1">
        <v>6</v>
      </c>
      <c r="I7628" s="1">
        <v>28.492799999999999</v>
      </c>
    </row>
    <row r="7629" spans="1:9" x14ac:dyDescent="0.35">
      <c r="A7629" s="3" t="s">
        <v>3383</v>
      </c>
      <c r="B7629" s="1" t="s">
        <v>1173</v>
      </c>
      <c r="C7629" s="1" t="s">
        <v>272</v>
      </c>
      <c r="D7629" s="1" t="s">
        <v>158</v>
      </c>
      <c r="E7629" s="1" t="s">
        <v>81</v>
      </c>
      <c r="F7629" s="2" t="s">
        <v>1996</v>
      </c>
      <c r="G7629" s="1">
        <v>23.344000000000001</v>
      </c>
      <c r="H7629" s="1">
        <v>2</v>
      </c>
      <c r="I7629" s="1">
        <v>-1.4590000000000001</v>
      </c>
    </row>
    <row r="7630" spans="1:9" x14ac:dyDescent="0.35">
      <c r="A7630" s="3" t="s">
        <v>3383</v>
      </c>
      <c r="B7630" s="1" t="s">
        <v>1173</v>
      </c>
      <c r="C7630" s="1" t="s">
        <v>272</v>
      </c>
      <c r="D7630" s="1" t="s">
        <v>158</v>
      </c>
      <c r="E7630" s="1" t="s">
        <v>19</v>
      </c>
      <c r="F7630" s="2" t="s">
        <v>1691</v>
      </c>
      <c r="G7630" s="1">
        <v>16.52</v>
      </c>
      <c r="H7630" s="1">
        <v>5</v>
      </c>
      <c r="I7630" s="1">
        <v>5.3689999999999998</v>
      </c>
    </row>
    <row r="7631" spans="1:9" x14ac:dyDescent="0.35">
      <c r="A7631" s="3" t="s">
        <v>3294</v>
      </c>
      <c r="B7631" s="1" t="s">
        <v>375</v>
      </c>
      <c r="C7631" s="1" t="s">
        <v>1373</v>
      </c>
      <c r="D7631" s="1" t="s">
        <v>52</v>
      </c>
      <c r="E7631" s="1" t="s">
        <v>87</v>
      </c>
      <c r="F7631" s="2" t="s">
        <v>986</v>
      </c>
      <c r="G7631" s="1">
        <v>335.72</v>
      </c>
      <c r="H7631" s="1">
        <v>5</v>
      </c>
      <c r="I7631" s="1">
        <v>113.30549999999999</v>
      </c>
    </row>
    <row r="7632" spans="1:9" x14ac:dyDescent="0.35">
      <c r="A7632" s="3" t="s">
        <v>3294</v>
      </c>
      <c r="B7632" s="1" t="s">
        <v>375</v>
      </c>
      <c r="C7632" s="1" t="s">
        <v>1373</v>
      </c>
      <c r="D7632" s="1" t="s">
        <v>52</v>
      </c>
      <c r="E7632" s="1" t="s">
        <v>33</v>
      </c>
      <c r="F7632" s="2" t="s">
        <v>1393</v>
      </c>
      <c r="G7632" s="1">
        <v>251.94399999999999</v>
      </c>
      <c r="H7632" s="1">
        <v>7</v>
      </c>
      <c r="I7632" s="1">
        <v>88.180400000000006</v>
      </c>
    </row>
    <row r="7633" spans="1:9" x14ac:dyDescent="0.35">
      <c r="A7633" s="3" t="s">
        <v>3294</v>
      </c>
      <c r="B7633" s="1" t="s">
        <v>375</v>
      </c>
      <c r="C7633" s="1" t="s">
        <v>1373</v>
      </c>
      <c r="D7633" s="1" t="s">
        <v>52</v>
      </c>
      <c r="E7633" s="1" t="s">
        <v>14</v>
      </c>
      <c r="F7633" s="2" t="s">
        <v>1355</v>
      </c>
      <c r="G7633" s="1">
        <v>127.30200000000001</v>
      </c>
      <c r="H7633" s="1">
        <v>7</v>
      </c>
      <c r="I7633" s="1">
        <v>-9.093</v>
      </c>
    </row>
    <row r="7634" spans="1:9" x14ac:dyDescent="0.35">
      <c r="A7634" s="3" t="s">
        <v>3284</v>
      </c>
      <c r="B7634" s="1" t="s">
        <v>1275</v>
      </c>
      <c r="C7634" s="1" t="s">
        <v>697</v>
      </c>
      <c r="D7634" s="1" t="s">
        <v>11</v>
      </c>
      <c r="E7634" s="1" t="s">
        <v>14</v>
      </c>
      <c r="F7634" s="2" t="s">
        <v>556</v>
      </c>
      <c r="G7634" s="1">
        <v>1207.8399999999999</v>
      </c>
      <c r="H7634" s="1">
        <v>8</v>
      </c>
      <c r="I7634" s="1">
        <v>314.03840000000002</v>
      </c>
    </row>
    <row r="7635" spans="1:9" x14ac:dyDescent="0.35">
      <c r="A7635" s="3" t="s">
        <v>3284</v>
      </c>
      <c r="B7635" s="1" t="s">
        <v>1275</v>
      </c>
      <c r="C7635" s="1" t="s">
        <v>697</v>
      </c>
      <c r="D7635" s="1" t="s">
        <v>11</v>
      </c>
      <c r="E7635" s="1" t="s">
        <v>35</v>
      </c>
      <c r="F7635" s="2" t="s">
        <v>1838</v>
      </c>
      <c r="G7635" s="1">
        <v>12.53</v>
      </c>
      <c r="H7635" s="1">
        <v>1</v>
      </c>
      <c r="I7635" s="1">
        <v>5.8891</v>
      </c>
    </row>
    <row r="7636" spans="1:9" x14ac:dyDescent="0.35">
      <c r="A7636" s="3" t="s">
        <v>3284</v>
      </c>
      <c r="B7636" s="1" t="s">
        <v>1275</v>
      </c>
      <c r="C7636" s="1" t="s">
        <v>697</v>
      </c>
      <c r="D7636" s="1" t="s">
        <v>11</v>
      </c>
      <c r="E7636" s="1" t="s">
        <v>31</v>
      </c>
      <c r="F7636" s="2" t="s">
        <v>2084</v>
      </c>
      <c r="G7636" s="1">
        <v>34.58</v>
      </c>
      <c r="H7636" s="1">
        <v>1</v>
      </c>
      <c r="I7636" s="1">
        <v>10.0282</v>
      </c>
    </row>
    <row r="7637" spans="1:9" x14ac:dyDescent="0.35">
      <c r="A7637" s="3" t="s">
        <v>3284</v>
      </c>
      <c r="B7637" s="1" t="s">
        <v>1275</v>
      </c>
      <c r="C7637" s="1" t="s">
        <v>697</v>
      </c>
      <c r="D7637" s="1" t="s">
        <v>11</v>
      </c>
      <c r="E7637" s="1" t="s">
        <v>14</v>
      </c>
      <c r="F7637" s="2" t="s">
        <v>2489</v>
      </c>
      <c r="G7637" s="1">
        <v>300.98</v>
      </c>
      <c r="H7637" s="1">
        <v>1</v>
      </c>
      <c r="I7637" s="1">
        <v>87.284199999999998</v>
      </c>
    </row>
    <row r="7638" spans="1:9" x14ac:dyDescent="0.35">
      <c r="A7638" s="3" t="s">
        <v>3284</v>
      </c>
      <c r="B7638" s="1" t="s">
        <v>1275</v>
      </c>
      <c r="C7638" s="1" t="s">
        <v>697</v>
      </c>
      <c r="D7638" s="1" t="s">
        <v>11</v>
      </c>
      <c r="E7638" s="1" t="s">
        <v>14</v>
      </c>
      <c r="F7638" s="2" t="s">
        <v>1464</v>
      </c>
      <c r="G7638" s="1">
        <v>258.75</v>
      </c>
      <c r="H7638" s="1">
        <v>3</v>
      </c>
      <c r="I7638" s="1">
        <v>77.625</v>
      </c>
    </row>
    <row r="7639" spans="1:9" x14ac:dyDescent="0.35">
      <c r="A7639" s="3">
        <v>42769</v>
      </c>
      <c r="B7639" s="1" t="s">
        <v>2110</v>
      </c>
      <c r="C7639" s="1" t="s">
        <v>303</v>
      </c>
      <c r="D7639" s="1" t="s">
        <v>124</v>
      </c>
      <c r="E7639" s="1" t="s">
        <v>31</v>
      </c>
      <c r="F7639" s="2" t="s">
        <v>2496</v>
      </c>
      <c r="G7639" s="1">
        <v>59.52</v>
      </c>
      <c r="H7639" s="1">
        <v>3</v>
      </c>
      <c r="I7639" s="1">
        <v>15.475199999999999</v>
      </c>
    </row>
    <row r="7640" spans="1:9" x14ac:dyDescent="0.35">
      <c r="A7640" s="3">
        <v>42769</v>
      </c>
      <c r="B7640" s="1" t="s">
        <v>2110</v>
      </c>
      <c r="C7640" s="1" t="s">
        <v>303</v>
      </c>
      <c r="D7640" s="1" t="s">
        <v>124</v>
      </c>
      <c r="E7640" s="1" t="s">
        <v>87</v>
      </c>
      <c r="F7640" s="2" t="s">
        <v>332</v>
      </c>
      <c r="G7640" s="1">
        <v>57.96</v>
      </c>
      <c r="H7640" s="1">
        <v>7</v>
      </c>
      <c r="I7640" s="1">
        <v>27.241199999999999</v>
      </c>
    </row>
    <row r="7641" spans="1:9" x14ac:dyDescent="0.35">
      <c r="A7641" s="3">
        <v>42769</v>
      </c>
      <c r="B7641" s="1" t="s">
        <v>2110</v>
      </c>
      <c r="C7641" s="1" t="s">
        <v>303</v>
      </c>
      <c r="D7641" s="1" t="s">
        <v>124</v>
      </c>
      <c r="E7641" s="1" t="s">
        <v>12</v>
      </c>
      <c r="F7641" s="2" t="s">
        <v>2475</v>
      </c>
      <c r="G7641" s="1">
        <v>441.96</v>
      </c>
      <c r="H7641" s="1">
        <v>2</v>
      </c>
      <c r="I7641" s="1">
        <v>101.6508</v>
      </c>
    </row>
    <row r="7642" spans="1:9" x14ac:dyDescent="0.35">
      <c r="A7642" s="3">
        <v>42769</v>
      </c>
      <c r="B7642" s="1" t="s">
        <v>2110</v>
      </c>
      <c r="C7642" s="1" t="s">
        <v>303</v>
      </c>
      <c r="D7642" s="1" t="s">
        <v>124</v>
      </c>
      <c r="E7642" s="1" t="s">
        <v>44</v>
      </c>
      <c r="F7642" s="2" t="s">
        <v>94</v>
      </c>
      <c r="G7642" s="1">
        <v>68.040000000000006</v>
      </c>
      <c r="H7642" s="1">
        <v>6</v>
      </c>
      <c r="I7642" s="1">
        <v>33.339599999999997</v>
      </c>
    </row>
    <row r="7643" spans="1:9" x14ac:dyDescent="0.35">
      <c r="A7643" s="3">
        <v>42531</v>
      </c>
      <c r="B7643" s="1" t="s">
        <v>2522</v>
      </c>
      <c r="C7643" s="1" t="s">
        <v>1551</v>
      </c>
      <c r="D7643" s="1" t="s">
        <v>229</v>
      </c>
      <c r="E7643" s="1" t="s">
        <v>338</v>
      </c>
      <c r="F7643" s="2" t="s">
        <v>3060</v>
      </c>
      <c r="G7643" s="1">
        <v>703.71</v>
      </c>
      <c r="H7643" s="1">
        <v>6</v>
      </c>
      <c r="I7643" s="1">
        <v>-938.28</v>
      </c>
    </row>
    <row r="7644" spans="1:9" x14ac:dyDescent="0.35">
      <c r="A7644" s="3">
        <v>42531</v>
      </c>
      <c r="B7644" s="1" t="s">
        <v>2522</v>
      </c>
      <c r="C7644" s="1" t="s">
        <v>1551</v>
      </c>
      <c r="D7644" s="1" t="s">
        <v>229</v>
      </c>
      <c r="E7644" s="1" t="s">
        <v>35</v>
      </c>
      <c r="F7644" s="2" t="s">
        <v>940</v>
      </c>
      <c r="G7644" s="1">
        <v>17.904</v>
      </c>
      <c r="H7644" s="1">
        <v>4</v>
      </c>
      <c r="I7644" s="1">
        <v>-14.92</v>
      </c>
    </row>
    <row r="7645" spans="1:9" x14ac:dyDescent="0.35">
      <c r="A7645" s="3">
        <v>42531</v>
      </c>
      <c r="B7645" s="1" t="s">
        <v>2522</v>
      </c>
      <c r="C7645" s="1" t="s">
        <v>1551</v>
      </c>
      <c r="D7645" s="1" t="s">
        <v>229</v>
      </c>
      <c r="E7645" s="1" t="s">
        <v>35</v>
      </c>
      <c r="F7645" s="2" t="s">
        <v>2030</v>
      </c>
      <c r="G7645" s="1">
        <v>11.976000000000001</v>
      </c>
      <c r="H7645" s="1">
        <v>4</v>
      </c>
      <c r="I7645" s="1">
        <v>-9.1815999999999995</v>
      </c>
    </row>
    <row r="7646" spans="1:9" x14ac:dyDescent="0.35">
      <c r="A7646" s="3">
        <v>42531</v>
      </c>
      <c r="B7646" s="1" t="s">
        <v>2522</v>
      </c>
      <c r="C7646" s="1" t="s">
        <v>1551</v>
      </c>
      <c r="D7646" s="1" t="s">
        <v>229</v>
      </c>
      <c r="E7646" s="1" t="s">
        <v>81</v>
      </c>
      <c r="F7646" s="2" t="s">
        <v>2690</v>
      </c>
      <c r="G7646" s="1">
        <v>67.959999999999994</v>
      </c>
      <c r="H7646" s="1">
        <v>5</v>
      </c>
      <c r="I7646" s="1">
        <v>0.84950000000000003</v>
      </c>
    </row>
    <row r="7647" spans="1:9" x14ac:dyDescent="0.35">
      <c r="A7647" s="3">
        <v>42128</v>
      </c>
      <c r="B7647" s="1" t="s">
        <v>2389</v>
      </c>
      <c r="C7647" s="1" t="s">
        <v>17</v>
      </c>
      <c r="D7647" s="1" t="s">
        <v>18</v>
      </c>
      <c r="E7647" s="1" t="s">
        <v>14</v>
      </c>
      <c r="F7647" s="2" t="s">
        <v>1474</v>
      </c>
      <c r="G7647" s="1">
        <v>892.22400000000005</v>
      </c>
      <c r="H7647" s="1">
        <v>3</v>
      </c>
      <c r="I7647" s="1">
        <v>89.222399999999993</v>
      </c>
    </row>
    <row r="7648" spans="1:9" x14ac:dyDescent="0.35">
      <c r="A7648" s="3">
        <v>41891</v>
      </c>
      <c r="B7648" s="1" t="s">
        <v>1281</v>
      </c>
      <c r="C7648" s="1" t="s">
        <v>1522</v>
      </c>
      <c r="D7648" s="1" t="s">
        <v>43</v>
      </c>
      <c r="E7648" s="1" t="s">
        <v>338</v>
      </c>
      <c r="F7648" s="2" t="s">
        <v>2994</v>
      </c>
      <c r="G7648" s="1">
        <v>1299.99</v>
      </c>
      <c r="H7648" s="1">
        <v>2</v>
      </c>
      <c r="I7648" s="1">
        <v>-571.99559999999997</v>
      </c>
    </row>
    <row r="7649" spans="1:9" x14ac:dyDescent="0.35">
      <c r="A7649" s="3" t="s">
        <v>3785</v>
      </c>
      <c r="B7649" s="1" t="s">
        <v>2590</v>
      </c>
      <c r="C7649" s="1" t="s">
        <v>64</v>
      </c>
      <c r="D7649" s="1" t="s">
        <v>18</v>
      </c>
      <c r="E7649" s="1" t="s">
        <v>35</v>
      </c>
      <c r="F7649" s="2" t="s">
        <v>1362</v>
      </c>
      <c r="G7649" s="1">
        <v>4.5439999999999996</v>
      </c>
      <c r="H7649" s="1">
        <v>2</v>
      </c>
      <c r="I7649" s="1">
        <v>1.6472</v>
      </c>
    </row>
    <row r="7650" spans="1:9" x14ac:dyDescent="0.35">
      <c r="A7650" s="3" t="s">
        <v>3785</v>
      </c>
      <c r="B7650" s="1" t="s">
        <v>2590</v>
      </c>
      <c r="C7650" s="1" t="s">
        <v>64</v>
      </c>
      <c r="D7650" s="1" t="s">
        <v>18</v>
      </c>
      <c r="E7650" s="1" t="s">
        <v>14</v>
      </c>
      <c r="F7650" s="2" t="s">
        <v>1330</v>
      </c>
      <c r="G7650" s="1">
        <v>1352.0319999999999</v>
      </c>
      <c r="H7650" s="1">
        <v>4</v>
      </c>
      <c r="I7650" s="1">
        <v>84.501999999999995</v>
      </c>
    </row>
    <row r="7651" spans="1:9" x14ac:dyDescent="0.35">
      <c r="A7651" s="3" t="s">
        <v>3152</v>
      </c>
      <c r="B7651" s="1" t="s">
        <v>443</v>
      </c>
      <c r="C7651" s="1" t="s">
        <v>2114</v>
      </c>
      <c r="D7651" s="1" t="s">
        <v>250</v>
      </c>
      <c r="E7651" s="1" t="s">
        <v>24</v>
      </c>
      <c r="F7651" s="2" t="s">
        <v>1273</v>
      </c>
      <c r="G7651" s="1">
        <v>1548.99</v>
      </c>
      <c r="H7651" s="1">
        <v>9</v>
      </c>
      <c r="I7651" s="1">
        <v>-464.697</v>
      </c>
    </row>
    <row r="7652" spans="1:9" x14ac:dyDescent="0.35">
      <c r="A7652" s="3" t="s">
        <v>3152</v>
      </c>
      <c r="B7652" s="1" t="s">
        <v>443</v>
      </c>
      <c r="C7652" s="1" t="s">
        <v>2114</v>
      </c>
      <c r="D7652" s="1" t="s">
        <v>250</v>
      </c>
      <c r="E7652" s="1" t="s">
        <v>87</v>
      </c>
      <c r="F7652" s="2" t="s">
        <v>332</v>
      </c>
      <c r="G7652" s="1">
        <v>19.872</v>
      </c>
      <c r="H7652" s="1">
        <v>3</v>
      </c>
      <c r="I7652" s="1">
        <v>6.7068000000000003</v>
      </c>
    </row>
    <row r="7653" spans="1:9" x14ac:dyDescent="0.35">
      <c r="A7653" s="3">
        <v>42924</v>
      </c>
      <c r="B7653" s="1" t="s">
        <v>921</v>
      </c>
      <c r="C7653" s="1" t="s">
        <v>399</v>
      </c>
      <c r="D7653" s="1" t="s">
        <v>52</v>
      </c>
      <c r="E7653" s="1" t="s">
        <v>81</v>
      </c>
      <c r="F7653" s="2" t="s">
        <v>230</v>
      </c>
      <c r="G7653" s="1">
        <v>119.44799999999999</v>
      </c>
      <c r="H7653" s="1">
        <v>3</v>
      </c>
      <c r="I7653" s="1">
        <v>-13.437900000000001</v>
      </c>
    </row>
    <row r="7654" spans="1:9" x14ac:dyDescent="0.35">
      <c r="A7654" s="3">
        <v>42924</v>
      </c>
      <c r="B7654" s="1" t="s">
        <v>921</v>
      </c>
      <c r="C7654" s="1" t="s">
        <v>399</v>
      </c>
      <c r="D7654" s="1" t="s">
        <v>52</v>
      </c>
      <c r="E7654" s="1" t="s">
        <v>26</v>
      </c>
      <c r="F7654" s="2" t="s">
        <v>471</v>
      </c>
      <c r="G7654" s="1">
        <v>118.16</v>
      </c>
      <c r="H7654" s="1">
        <v>2</v>
      </c>
      <c r="I7654" s="1">
        <v>-25.109000000000002</v>
      </c>
    </row>
    <row r="7655" spans="1:9" x14ac:dyDescent="0.35">
      <c r="A7655" s="3" t="s">
        <v>3679</v>
      </c>
      <c r="B7655" s="1" t="s">
        <v>3061</v>
      </c>
      <c r="C7655" s="1" t="s">
        <v>785</v>
      </c>
      <c r="D7655" s="1" t="s">
        <v>182</v>
      </c>
      <c r="E7655" s="1" t="s">
        <v>31</v>
      </c>
      <c r="F7655" s="2" t="s">
        <v>2768</v>
      </c>
      <c r="G7655" s="1">
        <v>19.559999999999999</v>
      </c>
      <c r="H7655" s="1">
        <v>4</v>
      </c>
      <c r="I7655" s="1">
        <v>5.4767999999999999</v>
      </c>
    </row>
    <row r="7656" spans="1:9" x14ac:dyDescent="0.35">
      <c r="A7656" s="3" t="s">
        <v>3301</v>
      </c>
      <c r="B7656" s="1" t="s">
        <v>2244</v>
      </c>
      <c r="C7656" s="1" t="s">
        <v>658</v>
      </c>
      <c r="D7656" s="1" t="s">
        <v>659</v>
      </c>
      <c r="E7656" s="1" t="s">
        <v>29</v>
      </c>
      <c r="F7656" s="2" t="s">
        <v>2831</v>
      </c>
      <c r="G7656" s="1">
        <v>80.959999999999994</v>
      </c>
      <c r="H7656" s="1">
        <v>4</v>
      </c>
      <c r="I7656" s="1">
        <v>29.145600000000002</v>
      </c>
    </row>
    <row r="7657" spans="1:9" x14ac:dyDescent="0.35">
      <c r="A7657" s="3" t="s">
        <v>3301</v>
      </c>
      <c r="B7657" s="1" t="s">
        <v>2244</v>
      </c>
      <c r="C7657" s="1" t="s">
        <v>658</v>
      </c>
      <c r="D7657" s="1" t="s">
        <v>659</v>
      </c>
      <c r="E7657" s="1" t="s">
        <v>44</v>
      </c>
      <c r="F7657" s="2" t="s">
        <v>2432</v>
      </c>
      <c r="G7657" s="1">
        <v>25.92</v>
      </c>
      <c r="H7657" s="1">
        <v>4</v>
      </c>
      <c r="I7657" s="1">
        <v>12.441599999999999</v>
      </c>
    </row>
    <row r="7658" spans="1:9" x14ac:dyDescent="0.35">
      <c r="A7658" s="3" t="s">
        <v>3786</v>
      </c>
      <c r="B7658" s="1" t="s">
        <v>153</v>
      </c>
      <c r="C7658" s="1" t="s">
        <v>17</v>
      </c>
      <c r="D7658" s="1" t="s">
        <v>18</v>
      </c>
      <c r="E7658" s="1" t="s">
        <v>37</v>
      </c>
      <c r="F7658" s="2" t="s">
        <v>1142</v>
      </c>
      <c r="G7658" s="1">
        <v>106.96</v>
      </c>
      <c r="H7658" s="1">
        <v>2</v>
      </c>
      <c r="I7658" s="1">
        <v>31.0184</v>
      </c>
    </row>
    <row r="7659" spans="1:9" x14ac:dyDescent="0.35">
      <c r="A7659" s="3" t="s">
        <v>3786</v>
      </c>
      <c r="B7659" s="1" t="s">
        <v>153</v>
      </c>
      <c r="C7659" s="1" t="s">
        <v>17</v>
      </c>
      <c r="D7659" s="1" t="s">
        <v>18</v>
      </c>
      <c r="E7659" s="1" t="s">
        <v>29</v>
      </c>
      <c r="F7659" s="2" t="s">
        <v>519</v>
      </c>
      <c r="G7659" s="1">
        <v>187.76</v>
      </c>
      <c r="H7659" s="1">
        <v>4</v>
      </c>
      <c r="I7659" s="1">
        <v>76.9816</v>
      </c>
    </row>
    <row r="7660" spans="1:9" x14ac:dyDescent="0.35">
      <c r="A7660" s="3" t="s">
        <v>3787</v>
      </c>
      <c r="B7660" s="1" t="s">
        <v>2457</v>
      </c>
      <c r="C7660" s="1" t="s">
        <v>536</v>
      </c>
      <c r="D7660" s="1" t="s">
        <v>250</v>
      </c>
      <c r="E7660" s="1" t="s">
        <v>35</v>
      </c>
      <c r="F7660" s="2" t="s">
        <v>1167</v>
      </c>
      <c r="G7660" s="1">
        <v>76.775999999999996</v>
      </c>
      <c r="H7660" s="1">
        <v>4</v>
      </c>
      <c r="I7660" s="1">
        <v>-53.743200000000002</v>
      </c>
    </row>
    <row r="7661" spans="1:9" x14ac:dyDescent="0.35">
      <c r="A7661" s="3">
        <v>42741</v>
      </c>
      <c r="B7661" s="1" t="s">
        <v>241</v>
      </c>
      <c r="C7661" s="1" t="s">
        <v>69</v>
      </c>
      <c r="D7661" s="1" t="s">
        <v>70</v>
      </c>
      <c r="E7661" s="1" t="s">
        <v>35</v>
      </c>
      <c r="F7661" s="2" t="s">
        <v>1409</v>
      </c>
      <c r="G7661" s="1">
        <v>53.9</v>
      </c>
      <c r="H7661" s="1">
        <v>5</v>
      </c>
      <c r="I7661" s="1">
        <v>25.872</v>
      </c>
    </row>
    <row r="7662" spans="1:9" x14ac:dyDescent="0.35">
      <c r="A7662" s="3">
        <v>41821</v>
      </c>
      <c r="B7662" s="1" t="s">
        <v>2781</v>
      </c>
      <c r="C7662" s="1" t="s">
        <v>785</v>
      </c>
      <c r="D7662" s="1" t="s">
        <v>52</v>
      </c>
      <c r="E7662" s="1" t="s">
        <v>29</v>
      </c>
      <c r="F7662" s="2" t="s">
        <v>801</v>
      </c>
      <c r="G7662" s="1">
        <v>76.727999999999994</v>
      </c>
      <c r="H7662" s="1">
        <v>3</v>
      </c>
      <c r="I7662" s="1">
        <v>-53.709600000000002</v>
      </c>
    </row>
    <row r="7663" spans="1:9" x14ac:dyDescent="0.35">
      <c r="A7663" s="3">
        <v>41821</v>
      </c>
      <c r="B7663" s="1" t="s">
        <v>2781</v>
      </c>
      <c r="C7663" s="1" t="s">
        <v>785</v>
      </c>
      <c r="D7663" s="1" t="s">
        <v>52</v>
      </c>
      <c r="E7663" s="1" t="s">
        <v>35</v>
      </c>
      <c r="F7663" s="2" t="s">
        <v>1653</v>
      </c>
      <c r="G7663" s="1">
        <v>10.43</v>
      </c>
      <c r="H7663" s="1">
        <v>7</v>
      </c>
      <c r="I7663" s="1">
        <v>-18.252500000000001</v>
      </c>
    </row>
    <row r="7664" spans="1:9" x14ac:dyDescent="0.35">
      <c r="A7664" s="3" t="s">
        <v>3555</v>
      </c>
      <c r="B7664" s="1" t="s">
        <v>2246</v>
      </c>
      <c r="C7664" s="1" t="s">
        <v>17</v>
      </c>
      <c r="D7664" s="1" t="s">
        <v>18</v>
      </c>
      <c r="E7664" s="1" t="s">
        <v>31</v>
      </c>
      <c r="F7664" s="2" t="s">
        <v>1941</v>
      </c>
      <c r="G7664" s="1">
        <v>99.2</v>
      </c>
      <c r="H7664" s="1">
        <v>5</v>
      </c>
      <c r="I7664" s="1">
        <v>25.792000000000002</v>
      </c>
    </row>
    <row r="7665" spans="1:9" x14ac:dyDescent="0.35">
      <c r="A7665" s="3" t="s">
        <v>3788</v>
      </c>
      <c r="B7665" s="1" t="s">
        <v>2199</v>
      </c>
      <c r="C7665" s="1" t="s">
        <v>1121</v>
      </c>
      <c r="D7665" s="1" t="s">
        <v>43</v>
      </c>
      <c r="E7665" s="1" t="s">
        <v>31</v>
      </c>
      <c r="F7665" s="2" t="s">
        <v>1220</v>
      </c>
      <c r="G7665" s="1">
        <v>15.92</v>
      </c>
      <c r="H7665" s="1">
        <v>5</v>
      </c>
      <c r="I7665" s="1">
        <v>2.786</v>
      </c>
    </row>
    <row r="7666" spans="1:9" x14ac:dyDescent="0.35">
      <c r="A7666" s="3" t="s">
        <v>3181</v>
      </c>
      <c r="B7666" s="1" t="s">
        <v>2264</v>
      </c>
      <c r="C7666" s="1" t="s">
        <v>1093</v>
      </c>
      <c r="D7666" s="1" t="s">
        <v>362</v>
      </c>
      <c r="E7666" s="1" t="s">
        <v>29</v>
      </c>
      <c r="F7666" s="2" t="s">
        <v>2539</v>
      </c>
      <c r="G7666" s="1">
        <v>129.91999999999999</v>
      </c>
      <c r="H7666" s="1">
        <v>4</v>
      </c>
      <c r="I7666" s="1">
        <v>10.393599999999999</v>
      </c>
    </row>
    <row r="7667" spans="1:9" x14ac:dyDescent="0.35">
      <c r="A7667" s="3">
        <v>42470</v>
      </c>
      <c r="B7667" s="1" t="s">
        <v>2383</v>
      </c>
      <c r="C7667" s="1" t="s">
        <v>1544</v>
      </c>
      <c r="D7667" s="1" t="s">
        <v>663</v>
      </c>
      <c r="E7667" s="1" t="s">
        <v>35</v>
      </c>
      <c r="F7667" s="2" t="s">
        <v>1672</v>
      </c>
      <c r="G7667" s="1">
        <v>30.4</v>
      </c>
      <c r="H7667" s="1">
        <v>1</v>
      </c>
      <c r="I7667" s="1">
        <v>13.984</v>
      </c>
    </row>
    <row r="7668" spans="1:9" x14ac:dyDescent="0.35">
      <c r="A7668" s="3">
        <v>42470</v>
      </c>
      <c r="B7668" s="1" t="s">
        <v>2383</v>
      </c>
      <c r="C7668" s="1" t="s">
        <v>1544</v>
      </c>
      <c r="D7668" s="1" t="s">
        <v>663</v>
      </c>
      <c r="E7668" s="1" t="s">
        <v>579</v>
      </c>
      <c r="F7668" s="2" t="s">
        <v>580</v>
      </c>
      <c r="G7668" s="1">
        <v>5399.91</v>
      </c>
      <c r="H7668" s="1">
        <v>9</v>
      </c>
      <c r="I7668" s="1">
        <v>2591.9567999999999</v>
      </c>
    </row>
    <row r="7669" spans="1:9" x14ac:dyDescent="0.35">
      <c r="A7669" s="3">
        <v>42470</v>
      </c>
      <c r="B7669" s="1" t="s">
        <v>2383</v>
      </c>
      <c r="C7669" s="1" t="s">
        <v>1544</v>
      </c>
      <c r="D7669" s="1" t="s">
        <v>663</v>
      </c>
      <c r="E7669" s="1" t="s">
        <v>26</v>
      </c>
      <c r="F7669" s="2" t="s">
        <v>2857</v>
      </c>
      <c r="G7669" s="1">
        <v>119.1</v>
      </c>
      <c r="H7669" s="1">
        <v>3</v>
      </c>
      <c r="I7669" s="1">
        <v>34.539000000000001</v>
      </c>
    </row>
    <row r="7670" spans="1:9" x14ac:dyDescent="0.35">
      <c r="A7670" s="3" t="s">
        <v>3327</v>
      </c>
      <c r="B7670" s="1" t="s">
        <v>92</v>
      </c>
      <c r="C7670" s="1" t="s">
        <v>1739</v>
      </c>
      <c r="D7670" s="1" t="s">
        <v>592</v>
      </c>
      <c r="E7670" s="1" t="s">
        <v>44</v>
      </c>
      <c r="F7670" s="2" t="s">
        <v>1022</v>
      </c>
      <c r="G7670" s="1">
        <v>40.08</v>
      </c>
      <c r="H7670" s="1">
        <v>6</v>
      </c>
      <c r="I7670" s="1">
        <v>19.238399999999999</v>
      </c>
    </row>
    <row r="7671" spans="1:9" x14ac:dyDescent="0.35">
      <c r="A7671" s="3" t="s">
        <v>3327</v>
      </c>
      <c r="B7671" s="1" t="s">
        <v>92</v>
      </c>
      <c r="C7671" s="1" t="s">
        <v>1739</v>
      </c>
      <c r="D7671" s="1" t="s">
        <v>592</v>
      </c>
      <c r="E7671" s="1" t="s">
        <v>44</v>
      </c>
      <c r="F7671" s="2" t="s">
        <v>1189</v>
      </c>
      <c r="G7671" s="1">
        <v>59.94</v>
      </c>
      <c r="H7671" s="1">
        <v>3</v>
      </c>
      <c r="I7671" s="1">
        <v>28.171800000000001</v>
      </c>
    </row>
    <row r="7672" spans="1:9" x14ac:dyDescent="0.35">
      <c r="A7672" s="3" t="s">
        <v>3327</v>
      </c>
      <c r="B7672" s="1" t="s">
        <v>92</v>
      </c>
      <c r="C7672" s="1" t="s">
        <v>1739</v>
      </c>
      <c r="D7672" s="1" t="s">
        <v>592</v>
      </c>
      <c r="E7672" s="1" t="s">
        <v>81</v>
      </c>
      <c r="F7672" s="2" t="s">
        <v>2163</v>
      </c>
      <c r="G7672" s="1">
        <v>259.98</v>
      </c>
      <c r="H7672" s="1">
        <v>2</v>
      </c>
      <c r="I7672" s="1">
        <v>88.393199999999993</v>
      </c>
    </row>
    <row r="7673" spans="1:9" x14ac:dyDescent="0.35">
      <c r="A7673" s="3" t="s">
        <v>3327</v>
      </c>
      <c r="B7673" s="1" t="s">
        <v>92</v>
      </c>
      <c r="C7673" s="1" t="s">
        <v>1739</v>
      </c>
      <c r="D7673" s="1" t="s">
        <v>592</v>
      </c>
      <c r="E7673" s="1" t="s">
        <v>12</v>
      </c>
      <c r="F7673" s="2" t="s">
        <v>2543</v>
      </c>
      <c r="G7673" s="1">
        <v>170.98</v>
      </c>
      <c r="H7673" s="1">
        <v>1</v>
      </c>
      <c r="I7673" s="1">
        <v>32.486199999999997</v>
      </c>
    </row>
    <row r="7674" spans="1:9" x14ac:dyDescent="0.35">
      <c r="A7674" s="3" t="s">
        <v>3327</v>
      </c>
      <c r="B7674" s="1" t="s">
        <v>92</v>
      </c>
      <c r="C7674" s="1" t="s">
        <v>1739</v>
      </c>
      <c r="D7674" s="1" t="s">
        <v>592</v>
      </c>
      <c r="E7674" s="1" t="s">
        <v>29</v>
      </c>
      <c r="F7674" s="2" t="s">
        <v>3062</v>
      </c>
      <c r="G7674" s="1">
        <v>38.97</v>
      </c>
      <c r="H7674" s="1">
        <v>3</v>
      </c>
      <c r="I7674" s="1">
        <v>4.6764000000000001</v>
      </c>
    </row>
    <row r="7675" spans="1:9" x14ac:dyDescent="0.35">
      <c r="A7675" s="3" t="s">
        <v>3327</v>
      </c>
      <c r="B7675" s="1" t="s">
        <v>92</v>
      </c>
      <c r="C7675" s="1" t="s">
        <v>1739</v>
      </c>
      <c r="D7675" s="1" t="s">
        <v>592</v>
      </c>
      <c r="E7675" s="1" t="s">
        <v>44</v>
      </c>
      <c r="F7675" s="2" t="s">
        <v>1711</v>
      </c>
      <c r="G7675" s="1">
        <v>154.9</v>
      </c>
      <c r="H7675" s="1">
        <v>5</v>
      </c>
      <c r="I7675" s="1">
        <v>69.704999999999998</v>
      </c>
    </row>
    <row r="7676" spans="1:9" x14ac:dyDescent="0.35">
      <c r="A7676" s="3" t="s">
        <v>3327</v>
      </c>
      <c r="B7676" s="1" t="s">
        <v>92</v>
      </c>
      <c r="C7676" s="1" t="s">
        <v>1739</v>
      </c>
      <c r="D7676" s="1" t="s">
        <v>592</v>
      </c>
      <c r="E7676" s="1" t="s">
        <v>24</v>
      </c>
      <c r="F7676" s="2" t="s">
        <v>1511</v>
      </c>
      <c r="G7676" s="1">
        <v>446.06799999999998</v>
      </c>
      <c r="H7676" s="1">
        <v>4</v>
      </c>
      <c r="I7676" s="1">
        <v>0</v>
      </c>
    </row>
    <row r="7677" spans="1:9" x14ac:dyDescent="0.35">
      <c r="A7677" s="3">
        <v>42891</v>
      </c>
      <c r="B7677" s="1" t="s">
        <v>2965</v>
      </c>
      <c r="C7677" s="1" t="s">
        <v>2044</v>
      </c>
      <c r="D7677" s="1" t="s">
        <v>18</v>
      </c>
      <c r="E7677" s="1" t="s">
        <v>37</v>
      </c>
      <c r="F7677" s="2" t="s">
        <v>855</v>
      </c>
      <c r="G7677" s="1">
        <v>152.94</v>
      </c>
      <c r="H7677" s="1">
        <v>3</v>
      </c>
      <c r="I7677" s="1">
        <v>41.293799999999997</v>
      </c>
    </row>
    <row r="7678" spans="1:9" x14ac:dyDescent="0.35">
      <c r="A7678" s="3">
        <v>41861</v>
      </c>
      <c r="B7678" s="1" t="s">
        <v>650</v>
      </c>
      <c r="C7678" s="1" t="s">
        <v>234</v>
      </c>
      <c r="D7678" s="1" t="s">
        <v>43</v>
      </c>
      <c r="E7678" s="1" t="s">
        <v>81</v>
      </c>
      <c r="F7678" s="2" t="s">
        <v>2663</v>
      </c>
      <c r="G7678" s="1">
        <v>23.472000000000001</v>
      </c>
      <c r="H7678" s="1">
        <v>3</v>
      </c>
      <c r="I7678" s="1">
        <v>4.9878</v>
      </c>
    </row>
    <row r="7679" spans="1:9" x14ac:dyDescent="0.35">
      <c r="A7679" s="3" t="s">
        <v>3569</v>
      </c>
      <c r="B7679" s="1" t="s">
        <v>1637</v>
      </c>
      <c r="C7679" s="1" t="s">
        <v>1544</v>
      </c>
      <c r="D7679" s="1" t="s">
        <v>663</v>
      </c>
      <c r="E7679" s="1" t="s">
        <v>44</v>
      </c>
      <c r="F7679" s="2" t="s">
        <v>2809</v>
      </c>
      <c r="G7679" s="1">
        <v>195.64</v>
      </c>
      <c r="H7679" s="1">
        <v>4</v>
      </c>
      <c r="I7679" s="1">
        <v>91.950800000000001</v>
      </c>
    </row>
    <row r="7680" spans="1:9" x14ac:dyDescent="0.35">
      <c r="A7680" s="3" t="s">
        <v>3569</v>
      </c>
      <c r="B7680" s="1" t="s">
        <v>1637</v>
      </c>
      <c r="C7680" s="1" t="s">
        <v>1544</v>
      </c>
      <c r="D7680" s="1" t="s">
        <v>663</v>
      </c>
      <c r="E7680" s="1" t="s">
        <v>44</v>
      </c>
      <c r="F7680" s="2" t="s">
        <v>1724</v>
      </c>
      <c r="G7680" s="1">
        <v>14.94</v>
      </c>
      <c r="H7680" s="1">
        <v>3</v>
      </c>
      <c r="I7680" s="1">
        <v>7.0217999999999998</v>
      </c>
    </row>
    <row r="7681" spans="1:9" x14ac:dyDescent="0.35">
      <c r="A7681" s="3" t="s">
        <v>3569</v>
      </c>
      <c r="B7681" s="1" t="s">
        <v>1637</v>
      </c>
      <c r="C7681" s="1" t="s">
        <v>1544</v>
      </c>
      <c r="D7681" s="1" t="s">
        <v>663</v>
      </c>
      <c r="E7681" s="1" t="s">
        <v>81</v>
      </c>
      <c r="F7681" s="2" t="s">
        <v>1797</v>
      </c>
      <c r="G7681" s="1">
        <v>1687.8</v>
      </c>
      <c r="H7681" s="1">
        <v>4</v>
      </c>
      <c r="I7681" s="1">
        <v>742.63199999999995</v>
      </c>
    </row>
    <row r="7682" spans="1:9" x14ac:dyDescent="0.35">
      <c r="A7682" s="3" t="s">
        <v>3569</v>
      </c>
      <c r="B7682" s="1" t="s">
        <v>1637</v>
      </c>
      <c r="C7682" s="1" t="s">
        <v>1544</v>
      </c>
      <c r="D7682" s="1" t="s">
        <v>663</v>
      </c>
      <c r="E7682" s="1" t="s">
        <v>12</v>
      </c>
      <c r="F7682" s="2" t="s">
        <v>1778</v>
      </c>
      <c r="G7682" s="1">
        <v>341.96</v>
      </c>
      <c r="H7682" s="1">
        <v>2</v>
      </c>
      <c r="I7682" s="1">
        <v>78.650800000000004</v>
      </c>
    </row>
    <row r="7683" spans="1:9" x14ac:dyDescent="0.35">
      <c r="A7683" s="3" t="s">
        <v>3569</v>
      </c>
      <c r="B7683" s="1" t="s">
        <v>1637</v>
      </c>
      <c r="C7683" s="1" t="s">
        <v>1544</v>
      </c>
      <c r="D7683" s="1" t="s">
        <v>663</v>
      </c>
      <c r="E7683" s="1" t="s">
        <v>14</v>
      </c>
      <c r="F7683" s="2" t="s">
        <v>102</v>
      </c>
      <c r="G7683" s="1">
        <v>605.88</v>
      </c>
      <c r="H7683" s="1">
        <v>6</v>
      </c>
      <c r="I7683" s="1">
        <v>151.47</v>
      </c>
    </row>
    <row r="7684" spans="1:9" x14ac:dyDescent="0.35">
      <c r="A7684" s="3" t="s">
        <v>3789</v>
      </c>
      <c r="B7684" s="1" t="s">
        <v>709</v>
      </c>
      <c r="C7684" s="1" t="s">
        <v>2157</v>
      </c>
      <c r="D7684" s="1" t="s">
        <v>120</v>
      </c>
      <c r="E7684" s="1" t="s">
        <v>37</v>
      </c>
      <c r="F7684" s="2" t="s">
        <v>2441</v>
      </c>
      <c r="G7684" s="1">
        <v>186.732</v>
      </c>
      <c r="H7684" s="1">
        <v>1</v>
      </c>
      <c r="I7684" s="1">
        <v>41.496000000000002</v>
      </c>
    </row>
    <row r="7685" spans="1:9" x14ac:dyDescent="0.35">
      <c r="A7685" s="3" t="s">
        <v>3789</v>
      </c>
      <c r="B7685" s="1" t="s">
        <v>709</v>
      </c>
      <c r="C7685" s="1" t="s">
        <v>2157</v>
      </c>
      <c r="D7685" s="1" t="s">
        <v>120</v>
      </c>
      <c r="E7685" s="1" t="s">
        <v>35</v>
      </c>
      <c r="F7685" s="2" t="s">
        <v>815</v>
      </c>
      <c r="G7685" s="1">
        <v>3812.97</v>
      </c>
      <c r="H7685" s="1">
        <v>3</v>
      </c>
      <c r="I7685" s="1">
        <v>1906.4849999999999</v>
      </c>
    </row>
    <row r="7686" spans="1:9" x14ac:dyDescent="0.35">
      <c r="A7686" s="3" t="s">
        <v>3536</v>
      </c>
      <c r="B7686" s="1" t="s">
        <v>325</v>
      </c>
      <c r="C7686" s="1" t="s">
        <v>197</v>
      </c>
      <c r="D7686" s="1" t="s">
        <v>136</v>
      </c>
      <c r="E7686" s="1" t="s">
        <v>35</v>
      </c>
      <c r="F7686" s="2" t="s">
        <v>3043</v>
      </c>
      <c r="G7686" s="1">
        <v>26.423999999999999</v>
      </c>
      <c r="H7686" s="1">
        <v>9</v>
      </c>
      <c r="I7686" s="1">
        <v>9.5786999999999995</v>
      </c>
    </row>
    <row r="7687" spans="1:9" x14ac:dyDescent="0.35">
      <c r="A7687" s="3" t="s">
        <v>3536</v>
      </c>
      <c r="B7687" s="1" t="s">
        <v>325</v>
      </c>
      <c r="C7687" s="1" t="s">
        <v>197</v>
      </c>
      <c r="D7687" s="1" t="s">
        <v>136</v>
      </c>
      <c r="E7687" s="1" t="s">
        <v>33</v>
      </c>
      <c r="F7687" s="2" t="s">
        <v>2859</v>
      </c>
      <c r="G7687" s="1">
        <v>625.99</v>
      </c>
      <c r="H7687" s="1">
        <v>1</v>
      </c>
      <c r="I7687" s="1">
        <v>187.797</v>
      </c>
    </row>
    <row r="7688" spans="1:9" x14ac:dyDescent="0.35">
      <c r="A7688" s="3" t="s">
        <v>3399</v>
      </c>
      <c r="B7688" s="1" t="s">
        <v>722</v>
      </c>
      <c r="C7688" s="1" t="s">
        <v>167</v>
      </c>
      <c r="D7688" s="1" t="s">
        <v>120</v>
      </c>
      <c r="E7688" s="1" t="s">
        <v>24</v>
      </c>
      <c r="F7688" s="2" t="s">
        <v>1086</v>
      </c>
      <c r="G7688" s="1">
        <v>1568.61</v>
      </c>
      <c r="H7688" s="1">
        <v>9</v>
      </c>
      <c r="I7688" s="1">
        <v>329.40809999999999</v>
      </c>
    </row>
    <row r="7689" spans="1:9" x14ac:dyDescent="0.35">
      <c r="A7689" s="3" t="s">
        <v>3399</v>
      </c>
      <c r="B7689" s="1" t="s">
        <v>722</v>
      </c>
      <c r="C7689" s="1" t="s">
        <v>167</v>
      </c>
      <c r="D7689" s="1" t="s">
        <v>120</v>
      </c>
      <c r="E7689" s="1" t="s">
        <v>35</v>
      </c>
      <c r="F7689" s="2" t="s">
        <v>334</v>
      </c>
      <c r="G7689" s="1">
        <v>17.3</v>
      </c>
      <c r="H7689" s="1">
        <v>1</v>
      </c>
      <c r="I7689" s="1">
        <v>8.3040000000000003</v>
      </c>
    </row>
    <row r="7690" spans="1:9" x14ac:dyDescent="0.35">
      <c r="A7690" s="3" t="s">
        <v>3399</v>
      </c>
      <c r="B7690" s="1" t="s">
        <v>722</v>
      </c>
      <c r="C7690" s="1" t="s">
        <v>167</v>
      </c>
      <c r="D7690" s="1" t="s">
        <v>120</v>
      </c>
      <c r="E7690" s="1" t="s">
        <v>81</v>
      </c>
      <c r="F7690" s="2" t="s">
        <v>3063</v>
      </c>
      <c r="G7690" s="1">
        <v>160</v>
      </c>
      <c r="H7690" s="1">
        <v>8</v>
      </c>
      <c r="I7690" s="1">
        <v>62.4</v>
      </c>
    </row>
    <row r="7691" spans="1:9" x14ac:dyDescent="0.35">
      <c r="A7691" s="3" t="s">
        <v>3655</v>
      </c>
      <c r="B7691" s="1" t="s">
        <v>2154</v>
      </c>
      <c r="C7691" s="1" t="s">
        <v>1832</v>
      </c>
      <c r="D7691" s="1" t="s">
        <v>163</v>
      </c>
      <c r="E7691" s="1" t="s">
        <v>37</v>
      </c>
      <c r="F7691" s="2" t="s">
        <v>1384</v>
      </c>
      <c r="G7691" s="1">
        <v>179.94</v>
      </c>
      <c r="H7691" s="1">
        <v>3</v>
      </c>
      <c r="I7691" s="1">
        <v>50.383200000000002</v>
      </c>
    </row>
    <row r="7692" spans="1:9" x14ac:dyDescent="0.35">
      <c r="A7692" s="3" t="s">
        <v>3655</v>
      </c>
      <c r="B7692" s="1" t="s">
        <v>2154</v>
      </c>
      <c r="C7692" s="1" t="s">
        <v>1832</v>
      </c>
      <c r="D7692" s="1" t="s">
        <v>163</v>
      </c>
      <c r="E7692" s="1" t="s">
        <v>24</v>
      </c>
      <c r="F7692" s="2" t="s">
        <v>584</v>
      </c>
      <c r="G7692" s="1">
        <v>872.94</v>
      </c>
      <c r="H7692" s="1">
        <v>3</v>
      </c>
      <c r="I7692" s="1">
        <v>157.1292</v>
      </c>
    </row>
    <row r="7693" spans="1:9" x14ac:dyDescent="0.35">
      <c r="A7693" s="3" t="s">
        <v>3655</v>
      </c>
      <c r="B7693" s="1" t="s">
        <v>2154</v>
      </c>
      <c r="C7693" s="1" t="s">
        <v>1832</v>
      </c>
      <c r="D7693" s="1" t="s">
        <v>163</v>
      </c>
      <c r="E7693" s="1" t="s">
        <v>44</v>
      </c>
      <c r="F7693" s="2" t="s">
        <v>207</v>
      </c>
      <c r="G7693" s="1">
        <v>12.96</v>
      </c>
      <c r="H7693" s="1">
        <v>2</v>
      </c>
      <c r="I7693" s="1">
        <v>6.2207999999999997</v>
      </c>
    </row>
    <row r="7694" spans="1:9" x14ac:dyDescent="0.35">
      <c r="A7694" s="3" t="s">
        <v>3490</v>
      </c>
      <c r="B7694" s="1" t="s">
        <v>1718</v>
      </c>
      <c r="C7694" s="1" t="s">
        <v>478</v>
      </c>
      <c r="D7694" s="1" t="s">
        <v>18</v>
      </c>
      <c r="E7694" s="1" t="s">
        <v>19</v>
      </c>
      <c r="F7694" s="2" t="s">
        <v>779</v>
      </c>
      <c r="G7694" s="1">
        <v>88.8</v>
      </c>
      <c r="H7694" s="1">
        <v>6</v>
      </c>
      <c r="I7694" s="1">
        <v>44.4</v>
      </c>
    </row>
    <row r="7695" spans="1:9" x14ac:dyDescent="0.35">
      <c r="A7695" s="3" t="s">
        <v>3490</v>
      </c>
      <c r="B7695" s="1" t="s">
        <v>1718</v>
      </c>
      <c r="C7695" s="1" t="s">
        <v>478</v>
      </c>
      <c r="D7695" s="1" t="s">
        <v>18</v>
      </c>
      <c r="E7695" s="1" t="s">
        <v>33</v>
      </c>
      <c r="F7695" s="2" t="s">
        <v>2121</v>
      </c>
      <c r="G7695" s="1">
        <v>319.96800000000002</v>
      </c>
      <c r="H7695" s="1">
        <v>4</v>
      </c>
      <c r="I7695" s="1">
        <v>35.996400000000001</v>
      </c>
    </row>
    <row r="7696" spans="1:9" x14ac:dyDescent="0.35">
      <c r="A7696" s="3" t="s">
        <v>3790</v>
      </c>
      <c r="B7696" s="1" t="s">
        <v>1798</v>
      </c>
      <c r="C7696" s="1" t="s">
        <v>47</v>
      </c>
      <c r="D7696" s="1" t="s">
        <v>48</v>
      </c>
      <c r="E7696" s="1" t="s">
        <v>14</v>
      </c>
      <c r="F7696" s="2" t="s">
        <v>1908</v>
      </c>
      <c r="G7696" s="1">
        <v>167.88800000000001</v>
      </c>
      <c r="H7696" s="1">
        <v>7</v>
      </c>
      <c r="I7696" s="1">
        <v>14.690200000000001</v>
      </c>
    </row>
    <row r="7697" spans="1:9" x14ac:dyDescent="0.35">
      <c r="A7697" s="3">
        <v>42773</v>
      </c>
      <c r="B7697" s="1" t="s">
        <v>2052</v>
      </c>
      <c r="C7697" s="1" t="s">
        <v>93</v>
      </c>
      <c r="D7697" s="1" t="s">
        <v>52</v>
      </c>
      <c r="E7697" s="1" t="s">
        <v>44</v>
      </c>
      <c r="F7697" s="2" t="s">
        <v>809</v>
      </c>
      <c r="G7697" s="1">
        <v>163.96</v>
      </c>
      <c r="H7697" s="1">
        <v>5</v>
      </c>
      <c r="I7697" s="1">
        <v>59.435499999999998</v>
      </c>
    </row>
    <row r="7698" spans="1:9" x14ac:dyDescent="0.35">
      <c r="A7698" s="3">
        <v>42773</v>
      </c>
      <c r="B7698" s="1" t="s">
        <v>2052</v>
      </c>
      <c r="C7698" s="1" t="s">
        <v>93</v>
      </c>
      <c r="D7698" s="1" t="s">
        <v>52</v>
      </c>
      <c r="E7698" s="1" t="s">
        <v>35</v>
      </c>
      <c r="F7698" s="2" t="s">
        <v>2500</v>
      </c>
      <c r="G7698" s="1">
        <v>5.2320000000000002</v>
      </c>
      <c r="H7698" s="1">
        <v>4</v>
      </c>
      <c r="I7698" s="1">
        <v>-8.1096000000000004</v>
      </c>
    </row>
    <row r="7699" spans="1:9" x14ac:dyDescent="0.35">
      <c r="A7699" s="3" t="s">
        <v>3305</v>
      </c>
      <c r="B7699" s="1" t="s">
        <v>1488</v>
      </c>
      <c r="C7699" s="1" t="s">
        <v>700</v>
      </c>
      <c r="D7699" s="1" t="s">
        <v>592</v>
      </c>
      <c r="E7699" s="1" t="s">
        <v>579</v>
      </c>
      <c r="F7699" s="2" t="s">
        <v>653</v>
      </c>
      <c r="G7699" s="1">
        <v>1199.98</v>
      </c>
      <c r="H7699" s="1">
        <v>2</v>
      </c>
      <c r="I7699" s="1">
        <v>467.99220000000003</v>
      </c>
    </row>
    <row r="7700" spans="1:9" x14ac:dyDescent="0.35">
      <c r="A7700" s="3" t="s">
        <v>3305</v>
      </c>
      <c r="B7700" s="1" t="s">
        <v>1488</v>
      </c>
      <c r="C7700" s="1" t="s">
        <v>700</v>
      </c>
      <c r="D7700" s="1" t="s">
        <v>592</v>
      </c>
      <c r="E7700" s="1" t="s">
        <v>26</v>
      </c>
      <c r="F7700" s="2" t="s">
        <v>471</v>
      </c>
      <c r="G7700" s="1">
        <v>73.849999999999994</v>
      </c>
      <c r="H7700" s="1">
        <v>1</v>
      </c>
      <c r="I7700" s="1">
        <v>2.2155</v>
      </c>
    </row>
    <row r="7701" spans="1:9" x14ac:dyDescent="0.35">
      <c r="A7701" s="3" t="s">
        <v>3305</v>
      </c>
      <c r="B7701" s="1" t="s">
        <v>1488</v>
      </c>
      <c r="C7701" s="1" t="s">
        <v>700</v>
      </c>
      <c r="D7701" s="1" t="s">
        <v>592</v>
      </c>
      <c r="E7701" s="1" t="s">
        <v>289</v>
      </c>
      <c r="F7701" s="2" t="s">
        <v>2075</v>
      </c>
      <c r="G7701" s="1">
        <v>25.71</v>
      </c>
      <c r="H7701" s="1">
        <v>3</v>
      </c>
      <c r="I7701" s="1">
        <v>6.6845999999999997</v>
      </c>
    </row>
    <row r="7702" spans="1:9" x14ac:dyDescent="0.35">
      <c r="A7702" s="3" t="s">
        <v>3305</v>
      </c>
      <c r="B7702" s="1" t="s">
        <v>1488</v>
      </c>
      <c r="C7702" s="1" t="s">
        <v>700</v>
      </c>
      <c r="D7702" s="1" t="s">
        <v>592</v>
      </c>
      <c r="E7702" s="1" t="s">
        <v>137</v>
      </c>
      <c r="F7702" s="2" t="s">
        <v>2630</v>
      </c>
      <c r="G7702" s="1">
        <v>17.28</v>
      </c>
      <c r="H7702" s="1">
        <v>6</v>
      </c>
      <c r="I7702" s="1">
        <v>8.1216000000000008</v>
      </c>
    </row>
    <row r="7703" spans="1:9" x14ac:dyDescent="0.35">
      <c r="A7703" s="3" t="s">
        <v>3305</v>
      </c>
      <c r="B7703" s="1" t="s">
        <v>1488</v>
      </c>
      <c r="C7703" s="1" t="s">
        <v>700</v>
      </c>
      <c r="D7703" s="1" t="s">
        <v>592</v>
      </c>
      <c r="E7703" s="1" t="s">
        <v>24</v>
      </c>
      <c r="F7703" s="2" t="s">
        <v>440</v>
      </c>
      <c r="G7703" s="1">
        <v>526.58199999999999</v>
      </c>
      <c r="H7703" s="1">
        <v>2</v>
      </c>
      <c r="I7703" s="1">
        <v>-52.658200000000001</v>
      </c>
    </row>
    <row r="7704" spans="1:9" x14ac:dyDescent="0.35">
      <c r="A7704" s="3" t="s">
        <v>3278</v>
      </c>
      <c r="B7704" s="1" t="s">
        <v>41</v>
      </c>
      <c r="C7704" s="1" t="s">
        <v>429</v>
      </c>
      <c r="D7704" s="1" t="s">
        <v>120</v>
      </c>
      <c r="E7704" s="1" t="s">
        <v>44</v>
      </c>
      <c r="F7704" s="2" t="s">
        <v>1398</v>
      </c>
      <c r="G7704" s="1">
        <v>11.56</v>
      </c>
      <c r="H7704" s="1">
        <v>2</v>
      </c>
      <c r="I7704" s="1">
        <v>5.6643999999999997</v>
      </c>
    </row>
    <row r="7705" spans="1:9" x14ac:dyDescent="0.35">
      <c r="A7705" s="3" t="s">
        <v>3278</v>
      </c>
      <c r="B7705" s="1" t="s">
        <v>41</v>
      </c>
      <c r="C7705" s="1" t="s">
        <v>429</v>
      </c>
      <c r="D7705" s="1" t="s">
        <v>120</v>
      </c>
      <c r="E7705" s="1" t="s">
        <v>33</v>
      </c>
      <c r="F7705" s="2" t="s">
        <v>1059</v>
      </c>
      <c r="G7705" s="1">
        <v>209.97</v>
      </c>
      <c r="H7705" s="1">
        <v>3</v>
      </c>
      <c r="I7705" s="1">
        <v>58.791600000000003</v>
      </c>
    </row>
    <row r="7706" spans="1:9" x14ac:dyDescent="0.35">
      <c r="A7706" s="3" t="s">
        <v>3278</v>
      </c>
      <c r="B7706" s="1" t="s">
        <v>41</v>
      </c>
      <c r="C7706" s="1" t="s">
        <v>429</v>
      </c>
      <c r="D7706" s="1" t="s">
        <v>120</v>
      </c>
      <c r="E7706" s="1" t="s">
        <v>24</v>
      </c>
      <c r="F7706" s="2" t="s">
        <v>1402</v>
      </c>
      <c r="G7706" s="1">
        <v>447.84</v>
      </c>
      <c r="H7706" s="1">
        <v>4</v>
      </c>
      <c r="I7706" s="1">
        <v>98.524799999999999</v>
      </c>
    </row>
    <row r="7707" spans="1:9" x14ac:dyDescent="0.35">
      <c r="A7707" s="3" t="s">
        <v>3278</v>
      </c>
      <c r="B7707" s="1" t="s">
        <v>41</v>
      </c>
      <c r="C7707" s="1" t="s">
        <v>429</v>
      </c>
      <c r="D7707" s="1" t="s">
        <v>120</v>
      </c>
      <c r="E7707" s="1" t="s">
        <v>81</v>
      </c>
      <c r="F7707" s="2" t="s">
        <v>622</v>
      </c>
      <c r="G7707" s="1">
        <v>479.97</v>
      </c>
      <c r="H7707" s="1">
        <v>3</v>
      </c>
      <c r="I7707" s="1">
        <v>163.18979999999999</v>
      </c>
    </row>
    <row r="7708" spans="1:9" x14ac:dyDescent="0.35">
      <c r="A7708" s="3" t="s">
        <v>3278</v>
      </c>
      <c r="B7708" s="1" t="s">
        <v>41</v>
      </c>
      <c r="C7708" s="1" t="s">
        <v>429</v>
      </c>
      <c r="D7708" s="1" t="s">
        <v>120</v>
      </c>
      <c r="E7708" s="1" t="s">
        <v>31</v>
      </c>
      <c r="F7708" s="2" t="s">
        <v>1171</v>
      </c>
      <c r="G7708" s="1">
        <v>8.64</v>
      </c>
      <c r="H7708" s="1">
        <v>3</v>
      </c>
      <c r="I7708" s="1">
        <v>2.5055999999999998</v>
      </c>
    </row>
    <row r="7709" spans="1:9" x14ac:dyDescent="0.35">
      <c r="A7709" s="3" t="s">
        <v>3438</v>
      </c>
      <c r="B7709" s="1" t="s">
        <v>1646</v>
      </c>
      <c r="C7709" s="1" t="s">
        <v>78</v>
      </c>
      <c r="D7709" s="1" t="s">
        <v>61</v>
      </c>
      <c r="E7709" s="1" t="s">
        <v>31</v>
      </c>
      <c r="F7709" s="2" t="s">
        <v>2770</v>
      </c>
      <c r="G7709" s="1">
        <v>11.68</v>
      </c>
      <c r="H7709" s="1">
        <v>2</v>
      </c>
      <c r="I7709" s="1">
        <v>4.2047999999999996</v>
      </c>
    </row>
    <row r="7710" spans="1:9" x14ac:dyDescent="0.35">
      <c r="A7710" s="3" t="s">
        <v>3696</v>
      </c>
      <c r="B7710" s="1" t="s">
        <v>2525</v>
      </c>
      <c r="C7710" s="1" t="s">
        <v>74</v>
      </c>
      <c r="D7710" s="1" t="s">
        <v>75</v>
      </c>
      <c r="E7710" s="1" t="s">
        <v>81</v>
      </c>
      <c r="F7710" s="2" t="s">
        <v>2690</v>
      </c>
      <c r="G7710" s="1">
        <v>40.776000000000003</v>
      </c>
      <c r="H7710" s="1">
        <v>3</v>
      </c>
      <c r="I7710" s="1">
        <v>0.50970000000000004</v>
      </c>
    </row>
    <row r="7711" spans="1:9" x14ac:dyDescent="0.35">
      <c r="A7711" s="3" t="s">
        <v>3696</v>
      </c>
      <c r="B7711" s="1" t="s">
        <v>2525</v>
      </c>
      <c r="C7711" s="1" t="s">
        <v>74</v>
      </c>
      <c r="D7711" s="1" t="s">
        <v>75</v>
      </c>
      <c r="E7711" s="1" t="s">
        <v>35</v>
      </c>
      <c r="F7711" s="2" t="s">
        <v>633</v>
      </c>
      <c r="G7711" s="1">
        <v>13.698</v>
      </c>
      <c r="H7711" s="1">
        <v>3</v>
      </c>
      <c r="I7711" s="1">
        <v>-9.5885999999999996</v>
      </c>
    </row>
    <row r="7712" spans="1:9" x14ac:dyDescent="0.35">
      <c r="A7712" s="3">
        <v>42039</v>
      </c>
      <c r="B7712" s="1" t="s">
        <v>573</v>
      </c>
      <c r="C7712" s="1" t="s">
        <v>849</v>
      </c>
      <c r="D7712" s="1" t="s">
        <v>158</v>
      </c>
      <c r="E7712" s="1" t="s">
        <v>33</v>
      </c>
      <c r="F7712" s="2" t="s">
        <v>2516</v>
      </c>
      <c r="G7712" s="1">
        <v>87.8</v>
      </c>
      <c r="H7712" s="1">
        <v>5</v>
      </c>
      <c r="I7712" s="1">
        <v>32.924999999999997</v>
      </c>
    </row>
    <row r="7713" spans="1:9" x14ac:dyDescent="0.35">
      <c r="A7713" s="3" t="s">
        <v>3524</v>
      </c>
      <c r="B7713" s="1" t="s">
        <v>233</v>
      </c>
      <c r="C7713" s="1" t="s">
        <v>796</v>
      </c>
      <c r="D7713" s="1" t="s">
        <v>43</v>
      </c>
      <c r="E7713" s="1" t="s">
        <v>29</v>
      </c>
      <c r="F7713" s="2" t="s">
        <v>2342</v>
      </c>
      <c r="G7713" s="1">
        <v>77.951999999999998</v>
      </c>
      <c r="H7713" s="1">
        <v>3</v>
      </c>
      <c r="I7713" s="1">
        <v>15.590400000000001</v>
      </c>
    </row>
    <row r="7714" spans="1:9" x14ac:dyDescent="0.35">
      <c r="A7714" s="3" t="s">
        <v>3524</v>
      </c>
      <c r="B7714" s="1" t="s">
        <v>233</v>
      </c>
      <c r="C7714" s="1" t="s">
        <v>796</v>
      </c>
      <c r="D7714" s="1" t="s">
        <v>43</v>
      </c>
      <c r="E7714" s="1" t="s">
        <v>26</v>
      </c>
      <c r="F7714" s="2" t="s">
        <v>410</v>
      </c>
      <c r="G7714" s="1">
        <v>147.184</v>
      </c>
      <c r="H7714" s="1">
        <v>2</v>
      </c>
      <c r="I7714" s="1">
        <v>-29.436800000000002</v>
      </c>
    </row>
    <row r="7715" spans="1:9" x14ac:dyDescent="0.35">
      <c r="A7715" s="3" t="s">
        <v>3524</v>
      </c>
      <c r="B7715" s="1" t="s">
        <v>233</v>
      </c>
      <c r="C7715" s="1" t="s">
        <v>796</v>
      </c>
      <c r="D7715" s="1" t="s">
        <v>43</v>
      </c>
      <c r="E7715" s="1" t="s">
        <v>44</v>
      </c>
      <c r="F7715" s="2" t="s">
        <v>2997</v>
      </c>
      <c r="G7715" s="1">
        <v>47.951999999999998</v>
      </c>
      <c r="H7715" s="1">
        <v>3</v>
      </c>
      <c r="I7715" s="1">
        <v>16.183800000000002</v>
      </c>
    </row>
    <row r="7716" spans="1:9" x14ac:dyDescent="0.35">
      <c r="A7716" s="3">
        <v>41771</v>
      </c>
      <c r="B7716" s="1" t="s">
        <v>421</v>
      </c>
      <c r="C7716" s="1" t="s">
        <v>17</v>
      </c>
      <c r="D7716" s="1" t="s">
        <v>18</v>
      </c>
      <c r="E7716" s="1" t="s">
        <v>37</v>
      </c>
      <c r="F7716" s="2" t="s">
        <v>1034</v>
      </c>
      <c r="G7716" s="1">
        <v>250.26</v>
      </c>
      <c r="H7716" s="1">
        <v>6</v>
      </c>
      <c r="I7716" s="1">
        <v>72.575400000000002</v>
      </c>
    </row>
    <row r="7717" spans="1:9" x14ac:dyDescent="0.35">
      <c r="A7717" s="3">
        <v>42805</v>
      </c>
      <c r="B7717" s="1" t="s">
        <v>1076</v>
      </c>
      <c r="C7717" s="1" t="s">
        <v>74</v>
      </c>
      <c r="D7717" s="1" t="s">
        <v>75</v>
      </c>
      <c r="E7717" s="1" t="s">
        <v>81</v>
      </c>
      <c r="F7717" s="2" t="s">
        <v>2690</v>
      </c>
      <c r="G7717" s="1">
        <v>40.776000000000003</v>
      </c>
      <c r="H7717" s="1">
        <v>3</v>
      </c>
      <c r="I7717" s="1">
        <v>0.50970000000000004</v>
      </c>
    </row>
    <row r="7718" spans="1:9" x14ac:dyDescent="0.35">
      <c r="A7718" s="3">
        <v>42156</v>
      </c>
      <c r="B7718" s="1" t="s">
        <v>1485</v>
      </c>
      <c r="C7718" s="1" t="s">
        <v>518</v>
      </c>
      <c r="D7718" s="1" t="s">
        <v>229</v>
      </c>
      <c r="E7718" s="1" t="s">
        <v>44</v>
      </c>
      <c r="F7718" s="2" t="s">
        <v>1608</v>
      </c>
      <c r="G7718" s="1">
        <v>29.6</v>
      </c>
      <c r="H7718" s="1">
        <v>5</v>
      </c>
      <c r="I7718" s="1">
        <v>9.25</v>
      </c>
    </row>
    <row r="7719" spans="1:9" x14ac:dyDescent="0.35">
      <c r="A7719" s="3">
        <v>42156</v>
      </c>
      <c r="B7719" s="1" t="s">
        <v>1485</v>
      </c>
      <c r="C7719" s="1" t="s">
        <v>518</v>
      </c>
      <c r="D7719" s="1" t="s">
        <v>229</v>
      </c>
      <c r="E7719" s="1" t="s">
        <v>35</v>
      </c>
      <c r="F7719" s="2" t="s">
        <v>905</v>
      </c>
      <c r="G7719" s="1">
        <v>1.9379999999999999</v>
      </c>
      <c r="H7719" s="1">
        <v>2</v>
      </c>
      <c r="I7719" s="1">
        <v>-1.3566</v>
      </c>
    </row>
    <row r="7720" spans="1:9" x14ac:dyDescent="0.35">
      <c r="A7720" s="3">
        <v>42987</v>
      </c>
      <c r="B7720" s="1" t="s">
        <v>831</v>
      </c>
      <c r="C7720" s="1" t="s">
        <v>17</v>
      </c>
      <c r="D7720" s="1" t="s">
        <v>18</v>
      </c>
      <c r="E7720" s="1" t="s">
        <v>81</v>
      </c>
      <c r="F7720" s="2" t="s">
        <v>2028</v>
      </c>
      <c r="G7720" s="1">
        <v>159.96</v>
      </c>
      <c r="H7720" s="1">
        <v>4</v>
      </c>
      <c r="I7720" s="1">
        <v>51.187199999999997</v>
      </c>
    </row>
    <row r="7721" spans="1:9" x14ac:dyDescent="0.35">
      <c r="A7721" s="3">
        <v>42125</v>
      </c>
      <c r="B7721" s="1" t="s">
        <v>1496</v>
      </c>
      <c r="C7721" s="1" t="s">
        <v>135</v>
      </c>
      <c r="D7721" s="1" t="s">
        <v>136</v>
      </c>
      <c r="E7721" s="1" t="s">
        <v>31</v>
      </c>
      <c r="F7721" s="2" t="s">
        <v>2496</v>
      </c>
      <c r="G7721" s="1">
        <v>59.52</v>
      </c>
      <c r="H7721" s="1">
        <v>3</v>
      </c>
      <c r="I7721" s="1">
        <v>15.475199999999999</v>
      </c>
    </row>
    <row r="7722" spans="1:9" x14ac:dyDescent="0.35">
      <c r="A7722" s="3">
        <v>42125</v>
      </c>
      <c r="B7722" s="1" t="s">
        <v>1496</v>
      </c>
      <c r="C7722" s="1" t="s">
        <v>135</v>
      </c>
      <c r="D7722" s="1" t="s">
        <v>136</v>
      </c>
      <c r="E7722" s="1" t="s">
        <v>87</v>
      </c>
      <c r="F7722" s="2" t="s">
        <v>1299</v>
      </c>
      <c r="G7722" s="1">
        <v>17.48</v>
      </c>
      <c r="H7722" s="1">
        <v>2</v>
      </c>
      <c r="I7722" s="1">
        <v>8.2156000000000002</v>
      </c>
    </row>
    <row r="7723" spans="1:9" x14ac:dyDescent="0.35">
      <c r="A7723" s="3">
        <v>42125</v>
      </c>
      <c r="B7723" s="1" t="s">
        <v>1496</v>
      </c>
      <c r="C7723" s="1" t="s">
        <v>135</v>
      </c>
      <c r="D7723" s="1" t="s">
        <v>136</v>
      </c>
      <c r="E7723" s="1" t="s">
        <v>35</v>
      </c>
      <c r="F7723" s="2" t="s">
        <v>2091</v>
      </c>
      <c r="G7723" s="1">
        <v>13.167999999999999</v>
      </c>
      <c r="H7723" s="1">
        <v>2</v>
      </c>
      <c r="I7723" s="1">
        <v>4.6087999999999996</v>
      </c>
    </row>
    <row r="7724" spans="1:9" x14ac:dyDescent="0.35">
      <c r="A7724" s="3" t="s">
        <v>3192</v>
      </c>
      <c r="B7724" s="1" t="s">
        <v>1023</v>
      </c>
      <c r="C7724" s="1" t="s">
        <v>64</v>
      </c>
      <c r="D7724" s="1" t="s">
        <v>18</v>
      </c>
      <c r="E7724" s="1" t="s">
        <v>37</v>
      </c>
      <c r="F7724" s="2" t="s">
        <v>3064</v>
      </c>
      <c r="G7724" s="1">
        <v>40.74</v>
      </c>
      <c r="H7724" s="1">
        <v>3</v>
      </c>
      <c r="I7724" s="1">
        <v>12.222</v>
      </c>
    </row>
    <row r="7725" spans="1:9" x14ac:dyDescent="0.35">
      <c r="A7725" s="3">
        <v>42286</v>
      </c>
      <c r="B7725" s="1" t="s">
        <v>2846</v>
      </c>
      <c r="C7725" s="1" t="s">
        <v>588</v>
      </c>
      <c r="D7725" s="1" t="s">
        <v>52</v>
      </c>
      <c r="E7725" s="1" t="s">
        <v>14</v>
      </c>
      <c r="F7725" s="2" t="s">
        <v>1972</v>
      </c>
      <c r="G7725" s="1">
        <v>179.886</v>
      </c>
      <c r="H7725" s="1">
        <v>1</v>
      </c>
      <c r="I7725" s="1">
        <v>-2.5697999999999999</v>
      </c>
    </row>
    <row r="7726" spans="1:9" x14ac:dyDescent="0.35">
      <c r="A7726" s="3" t="s">
        <v>3499</v>
      </c>
      <c r="B7726" s="1" t="s">
        <v>2534</v>
      </c>
      <c r="C7726" s="1" t="s">
        <v>994</v>
      </c>
      <c r="D7726" s="1" t="s">
        <v>250</v>
      </c>
      <c r="E7726" s="1" t="s">
        <v>37</v>
      </c>
      <c r="F7726" s="2" t="s">
        <v>1434</v>
      </c>
      <c r="G7726" s="1">
        <v>286.25599999999997</v>
      </c>
      <c r="H7726" s="1">
        <v>1</v>
      </c>
      <c r="I7726" s="1">
        <v>17.890999999999998</v>
      </c>
    </row>
    <row r="7727" spans="1:9" x14ac:dyDescent="0.35">
      <c r="A7727" s="3" t="s">
        <v>3499</v>
      </c>
      <c r="B7727" s="1" t="s">
        <v>2534</v>
      </c>
      <c r="C7727" s="1" t="s">
        <v>994</v>
      </c>
      <c r="D7727" s="1" t="s">
        <v>250</v>
      </c>
      <c r="E7727" s="1" t="s">
        <v>26</v>
      </c>
      <c r="F7727" s="2" t="s">
        <v>838</v>
      </c>
      <c r="G7727" s="1">
        <v>24.224</v>
      </c>
      <c r="H7727" s="1">
        <v>2</v>
      </c>
      <c r="I7727" s="1">
        <v>-4.8448000000000002</v>
      </c>
    </row>
    <row r="7728" spans="1:9" x14ac:dyDescent="0.35">
      <c r="A7728" s="3" t="s">
        <v>3499</v>
      </c>
      <c r="B7728" s="1" t="s">
        <v>2534</v>
      </c>
      <c r="C7728" s="1" t="s">
        <v>994</v>
      </c>
      <c r="D7728" s="1" t="s">
        <v>250</v>
      </c>
      <c r="E7728" s="1" t="s">
        <v>26</v>
      </c>
      <c r="F7728" s="2" t="s">
        <v>1585</v>
      </c>
      <c r="G7728" s="1">
        <v>331.536</v>
      </c>
      <c r="H7728" s="1">
        <v>3</v>
      </c>
      <c r="I7728" s="1">
        <v>-82.884</v>
      </c>
    </row>
    <row r="7729" spans="1:9" x14ac:dyDescent="0.35">
      <c r="A7729" s="3" t="s">
        <v>3592</v>
      </c>
      <c r="B7729" s="1" t="s">
        <v>356</v>
      </c>
      <c r="C7729" s="1" t="s">
        <v>135</v>
      </c>
      <c r="D7729" s="1" t="s">
        <v>136</v>
      </c>
      <c r="E7729" s="1" t="s">
        <v>31</v>
      </c>
      <c r="F7729" s="2" t="s">
        <v>2770</v>
      </c>
      <c r="G7729" s="1">
        <v>17.52</v>
      </c>
      <c r="H7729" s="1">
        <v>3</v>
      </c>
      <c r="I7729" s="1">
        <v>6.3071999999999999</v>
      </c>
    </row>
    <row r="7730" spans="1:9" x14ac:dyDescent="0.35">
      <c r="A7730" s="3" t="s">
        <v>3630</v>
      </c>
      <c r="B7730" s="1" t="s">
        <v>2361</v>
      </c>
      <c r="C7730" s="1" t="s">
        <v>1766</v>
      </c>
      <c r="D7730" s="1" t="s">
        <v>52</v>
      </c>
      <c r="E7730" s="1" t="s">
        <v>31</v>
      </c>
      <c r="F7730" s="2" t="s">
        <v>1360</v>
      </c>
      <c r="G7730" s="1">
        <v>17.856000000000002</v>
      </c>
      <c r="H7730" s="1">
        <v>4</v>
      </c>
      <c r="I7730" s="1">
        <v>4.2408000000000001</v>
      </c>
    </row>
    <row r="7731" spans="1:9" x14ac:dyDescent="0.35">
      <c r="A7731" s="3" t="s">
        <v>3220</v>
      </c>
      <c r="B7731" s="1" t="s">
        <v>750</v>
      </c>
      <c r="C7731" s="1" t="s">
        <v>2267</v>
      </c>
      <c r="D7731" s="1" t="s">
        <v>23</v>
      </c>
      <c r="E7731" s="1" t="s">
        <v>81</v>
      </c>
      <c r="F7731" s="2" t="s">
        <v>2202</v>
      </c>
      <c r="G7731" s="1">
        <v>431.976</v>
      </c>
      <c r="H7731" s="1">
        <v>3</v>
      </c>
      <c r="I7731" s="1">
        <v>-75.595799999999997</v>
      </c>
    </row>
    <row r="7732" spans="1:9" x14ac:dyDescent="0.35">
      <c r="A7732" s="3" t="s">
        <v>3768</v>
      </c>
      <c r="B7732" s="1" t="s">
        <v>310</v>
      </c>
      <c r="C7732" s="1" t="s">
        <v>47</v>
      </c>
      <c r="D7732" s="1" t="s">
        <v>48</v>
      </c>
      <c r="E7732" s="1" t="s">
        <v>14</v>
      </c>
      <c r="F7732" s="2" t="s">
        <v>1997</v>
      </c>
      <c r="G7732" s="1">
        <v>291.13600000000002</v>
      </c>
      <c r="H7732" s="1">
        <v>4</v>
      </c>
      <c r="I7732" s="1">
        <v>-25.474399999999999</v>
      </c>
    </row>
    <row r="7733" spans="1:9" x14ac:dyDescent="0.35">
      <c r="A7733" s="3" t="s">
        <v>3179</v>
      </c>
      <c r="B7733" s="1" t="s">
        <v>238</v>
      </c>
      <c r="C7733" s="1" t="s">
        <v>399</v>
      </c>
      <c r="D7733" s="1" t="s">
        <v>52</v>
      </c>
      <c r="E7733" s="1" t="s">
        <v>87</v>
      </c>
      <c r="F7733" s="2" t="s">
        <v>190</v>
      </c>
      <c r="G7733" s="1">
        <v>114.848</v>
      </c>
      <c r="H7733" s="1">
        <v>4</v>
      </c>
      <c r="I7733" s="1">
        <v>35.89</v>
      </c>
    </row>
    <row r="7734" spans="1:9" x14ac:dyDescent="0.35">
      <c r="A7734" s="3">
        <v>42772</v>
      </c>
      <c r="B7734" s="1" t="s">
        <v>1708</v>
      </c>
      <c r="C7734" s="1" t="s">
        <v>93</v>
      </c>
      <c r="D7734" s="1" t="s">
        <v>52</v>
      </c>
      <c r="E7734" s="1" t="s">
        <v>44</v>
      </c>
      <c r="F7734" s="2" t="s">
        <v>1022</v>
      </c>
      <c r="G7734" s="1">
        <v>10.688000000000001</v>
      </c>
      <c r="H7734" s="1">
        <v>2</v>
      </c>
      <c r="I7734" s="1">
        <v>3.7408000000000001</v>
      </c>
    </row>
    <row r="7735" spans="1:9" x14ac:dyDescent="0.35">
      <c r="A7735" s="3" t="s">
        <v>3595</v>
      </c>
      <c r="B7735" s="1" t="s">
        <v>1582</v>
      </c>
      <c r="C7735" s="1" t="s">
        <v>162</v>
      </c>
      <c r="D7735" s="1" t="s">
        <v>250</v>
      </c>
      <c r="E7735" s="1" t="s">
        <v>44</v>
      </c>
      <c r="F7735" s="2" t="s">
        <v>2309</v>
      </c>
      <c r="G7735" s="1">
        <v>15.231999999999999</v>
      </c>
      <c r="H7735" s="1">
        <v>4</v>
      </c>
      <c r="I7735" s="1">
        <v>5.5216000000000003</v>
      </c>
    </row>
    <row r="7736" spans="1:9" x14ac:dyDescent="0.35">
      <c r="A7736" s="3" t="s">
        <v>3687</v>
      </c>
      <c r="B7736" s="1" t="s">
        <v>1543</v>
      </c>
      <c r="C7736" s="1" t="s">
        <v>47</v>
      </c>
      <c r="D7736" s="1" t="s">
        <v>48</v>
      </c>
      <c r="E7736" s="1" t="s">
        <v>31</v>
      </c>
      <c r="F7736" s="2" t="s">
        <v>337</v>
      </c>
      <c r="G7736" s="1">
        <v>12.42</v>
      </c>
      <c r="H7736" s="1">
        <v>3</v>
      </c>
      <c r="I7736" s="1">
        <v>5.2164000000000001</v>
      </c>
    </row>
    <row r="7737" spans="1:9" x14ac:dyDescent="0.35">
      <c r="A7737" s="3" t="s">
        <v>3503</v>
      </c>
      <c r="B7737" s="1" t="s">
        <v>1356</v>
      </c>
      <c r="C7737" s="1" t="s">
        <v>47</v>
      </c>
      <c r="D7737" s="1" t="s">
        <v>48</v>
      </c>
      <c r="E7737" s="1" t="s">
        <v>44</v>
      </c>
      <c r="F7737" s="2" t="s">
        <v>1187</v>
      </c>
      <c r="G7737" s="1">
        <v>19.440000000000001</v>
      </c>
      <c r="H7737" s="1">
        <v>3</v>
      </c>
      <c r="I7737" s="1">
        <v>9.3312000000000008</v>
      </c>
    </row>
    <row r="7738" spans="1:9" x14ac:dyDescent="0.35">
      <c r="A7738" s="3" t="s">
        <v>3578</v>
      </c>
      <c r="B7738" s="1" t="s">
        <v>1796</v>
      </c>
      <c r="C7738" s="1" t="s">
        <v>135</v>
      </c>
      <c r="D7738" s="1" t="s">
        <v>136</v>
      </c>
      <c r="E7738" s="1" t="s">
        <v>35</v>
      </c>
      <c r="F7738" s="2" t="s">
        <v>1237</v>
      </c>
      <c r="G7738" s="1">
        <v>70.367999999999995</v>
      </c>
      <c r="H7738" s="1">
        <v>4</v>
      </c>
      <c r="I7738" s="1">
        <v>26.388000000000002</v>
      </c>
    </row>
    <row r="7739" spans="1:9" x14ac:dyDescent="0.35">
      <c r="A7739" s="3" t="s">
        <v>3291</v>
      </c>
      <c r="B7739" s="1" t="s">
        <v>2755</v>
      </c>
      <c r="C7739" s="1" t="s">
        <v>234</v>
      </c>
      <c r="D7739" s="1" t="s">
        <v>43</v>
      </c>
      <c r="E7739" s="1" t="s">
        <v>31</v>
      </c>
      <c r="F7739" s="2" t="s">
        <v>1749</v>
      </c>
      <c r="G7739" s="1">
        <v>12.672000000000001</v>
      </c>
      <c r="H7739" s="1">
        <v>9</v>
      </c>
      <c r="I7739" s="1">
        <v>1.4256</v>
      </c>
    </row>
    <row r="7740" spans="1:9" x14ac:dyDescent="0.35">
      <c r="A7740" s="3" t="s">
        <v>3787</v>
      </c>
      <c r="B7740" s="1" t="s">
        <v>1057</v>
      </c>
      <c r="C7740" s="1" t="s">
        <v>1875</v>
      </c>
      <c r="D7740" s="1" t="s">
        <v>1217</v>
      </c>
      <c r="E7740" s="1" t="s">
        <v>33</v>
      </c>
      <c r="F7740" s="2" t="s">
        <v>1411</v>
      </c>
      <c r="G7740" s="1">
        <v>89.95</v>
      </c>
      <c r="H7740" s="1">
        <v>5</v>
      </c>
      <c r="I7740" s="1">
        <v>43.176000000000002</v>
      </c>
    </row>
    <row r="7741" spans="1:9" x14ac:dyDescent="0.35">
      <c r="A7741" s="3" t="s">
        <v>3386</v>
      </c>
      <c r="B7741" s="1" t="s">
        <v>2345</v>
      </c>
      <c r="C7741" s="1" t="s">
        <v>64</v>
      </c>
      <c r="D7741" s="1" t="s">
        <v>18</v>
      </c>
      <c r="E7741" s="1" t="s">
        <v>44</v>
      </c>
      <c r="F7741" s="2" t="s">
        <v>1880</v>
      </c>
      <c r="G7741" s="1">
        <v>6.58</v>
      </c>
      <c r="H7741" s="1">
        <v>2</v>
      </c>
      <c r="I7741" s="1">
        <v>3.0268000000000002</v>
      </c>
    </row>
    <row r="7742" spans="1:9" x14ac:dyDescent="0.35">
      <c r="A7742" s="3" t="s">
        <v>3386</v>
      </c>
      <c r="B7742" s="1" t="s">
        <v>2345</v>
      </c>
      <c r="C7742" s="1" t="s">
        <v>64</v>
      </c>
      <c r="D7742" s="1" t="s">
        <v>18</v>
      </c>
      <c r="E7742" s="1" t="s">
        <v>81</v>
      </c>
      <c r="F7742" s="2" t="s">
        <v>2536</v>
      </c>
      <c r="G7742" s="1">
        <v>94.99</v>
      </c>
      <c r="H7742" s="1">
        <v>1</v>
      </c>
      <c r="I7742" s="1">
        <v>28.497</v>
      </c>
    </row>
    <row r="7743" spans="1:9" x14ac:dyDescent="0.35">
      <c r="A7743" s="3" t="s">
        <v>3392</v>
      </c>
      <c r="B7743" s="1" t="s">
        <v>2230</v>
      </c>
      <c r="C7743" s="1" t="s">
        <v>621</v>
      </c>
      <c r="D7743" s="1" t="s">
        <v>158</v>
      </c>
      <c r="E7743" s="1" t="s">
        <v>33</v>
      </c>
      <c r="F7743" s="2" t="s">
        <v>2516</v>
      </c>
      <c r="G7743" s="1">
        <v>35.119999999999997</v>
      </c>
      <c r="H7743" s="1">
        <v>2</v>
      </c>
      <c r="I7743" s="1">
        <v>13.17</v>
      </c>
    </row>
    <row r="7744" spans="1:9" x14ac:dyDescent="0.35">
      <c r="A7744" s="3" t="s">
        <v>3276</v>
      </c>
      <c r="B7744" s="1" t="s">
        <v>1493</v>
      </c>
      <c r="C7744" s="1" t="s">
        <v>17</v>
      </c>
      <c r="D7744" s="1" t="s">
        <v>18</v>
      </c>
      <c r="E7744" s="1" t="s">
        <v>44</v>
      </c>
      <c r="F7744" s="2" t="s">
        <v>1658</v>
      </c>
      <c r="G7744" s="1">
        <v>25.92</v>
      </c>
      <c r="H7744" s="1">
        <v>4</v>
      </c>
      <c r="I7744" s="1">
        <v>12.441599999999999</v>
      </c>
    </row>
    <row r="7745" spans="1:9" x14ac:dyDescent="0.35">
      <c r="A7745" s="3" t="s">
        <v>3158</v>
      </c>
      <c r="B7745" s="1" t="s">
        <v>1088</v>
      </c>
      <c r="C7745" s="1" t="s">
        <v>2814</v>
      </c>
      <c r="D7745" s="1" t="s">
        <v>368</v>
      </c>
      <c r="E7745" s="1" t="s">
        <v>35</v>
      </c>
      <c r="F7745" s="2" t="s">
        <v>2330</v>
      </c>
      <c r="G7745" s="1">
        <v>7.96</v>
      </c>
      <c r="H7745" s="1">
        <v>2</v>
      </c>
      <c r="I7745" s="1">
        <v>3.7412000000000001</v>
      </c>
    </row>
    <row r="7746" spans="1:9" x14ac:dyDescent="0.35">
      <c r="A7746" s="3" t="s">
        <v>3158</v>
      </c>
      <c r="B7746" s="1" t="s">
        <v>1088</v>
      </c>
      <c r="C7746" s="1" t="s">
        <v>2814</v>
      </c>
      <c r="D7746" s="1" t="s">
        <v>368</v>
      </c>
      <c r="E7746" s="1" t="s">
        <v>33</v>
      </c>
      <c r="F7746" s="2" t="s">
        <v>1466</v>
      </c>
      <c r="G7746" s="1">
        <v>566.97</v>
      </c>
      <c r="H7746" s="1">
        <v>3</v>
      </c>
      <c r="I7746" s="1">
        <v>153.08189999999999</v>
      </c>
    </row>
    <row r="7747" spans="1:9" x14ac:dyDescent="0.35">
      <c r="A7747" s="3" t="s">
        <v>3158</v>
      </c>
      <c r="B7747" s="1" t="s">
        <v>1088</v>
      </c>
      <c r="C7747" s="1" t="s">
        <v>2814</v>
      </c>
      <c r="D7747" s="1" t="s">
        <v>368</v>
      </c>
      <c r="E7747" s="1" t="s">
        <v>31</v>
      </c>
      <c r="F7747" s="2" t="s">
        <v>1597</v>
      </c>
      <c r="G7747" s="1">
        <v>9.84</v>
      </c>
      <c r="H7747" s="1">
        <v>3</v>
      </c>
      <c r="I7747" s="1">
        <v>2.8536000000000001</v>
      </c>
    </row>
    <row r="7748" spans="1:9" x14ac:dyDescent="0.35">
      <c r="A7748" s="3" t="s">
        <v>3498</v>
      </c>
      <c r="B7748" s="1" t="s">
        <v>2716</v>
      </c>
      <c r="C7748" s="1" t="s">
        <v>154</v>
      </c>
      <c r="D7748" s="1" t="s">
        <v>106</v>
      </c>
      <c r="E7748" s="1" t="s">
        <v>81</v>
      </c>
      <c r="F7748" s="2" t="s">
        <v>1349</v>
      </c>
      <c r="G7748" s="1">
        <v>25.488</v>
      </c>
      <c r="H7748" s="1">
        <v>2</v>
      </c>
      <c r="I7748" s="1">
        <v>4.7789999999999999</v>
      </c>
    </row>
    <row r="7749" spans="1:9" x14ac:dyDescent="0.35">
      <c r="A7749" s="3" t="s">
        <v>3199</v>
      </c>
      <c r="B7749" s="1" t="s">
        <v>784</v>
      </c>
      <c r="C7749" s="1" t="s">
        <v>559</v>
      </c>
      <c r="D7749" s="1" t="s">
        <v>136</v>
      </c>
      <c r="E7749" s="1" t="s">
        <v>137</v>
      </c>
      <c r="F7749" s="2" t="s">
        <v>483</v>
      </c>
      <c r="G7749" s="1">
        <v>7.56</v>
      </c>
      <c r="H7749" s="1">
        <v>6</v>
      </c>
      <c r="I7749" s="1">
        <v>0.3024</v>
      </c>
    </row>
    <row r="7750" spans="1:9" x14ac:dyDescent="0.35">
      <c r="A7750" s="3" t="s">
        <v>3515</v>
      </c>
      <c r="B7750" s="1" t="s">
        <v>677</v>
      </c>
      <c r="C7750" s="1" t="s">
        <v>540</v>
      </c>
      <c r="D7750" s="1" t="s">
        <v>163</v>
      </c>
      <c r="E7750" s="1" t="s">
        <v>29</v>
      </c>
      <c r="F7750" s="2" t="s">
        <v>2481</v>
      </c>
      <c r="G7750" s="1">
        <v>60.84</v>
      </c>
      <c r="H7750" s="1">
        <v>3</v>
      </c>
      <c r="I7750" s="1">
        <v>19.468800000000002</v>
      </c>
    </row>
    <row r="7751" spans="1:9" x14ac:dyDescent="0.35">
      <c r="A7751" s="3" t="s">
        <v>3515</v>
      </c>
      <c r="B7751" s="1" t="s">
        <v>677</v>
      </c>
      <c r="C7751" s="1" t="s">
        <v>540</v>
      </c>
      <c r="D7751" s="1" t="s">
        <v>163</v>
      </c>
      <c r="E7751" s="1" t="s">
        <v>26</v>
      </c>
      <c r="F7751" s="2" t="s">
        <v>1519</v>
      </c>
      <c r="G7751" s="1">
        <v>450.04</v>
      </c>
      <c r="H7751" s="1">
        <v>2</v>
      </c>
      <c r="I7751" s="1">
        <v>58.505200000000002</v>
      </c>
    </row>
    <row r="7752" spans="1:9" x14ac:dyDescent="0.35">
      <c r="A7752" s="3" t="s">
        <v>3515</v>
      </c>
      <c r="B7752" s="1" t="s">
        <v>677</v>
      </c>
      <c r="C7752" s="1" t="s">
        <v>540</v>
      </c>
      <c r="D7752" s="1" t="s">
        <v>163</v>
      </c>
      <c r="E7752" s="1" t="s">
        <v>35</v>
      </c>
      <c r="F7752" s="2" t="s">
        <v>334</v>
      </c>
      <c r="G7752" s="1">
        <v>34.6</v>
      </c>
      <c r="H7752" s="1">
        <v>2</v>
      </c>
      <c r="I7752" s="1">
        <v>16.608000000000001</v>
      </c>
    </row>
    <row r="7753" spans="1:9" x14ac:dyDescent="0.35">
      <c r="A7753" s="3" t="s">
        <v>3515</v>
      </c>
      <c r="B7753" s="1" t="s">
        <v>677</v>
      </c>
      <c r="C7753" s="1" t="s">
        <v>540</v>
      </c>
      <c r="D7753" s="1" t="s">
        <v>163</v>
      </c>
      <c r="E7753" s="1" t="s">
        <v>33</v>
      </c>
      <c r="F7753" s="2" t="s">
        <v>886</v>
      </c>
      <c r="G7753" s="1">
        <v>467.97</v>
      </c>
      <c r="H7753" s="1">
        <v>3</v>
      </c>
      <c r="I7753" s="1">
        <v>140.39099999999999</v>
      </c>
    </row>
    <row r="7754" spans="1:9" x14ac:dyDescent="0.35">
      <c r="A7754" s="3" t="s">
        <v>3515</v>
      </c>
      <c r="B7754" s="1" t="s">
        <v>677</v>
      </c>
      <c r="C7754" s="1" t="s">
        <v>540</v>
      </c>
      <c r="D7754" s="1" t="s">
        <v>163</v>
      </c>
      <c r="E7754" s="1" t="s">
        <v>35</v>
      </c>
      <c r="F7754" s="2" t="s">
        <v>1261</v>
      </c>
      <c r="G7754" s="1">
        <v>33.020000000000003</v>
      </c>
      <c r="H7754" s="1">
        <v>2</v>
      </c>
      <c r="I7754" s="1">
        <v>15.849600000000001</v>
      </c>
    </row>
    <row r="7755" spans="1:9" x14ac:dyDescent="0.35">
      <c r="A7755" s="3" t="s">
        <v>3301</v>
      </c>
      <c r="B7755" s="1" t="s">
        <v>1610</v>
      </c>
      <c r="C7755" s="1" t="s">
        <v>719</v>
      </c>
      <c r="D7755" s="1" t="s">
        <v>43</v>
      </c>
      <c r="E7755" s="1" t="s">
        <v>29</v>
      </c>
      <c r="F7755" s="2" t="s">
        <v>2399</v>
      </c>
      <c r="G7755" s="1">
        <v>17.088000000000001</v>
      </c>
      <c r="H7755" s="1">
        <v>2</v>
      </c>
      <c r="I7755" s="1">
        <v>1.0680000000000001</v>
      </c>
    </row>
    <row r="7756" spans="1:9" x14ac:dyDescent="0.35">
      <c r="A7756" s="3" t="s">
        <v>3253</v>
      </c>
      <c r="B7756" s="1" t="s">
        <v>1252</v>
      </c>
      <c r="C7756" s="1" t="s">
        <v>249</v>
      </c>
      <c r="D7756" s="1" t="s">
        <v>250</v>
      </c>
      <c r="E7756" s="1" t="s">
        <v>31</v>
      </c>
      <c r="F7756" s="2" t="s">
        <v>1467</v>
      </c>
      <c r="G7756" s="1">
        <v>3.008</v>
      </c>
      <c r="H7756" s="1">
        <v>2</v>
      </c>
      <c r="I7756" s="1">
        <v>0.33839999999999998</v>
      </c>
    </row>
    <row r="7757" spans="1:9" x14ac:dyDescent="0.35">
      <c r="A7757" s="3" t="s">
        <v>3272</v>
      </c>
      <c r="B7757" s="1" t="s">
        <v>935</v>
      </c>
      <c r="C7757" s="1" t="s">
        <v>234</v>
      </c>
      <c r="D7757" s="1" t="s">
        <v>43</v>
      </c>
      <c r="E7757" s="1" t="s">
        <v>44</v>
      </c>
      <c r="F7757" s="2" t="s">
        <v>3065</v>
      </c>
      <c r="G7757" s="1">
        <v>268.24</v>
      </c>
      <c r="H7757" s="1">
        <v>7</v>
      </c>
      <c r="I7757" s="1">
        <v>93.884</v>
      </c>
    </row>
    <row r="7758" spans="1:9" x14ac:dyDescent="0.35">
      <c r="A7758" s="3" t="s">
        <v>3272</v>
      </c>
      <c r="B7758" s="1" t="s">
        <v>935</v>
      </c>
      <c r="C7758" s="1" t="s">
        <v>234</v>
      </c>
      <c r="D7758" s="1" t="s">
        <v>43</v>
      </c>
      <c r="E7758" s="1" t="s">
        <v>81</v>
      </c>
      <c r="F7758" s="2" t="s">
        <v>1095</v>
      </c>
      <c r="G7758" s="1">
        <v>431.16</v>
      </c>
      <c r="H7758" s="1">
        <v>5</v>
      </c>
      <c r="I7758" s="1">
        <v>107.79</v>
      </c>
    </row>
    <row r="7759" spans="1:9" x14ac:dyDescent="0.35">
      <c r="A7759" s="3" t="s">
        <v>3165</v>
      </c>
      <c r="B7759" s="1" t="s">
        <v>1485</v>
      </c>
      <c r="C7759" s="1" t="s">
        <v>1494</v>
      </c>
      <c r="D7759" s="1" t="s">
        <v>136</v>
      </c>
      <c r="E7759" s="1" t="s">
        <v>33</v>
      </c>
      <c r="F7759" s="2" t="s">
        <v>126</v>
      </c>
      <c r="G7759" s="1">
        <v>43.6</v>
      </c>
      <c r="H7759" s="1">
        <v>4</v>
      </c>
      <c r="I7759" s="1">
        <v>12.208</v>
      </c>
    </row>
    <row r="7760" spans="1:9" x14ac:dyDescent="0.35">
      <c r="A7760" s="3" t="s">
        <v>3165</v>
      </c>
      <c r="B7760" s="1" t="s">
        <v>1485</v>
      </c>
      <c r="C7760" s="1" t="s">
        <v>1494</v>
      </c>
      <c r="D7760" s="1" t="s">
        <v>136</v>
      </c>
      <c r="E7760" s="1" t="s">
        <v>29</v>
      </c>
      <c r="F7760" s="2" t="s">
        <v>2837</v>
      </c>
      <c r="G7760" s="1">
        <v>154.94999999999999</v>
      </c>
      <c r="H7760" s="1">
        <v>3</v>
      </c>
      <c r="I7760" s="1">
        <v>30.99</v>
      </c>
    </row>
    <row r="7761" spans="1:9" x14ac:dyDescent="0.35">
      <c r="A7761" s="3" t="s">
        <v>3663</v>
      </c>
      <c r="B7761" s="1" t="s">
        <v>2485</v>
      </c>
      <c r="C7761" s="1" t="s">
        <v>93</v>
      </c>
      <c r="D7761" s="1" t="s">
        <v>52</v>
      </c>
      <c r="E7761" s="1" t="s">
        <v>44</v>
      </c>
      <c r="F7761" s="2" t="s">
        <v>1564</v>
      </c>
      <c r="G7761" s="1">
        <v>15.552</v>
      </c>
      <c r="H7761" s="1">
        <v>3</v>
      </c>
      <c r="I7761" s="1">
        <v>5.4432</v>
      </c>
    </row>
    <row r="7762" spans="1:9" x14ac:dyDescent="0.35">
      <c r="A7762" s="3">
        <v>41802</v>
      </c>
      <c r="B7762" s="1" t="s">
        <v>2927</v>
      </c>
      <c r="C7762" s="1" t="s">
        <v>170</v>
      </c>
      <c r="D7762" s="1" t="s">
        <v>171</v>
      </c>
      <c r="E7762" s="1" t="s">
        <v>44</v>
      </c>
      <c r="F7762" s="2" t="s">
        <v>1603</v>
      </c>
      <c r="G7762" s="1">
        <v>42.207999999999998</v>
      </c>
      <c r="H7762" s="1">
        <v>2</v>
      </c>
      <c r="I7762" s="1">
        <v>13.717599999999999</v>
      </c>
    </row>
    <row r="7763" spans="1:9" x14ac:dyDescent="0.35">
      <c r="A7763" s="3">
        <v>42806</v>
      </c>
      <c r="B7763" s="1" t="s">
        <v>589</v>
      </c>
      <c r="C7763" s="1" t="s">
        <v>1830</v>
      </c>
      <c r="D7763" s="1" t="s">
        <v>52</v>
      </c>
      <c r="E7763" s="1" t="s">
        <v>44</v>
      </c>
      <c r="F7763" s="2" t="s">
        <v>1919</v>
      </c>
      <c r="G7763" s="1">
        <v>10.368</v>
      </c>
      <c r="H7763" s="1">
        <v>2</v>
      </c>
      <c r="I7763" s="1">
        <v>3.6288</v>
      </c>
    </row>
    <row r="7764" spans="1:9" x14ac:dyDescent="0.35">
      <c r="A7764" s="3" t="s">
        <v>3570</v>
      </c>
      <c r="B7764" s="1" t="s">
        <v>1303</v>
      </c>
      <c r="C7764" s="1" t="s">
        <v>909</v>
      </c>
      <c r="D7764" s="1" t="s">
        <v>212</v>
      </c>
      <c r="E7764" s="1" t="s">
        <v>31</v>
      </c>
      <c r="F7764" s="2" t="s">
        <v>1782</v>
      </c>
      <c r="G7764" s="1">
        <v>2.2240000000000002</v>
      </c>
      <c r="H7764" s="1">
        <v>1</v>
      </c>
      <c r="I7764" s="1">
        <v>0.55600000000000005</v>
      </c>
    </row>
    <row r="7765" spans="1:9" x14ac:dyDescent="0.35">
      <c r="A7765" s="3">
        <v>42065</v>
      </c>
      <c r="B7765" s="1" t="s">
        <v>1376</v>
      </c>
      <c r="C7765" s="1" t="s">
        <v>249</v>
      </c>
      <c r="D7765" s="1" t="s">
        <v>604</v>
      </c>
      <c r="E7765" s="1" t="s">
        <v>87</v>
      </c>
      <c r="F7765" s="2" t="s">
        <v>332</v>
      </c>
      <c r="G7765" s="1">
        <v>74.52</v>
      </c>
      <c r="H7765" s="1">
        <v>9</v>
      </c>
      <c r="I7765" s="1">
        <v>35.0244</v>
      </c>
    </row>
    <row r="7766" spans="1:9" x14ac:dyDescent="0.35">
      <c r="A7766" s="3">
        <v>43077</v>
      </c>
      <c r="B7766" s="1" t="s">
        <v>722</v>
      </c>
      <c r="C7766" s="1" t="s">
        <v>193</v>
      </c>
      <c r="D7766" s="1" t="s">
        <v>1217</v>
      </c>
      <c r="E7766" s="1" t="s">
        <v>31</v>
      </c>
      <c r="F7766" s="2" t="s">
        <v>915</v>
      </c>
      <c r="G7766" s="1">
        <v>17.52</v>
      </c>
      <c r="H7766" s="1">
        <v>3</v>
      </c>
      <c r="I7766" s="1">
        <v>5.2560000000000002</v>
      </c>
    </row>
    <row r="7767" spans="1:9" x14ac:dyDescent="0.35">
      <c r="A7767" s="3">
        <v>43077</v>
      </c>
      <c r="B7767" s="1" t="s">
        <v>722</v>
      </c>
      <c r="C7767" s="1" t="s">
        <v>193</v>
      </c>
      <c r="D7767" s="1" t="s">
        <v>1217</v>
      </c>
      <c r="E7767" s="1" t="s">
        <v>14</v>
      </c>
      <c r="F7767" s="2" t="s">
        <v>746</v>
      </c>
      <c r="G7767" s="1">
        <v>1779.9</v>
      </c>
      <c r="H7767" s="1">
        <v>5</v>
      </c>
      <c r="I7767" s="1">
        <v>373.779</v>
      </c>
    </row>
    <row r="7768" spans="1:9" x14ac:dyDescent="0.35">
      <c r="A7768" s="3">
        <v>43077</v>
      </c>
      <c r="B7768" s="1" t="s">
        <v>722</v>
      </c>
      <c r="C7768" s="1" t="s">
        <v>193</v>
      </c>
      <c r="D7768" s="1" t="s">
        <v>1217</v>
      </c>
      <c r="E7768" s="1" t="s">
        <v>31</v>
      </c>
      <c r="F7768" s="2" t="s">
        <v>737</v>
      </c>
      <c r="G7768" s="1">
        <v>219.9</v>
      </c>
      <c r="H7768" s="1">
        <v>5</v>
      </c>
      <c r="I7768" s="1">
        <v>59.372999999999998</v>
      </c>
    </row>
    <row r="7769" spans="1:9" x14ac:dyDescent="0.35">
      <c r="A7769" s="3" t="s">
        <v>3343</v>
      </c>
      <c r="B7769" s="1" t="s">
        <v>639</v>
      </c>
      <c r="C7769" s="1" t="s">
        <v>211</v>
      </c>
      <c r="D7769" s="1" t="s">
        <v>212</v>
      </c>
      <c r="E7769" s="1" t="s">
        <v>31</v>
      </c>
      <c r="F7769" s="2" t="s">
        <v>186</v>
      </c>
      <c r="G7769" s="1">
        <v>7.1520000000000001</v>
      </c>
      <c r="H7769" s="1">
        <v>3</v>
      </c>
      <c r="I7769" s="1">
        <v>0.71519999999999995</v>
      </c>
    </row>
    <row r="7770" spans="1:9" x14ac:dyDescent="0.35">
      <c r="A7770" s="3">
        <v>43080</v>
      </c>
      <c r="B7770" s="1" t="s">
        <v>1604</v>
      </c>
      <c r="C7770" s="1" t="s">
        <v>2267</v>
      </c>
      <c r="D7770" s="1" t="s">
        <v>23</v>
      </c>
      <c r="E7770" s="1" t="s">
        <v>44</v>
      </c>
      <c r="F7770" s="2" t="s">
        <v>1148</v>
      </c>
      <c r="G7770" s="1">
        <v>26.72</v>
      </c>
      <c r="H7770" s="1">
        <v>5</v>
      </c>
      <c r="I7770" s="1">
        <v>9.3520000000000003</v>
      </c>
    </row>
    <row r="7771" spans="1:9" x14ac:dyDescent="0.35">
      <c r="A7771" s="3">
        <v>42377</v>
      </c>
      <c r="B7771" s="1" t="s">
        <v>547</v>
      </c>
      <c r="C7771" s="1" t="s">
        <v>1263</v>
      </c>
      <c r="D7771" s="1" t="s">
        <v>18</v>
      </c>
      <c r="E7771" s="1" t="s">
        <v>33</v>
      </c>
      <c r="F7771" s="2" t="s">
        <v>1915</v>
      </c>
      <c r="G7771" s="1">
        <v>1039.7280000000001</v>
      </c>
      <c r="H7771" s="1">
        <v>2</v>
      </c>
      <c r="I7771" s="1">
        <v>90.976200000000006</v>
      </c>
    </row>
    <row r="7772" spans="1:9" x14ac:dyDescent="0.35">
      <c r="A7772" s="3">
        <v>42377</v>
      </c>
      <c r="B7772" s="1" t="s">
        <v>547</v>
      </c>
      <c r="C7772" s="1" t="s">
        <v>1263</v>
      </c>
      <c r="D7772" s="1" t="s">
        <v>18</v>
      </c>
      <c r="E7772" s="1" t="s">
        <v>37</v>
      </c>
      <c r="F7772" s="2" t="s">
        <v>38</v>
      </c>
      <c r="G7772" s="1">
        <v>45.96</v>
      </c>
      <c r="H7772" s="1">
        <v>2</v>
      </c>
      <c r="I7772" s="1">
        <v>13.788</v>
      </c>
    </row>
    <row r="7773" spans="1:9" x14ac:dyDescent="0.35">
      <c r="A7773" s="3" t="s">
        <v>3399</v>
      </c>
      <c r="B7773" s="1" t="s">
        <v>1692</v>
      </c>
      <c r="C7773" s="1" t="s">
        <v>1114</v>
      </c>
      <c r="D7773" s="1" t="s">
        <v>250</v>
      </c>
      <c r="E7773" s="1" t="s">
        <v>35</v>
      </c>
      <c r="F7773" s="2" t="s">
        <v>1202</v>
      </c>
      <c r="G7773" s="1">
        <v>456.58800000000002</v>
      </c>
      <c r="H7773" s="1">
        <v>2</v>
      </c>
      <c r="I7773" s="1">
        <v>-304.392</v>
      </c>
    </row>
    <row r="7774" spans="1:9" x14ac:dyDescent="0.35">
      <c r="A7774" s="3" t="s">
        <v>3399</v>
      </c>
      <c r="B7774" s="1" t="s">
        <v>1692</v>
      </c>
      <c r="C7774" s="1" t="s">
        <v>1114</v>
      </c>
      <c r="D7774" s="1" t="s">
        <v>250</v>
      </c>
      <c r="E7774" s="1" t="s">
        <v>338</v>
      </c>
      <c r="F7774" s="2" t="s">
        <v>2490</v>
      </c>
      <c r="G7774" s="1">
        <v>4499.9849999999997</v>
      </c>
      <c r="H7774" s="1">
        <v>5</v>
      </c>
      <c r="I7774" s="1">
        <v>-6599.9780000000001</v>
      </c>
    </row>
    <row r="7775" spans="1:9" x14ac:dyDescent="0.35">
      <c r="A7775" s="3" t="s">
        <v>3399</v>
      </c>
      <c r="B7775" s="1" t="s">
        <v>1692</v>
      </c>
      <c r="C7775" s="1" t="s">
        <v>1114</v>
      </c>
      <c r="D7775" s="1" t="s">
        <v>250</v>
      </c>
      <c r="E7775" s="1" t="s">
        <v>81</v>
      </c>
      <c r="F7775" s="2" t="s">
        <v>3066</v>
      </c>
      <c r="G7775" s="1">
        <v>59.975999999999999</v>
      </c>
      <c r="H7775" s="1">
        <v>3</v>
      </c>
      <c r="I7775" s="1">
        <v>11.995200000000001</v>
      </c>
    </row>
    <row r="7776" spans="1:9" x14ac:dyDescent="0.35">
      <c r="A7776" s="3" t="s">
        <v>3791</v>
      </c>
      <c r="B7776" s="1" t="s">
        <v>2679</v>
      </c>
      <c r="C7776" s="1" t="s">
        <v>64</v>
      </c>
      <c r="D7776" s="1" t="s">
        <v>18</v>
      </c>
      <c r="E7776" s="1" t="s">
        <v>87</v>
      </c>
      <c r="F7776" s="2" t="s">
        <v>88</v>
      </c>
      <c r="G7776" s="1">
        <v>6.12</v>
      </c>
      <c r="H7776" s="1">
        <v>3</v>
      </c>
      <c r="I7776" s="1">
        <v>2.8763999999999998</v>
      </c>
    </row>
    <row r="7777" spans="1:9" x14ac:dyDescent="0.35">
      <c r="A7777" s="3" t="s">
        <v>3310</v>
      </c>
      <c r="B7777" s="1" t="s">
        <v>1844</v>
      </c>
      <c r="C7777" s="1" t="s">
        <v>2862</v>
      </c>
      <c r="D7777" s="1" t="s">
        <v>18</v>
      </c>
      <c r="E7777" s="1" t="s">
        <v>37</v>
      </c>
      <c r="F7777" s="2" t="s">
        <v>676</v>
      </c>
      <c r="G7777" s="1">
        <v>10.98</v>
      </c>
      <c r="H7777" s="1">
        <v>1</v>
      </c>
      <c r="I7777" s="1">
        <v>2.9645999999999999</v>
      </c>
    </row>
    <row r="7778" spans="1:9" x14ac:dyDescent="0.35">
      <c r="A7778" s="3" t="s">
        <v>3310</v>
      </c>
      <c r="B7778" s="1" t="s">
        <v>1844</v>
      </c>
      <c r="C7778" s="1" t="s">
        <v>2862</v>
      </c>
      <c r="D7778" s="1" t="s">
        <v>18</v>
      </c>
      <c r="E7778" s="1" t="s">
        <v>137</v>
      </c>
      <c r="F7778" s="2" t="s">
        <v>281</v>
      </c>
      <c r="G7778" s="1">
        <v>7.86</v>
      </c>
      <c r="H7778" s="1">
        <v>3</v>
      </c>
      <c r="I7778" s="1">
        <v>3.6156000000000001</v>
      </c>
    </row>
    <row r="7779" spans="1:9" x14ac:dyDescent="0.35">
      <c r="A7779" s="3" t="s">
        <v>3310</v>
      </c>
      <c r="B7779" s="1" t="s">
        <v>1844</v>
      </c>
      <c r="C7779" s="1" t="s">
        <v>2862</v>
      </c>
      <c r="D7779" s="1" t="s">
        <v>18</v>
      </c>
      <c r="E7779" s="1" t="s">
        <v>26</v>
      </c>
      <c r="F7779" s="2" t="s">
        <v>825</v>
      </c>
      <c r="G7779" s="1">
        <v>51.45</v>
      </c>
      <c r="H7779" s="1">
        <v>3</v>
      </c>
      <c r="I7779" s="1">
        <v>13.891500000000001</v>
      </c>
    </row>
    <row r="7780" spans="1:9" x14ac:dyDescent="0.35">
      <c r="A7780" s="3" t="s">
        <v>3310</v>
      </c>
      <c r="B7780" s="1" t="s">
        <v>1844</v>
      </c>
      <c r="C7780" s="1" t="s">
        <v>2862</v>
      </c>
      <c r="D7780" s="1" t="s">
        <v>18</v>
      </c>
      <c r="E7780" s="1" t="s">
        <v>35</v>
      </c>
      <c r="F7780" s="2" t="s">
        <v>1823</v>
      </c>
      <c r="G7780" s="1">
        <v>37.055999999999997</v>
      </c>
      <c r="H7780" s="1">
        <v>3</v>
      </c>
      <c r="I7780" s="1">
        <v>13.896000000000001</v>
      </c>
    </row>
    <row r="7781" spans="1:9" x14ac:dyDescent="0.35">
      <c r="A7781" s="3" t="s">
        <v>3792</v>
      </c>
      <c r="B7781" s="1" t="s">
        <v>675</v>
      </c>
      <c r="C7781" s="1" t="s">
        <v>2009</v>
      </c>
      <c r="D7781" s="1" t="s">
        <v>163</v>
      </c>
      <c r="E7781" s="1" t="s">
        <v>37</v>
      </c>
      <c r="F7781" s="2" t="s">
        <v>855</v>
      </c>
      <c r="G7781" s="1">
        <v>203.92</v>
      </c>
      <c r="H7781" s="1">
        <v>4</v>
      </c>
      <c r="I7781" s="1">
        <v>55.058399999999999</v>
      </c>
    </row>
    <row r="7782" spans="1:9" x14ac:dyDescent="0.35">
      <c r="A7782" s="3" t="s">
        <v>3792</v>
      </c>
      <c r="B7782" s="1" t="s">
        <v>675</v>
      </c>
      <c r="C7782" s="1" t="s">
        <v>2009</v>
      </c>
      <c r="D7782" s="1" t="s">
        <v>163</v>
      </c>
      <c r="E7782" s="1" t="s">
        <v>33</v>
      </c>
      <c r="F7782" s="2" t="s">
        <v>1958</v>
      </c>
      <c r="G7782" s="1">
        <v>29.56</v>
      </c>
      <c r="H7782" s="1">
        <v>4</v>
      </c>
      <c r="I7782" s="1">
        <v>7.9812000000000003</v>
      </c>
    </row>
    <row r="7783" spans="1:9" x14ac:dyDescent="0.35">
      <c r="A7783" s="3">
        <v>42219</v>
      </c>
      <c r="B7783" s="1" t="s">
        <v>1376</v>
      </c>
      <c r="C7783" s="1" t="s">
        <v>154</v>
      </c>
      <c r="D7783" s="1" t="s">
        <v>106</v>
      </c>
      <c r="E7783" s="1" t="s">
        <v>35</v>
      </c>
      <c r="F7783" s="2" t="s">
        <v>529</v>
      </c>
      <c r="G7783" s="1">
        <v>8.5679999999999996</v>
      </c>
      <c r="H7783" s="1">
        <v>3</v>
      </c>
      <c r="I7783" s="1">
        <v>-14.5656</v>
      </c>
    </row>
    <row r="7784" spans="1:9" x14ac:dyDescent="0.35">
      <c r="A7784" s="3">
        <v>42471</v>
      </c>
      <c r="B7784" s="1" t="s">
        <v>218</v>
      </c>
      <c r="C7784" s="1" t="s">
        <v>234</v>
      </c>
      <c r="D7784" s="1" t="s">
        <v>43</v>
      </c>
      <c r="E7784" s="1" t="s">
        <v>26</v>
      </c>
      <c r="F7784" s="2" t="s">
        <v>201</v>
      </c>
      <c r="G7784" s="1">
        <v>45.247999999999998</v>
      </c>
      <c r="H7784" s="1">
        <v>2</v>
      </c>
      <c r="I7784" s="1">
        <v>3.9592000000000001</v>
      </c>
    </row>
    <row r="7785" spans="1:9" x14ac:dyDescent="0.35">
      <c r="A7785" s="3">
        <v>42471</v>
      </c>
      <c r="B7785" s="1" t="s">
        <v>218</v>
      </c>
      <c r="C7785" s="1" t="s">
        <v>234</v>
      </c>
      <c r="D7785" s="1" t="s">
        <v>43</v>
      </c>
      <c r="E7785" s="1" t="s">
        <v>24</v>
      </c>
      <c r="F7785" s="2" t="s">
        <v>530</v>
      </c>
      <c r="G7785" s="1">
        <v>876.3</v>
      </c>
      <c r="H7785" s="1">
        <v>10</v>
      </c>
      <c r="I7785" s="1">
        <v>-292.10000000000002</v>
      </c>
    </row>
    <row r="7786" spans="1:9" x14ac:dyDescent="0.35">
      <c r="A7786" s="3">
        <v>42471</v>
      </c>
      <c r="B7786" s="1" t="s">
        <v>218</v>
      </c>
      <c r="C7786" s="1" t="s">
        <v>234</v>
      </c>
      <c r="D7786" s="1" t="s">
        <v>43</v>
      </c>
      <c r="E7786" s="1" t="s">
        <v>289</v>
      </c>
      <c r="F7786" s="2" t="s">
        <v>753</v>
      </c>
      <c r="G7786" s="1">
        <v>185.376</v>
      </c>
      <c r="H7786" s="1">
        <v>2</v>
      </c>
      <c r="I7786" s="1">
        <v>-34.758000000000003</v>
      </c>
    </row>
    <row r="7787" spans="1:9" x14ac:dyDescent="0.35">
      <c r="A7787" s="3" t="s">
        <v>3548</v>
      </c>
      <c r="B7787" s="1" t="s">
        <v>691</v>
      </c>
      <c r="C7787" s="1" t="s">
        <v>135</v>
      </c>
      <c r="D7787" s="1" t="s">
        <v>136</v>
      </c>
      <c r="E7787" s="1" t="s">
        <v>19</v>
      </c>
      <c r="F7787" s="2" t="s">
        <v>131</v>
      </c>
      <c r="G7787" s="1">
        <v>25.06</v>
      </c>
      <c r="H7787" s="1">
        <v>2</v>
      </c>
      <c r="I7787" s="1">
        <v>11.7782</v>
      </c>
    </row>
    <row r="7788" spans="1:9" x14ac:dyDescent="0.35">
      <c r="A7788" s="3" t="s">
        <v>3584</v>
      </c>
      <c r="B7788" s="1" t="s">
        <v>2010</v>
      </c>
      <c r="C7788" s="1" t="s">
        <v>154</v>
      </c>
      <c r="D7788" s="1" t="s">
        <v>106</v>
      </c>
      <c r="E7788" s="1" t="s">
        <v>35</v>
      </c>
      <c r="F7788" s="2" t="s">
        <v>2996</v>
      </c>
      <c r="G7788" s="1">
        <v>2.89</v>
      </c>
      <c r="H7788" s="1">
        <v>1</v>
      </c>
      <c r="I7788" s="1">
        <v>-4.7685000000000004</v>
      </c>
    </row>
    <row r="7789" spans="1:9" x14ac:dyDescent="0.35">
      <c r="A7789" s="3" t="s">
        <v>3584</v>
      </c>
      <c r="B7789" s="1" t="s">
        <v>2010</v>
      </c>
      <c r="C7789" s="1" t="s">
        <v>154</v>
      </c>
      <c r="D7789" s="1" t="s">
        <v>106</v>
      </c>
      <c r="E7789" s="1" t="s">
        <v>137</v>
      </c>
      <c r="F7789" s="2" t="s">
        <v>2189</v>
      </c>
      <c r="G7789" s="1">
        <v>7.8959999999999999</v>
      </c>
      <c r="H7789" s="1">
        <v>3</v>
      </c>
      <c r="I7789" s="1">
        <v>2.4674999999999998</v>
      </c>
    </row>
    <row r="7790" spans="1:9" x14ac:dyDescent="0.35">
      <c r="A7790" s="3" t="s">
        <v>3584</v>
      </c>
      <c r="B7790" s="1" t="s">
        <v>2010</v>
      </c>
      <c r="C7790" s="1" t="s">
        <v>154</v>
      </c>
      <c r="D7790" s="1" t="s">
        <v>106</v>
      </c>
      <c r="E7790" s="1" t="s">
        <v>29</v>
      </c>
      <c r="F7790" s="2" t="s">
        <v>1928</v>
      </c>
      <c r="G7790" s="1">
        <v>22.608000000000001</v>
      </c>
      <c r="H7790" s="1">
        <v>3</v>
      </c>
      <c r="I7790" s="1">
        <v>-10.1736</v>
      </c>
    </row>
    <row r="7791" spans="1:9" x14ac:dyDescent="0.35">
      <c r="A7791" s="3" t="s">
        <v>3584</v>
      </c>
      <c r="B7791" s="1" t="s">
        <v>2010</v>
      </c>
      <c r="C7791" s="1" t="s">
        <v>154</v>
      </c>
      <c r="D7791" s="1" t="s">
        <v>106</v>
      </c>
      <c r="E7791" s="1" t="s">
        <v>44</v>
      </c>
      <c r="F7791" s="2" t="s">
        <v>2402</v>
      </c>
      <c r="G7791" s="1">
        <v>30.527999999999999</v>
      </c>
      <c r="H7791" s="1">
        <v>8</v>
      </c>
      <c r="I7791" s="1">
        <v>9.5399999999999991</v>
      </c>
    </row>
    <row r="7792" spans="1:9" x14ac:dyDescent="0.35">
      <c r="A7792" s="3" t="s">
        <v>3154</v>
      </c>
      <c r="B7792" s="1" t="s">
        <v>1578</v>
      </c>
      <c r="C7792" s="1" t="s">
        <v>74</v>
      </c>
      <c r="D7792" s="1" t="s">
        <v>75</v>
      </c>
      <c r="E7792" s="1" t="s">
        <v>35</v>
      </c>
      <c r="F7792" s="2" t="s">
        <v>1118</v>
      </c>
      <c r="G7792" s="1">
        <v>4.8419999999999996</v>
      </c>
      <c r="H7792" s="1">
        <v>3</v>
      </c>
      <c r="I7792" s="1">
        <v>-3.3894000000000002</v>
      </c>
    </row>
    <row r="7793" spans="1:9" x14ac:dyDescent="0.35">
      <c r="A7793" s="3" t="s">
        <v>3660</v>
      </c>
      <c r="B7793" s="1" t="s">
        <v>2955</v>
      </c>
      <c r="C7793" s="1" t="s">
        <v>154</v>
      </c>
      <c r="D7793" s="1" t="s">
        <v>106</v>
      </c>
      <c r="E7793" s="1" t="s">
        <v>35</v>
      </c>
      <c r="F7793" s="2" t="s">
        <v>1292</v>
      </c>
      <c r="G7793" s="1">
        <v>1.8</v>
      </c>
      <c r="H7793" s="1">
        <v>5</v>
      </c>
      <c r="I7793" s="1">
        <v>-2.88</v>
      </c>
    </row>
    <row r="7794" spans="1:9" x14ac:dyDescent="0.35">
      <c r="A7794" s="3">
        <v>43079</v>
      </c>
      <c r="B7794" s="1" t="s">
        <v>553</v>
      </c>
      <c r="C7794" s="1" t="s">
        <v>399</v>
      </c>
      <c r="D7794" s="1" t="s">
        <v>52</v>
      </c>
      <c r="E7794" s="1" t="s">
        <v>81</v>
      </c>
      <c r="F7794" s="2" t="s">
        <v>1069</v>
      </c>
      <c r="G7794" s="1">
        <v>39.984000000000002</v>
      </c>
      <c r="H7794" s="1">
        <v>2</v>
      </c>
      <c r="I7794" s="1">
        <v>-1.4994000000000001</v>
      </c>
    </row>
    <row r="7795" spans="1:9" x14ac:dyDescent="0.35">
      <c r="A7795" s="3">
        <v>42350</v>
      </c>
      <c r="B7795" s="1" t="s">
        <v>291</v>
      </c>
      <c r="C7795" s="1" t="s">
        <v>658</v>
      </c>
      <c r="D7795" s="1" t="s">
        <v>659</v>
      </c>
      <c r="E7795" s="1" t="s">
        <v>44</v>
      </c>
      <c r="F7795" s="2" t="s">
        <v>618</v>
      </c>
      <c r="G7795" s="1">
        <v>32.4</v>
      </c>
      <c r="H7795" s="1">
        <v>5</v>
      </c>
      <c r="I7795" s="1">
        <v>15.875999999999999</v>
      </c>
    </row>
    <row r="7796" spans="1:9" x14ac:dyDescent="0.35">
      <c r="A7796" s="3">
        <v>42350</v>
      </c>
      <c r="B7796" s="1" t="s">
        <v>291</v>
      </c>
      <c r="C7796" s="1" t="s">
        <v>658</v>
      </c>
      <c r="D7796" s="1" t="s">
        <v>659</v>
      </c>
      <c r="E7796" s="1" t="s">
        <v>44</v>
      </c>
      <c r="F7796" s="2" t="s">
        <v>280</v>
      </c>
      <c r="G7796" s="1">
        <v>97.88</v>
      </c>
      <c r="H7796" s="1">
        <v>2</v>
      </c>
      <c r="I7796" s="1">
        <v>48.94</v>
      </c>
    </row>
    <row r="7797" spans="1:9" x14ac:dyDescent="0.35">
      <c r="A7797" s="3">
        <v>42345</v>
      </c>
      <c r="B7797" s="1" t="s">
        <v>954</v>
      </c>
      <c r="C7797" s="1" t="s">
        <v>757</v>
      </c>
      <c r="D7797" s="1" t="s">
        <v>52</v>
      </c>
      <c r="E7797" s="1" t="s">
        <v>33</v>
      </c>
      <c r="F7797" s="2" t="s">
        <v>2471</v>
      </c>
      <c r="G7797" s="1">
        <v>307.16800000000001</v>
      </c>
      <c r="H7797" s="1">
        <v>4</v>
      </c>
      <c r="I7797" s="1">
        <v>30.716799999999999</v>
      </c>
    </row>
    <row r="7798" spans="1:9" x14ac:dyDescent="0.35">
      <c r="A7798" s="3">
        <v>42045</v>
      </c>
      <c r="B7798" s="1" t="s">
        <v>699</v>
      </c>
      <c r="C7798" s="1" t="s">
        <v>1584</v>
      </c>
      <c r="D7798" s="1" t="s">
        <v>368</v>
      </c>
      <c r="E7798" s="1" t="s">
        <v>35</v>
      </c>
      <c r="F7798" s="2" t="s">
        <v>150</v>
      </c>
      <c r="G7798" s="1">
        <v>26.9</v>
      </c>
      <c r="H7798" s="1">
        <v>5</v>
      </c>
      <c r="I7798" s="1">
        <v>13.180999999999999</v>
      </c>
    </row>
    <row r="7799" spans="1:9" x14ac:dyDescent="0.35">
      <c r="A7799" s="3" t="s">
        <v>3793</v>
      </c>
      <c r="B7799" s="1" t="s">
        <v>1469</v>
      </c>
      <c r="C7799" s="1" t="s">
        <v>135</v>
      </c>
      <c r="D7799" s="1" t="s">
        <v>136</v>
      </c>
      <c r="E7799" s="1" t="s">
        <v>87</v>
      </c>
      <c r="F7799" s="2" t="s">
        <v>2248</v>
      </c>
      <c r="G7799" s="1">
        <v>47.01</v>
      </c>
      <c r="H7799" s="1">
        <v>3</v>
      </c>
      <c r="I7799" s="1">
        <v>22.0947</v>
      </c>
    </row>
    <row r="7800" spans="1:9" x14ac:dyDescent="0.35">
      <c r="A7800" s="3" t="s">
        <v>3793</v>
      </c>
      <c r="B7800" s="1" t="s">
        <v>1469</v>
      </c>
      <c r="C7800" s="1" t="s">
        <v>135</v>
      </c>
      <c r="D7800" s="1" t="s">
        <v>136</v>
      </c>
      <c r="E7800" s="1" t="s">
        <v>33</v>
      </c>
      <c r="F7800" s="2" t="s">
        <v>1913</v>
      </c>
      <c r="G7800" s="1">
        <v>469.99</v>
      </c>
      <c r="H7800" s="1">
        <v>1</v>
      </c>
      <c r="I7800" s="1">
        <v>136.2971</v>
      </c>
    </row>
    <row r="7801" spans="1:9" x14ac:dyDescent="0.35">
      <c r="A7801" s="3" t="s">
        <v>3793</v>
      </c>
      <c r="B7801" s="1" t="s">
        <v>1469</v>
      </c>
      <c r="C7801" s="1" t="s">
        <v>135</v>
      </c>
      <c r="D7801" s="1" t="s">
        <v>136</v>
      </c>
      <c r="E7801" s="1" t="s">
        <v>14</v>
      </c>
      <c r="F7801" s="2" t="s">
        <v>724</v>
      </c>
      <c r="G7801" s="1">
        <v>207.846</v>
      </c>
      <c r="H7801" s="1">
        <v>3</v>
      </c>
      <c r="I7801" s="1">
        <v>2.3094000000000001</v>
      </c>
    </row>
    <row r="7802" spans="1:9" x14ac:dyDescent="0.35">
      <c r="A7802" s="3">
        <v>42741</v>
      </c>
      <c r="B7802" s="1" t="s">
        <v>2939</v>
      </c>
      <c r="C7802" s="1" t="s">
        <v>74</v>
      </c>
      <c r="D7802" s="1" t="s">
        <v>75</v>
      </c>
      <c r="E7802" s="1" t="s">
        <v>26</v>
      </c>
      <c r="F7802" s="2" t="s">
        <v>526</v>
      </c>
      <c r="G7802" s="1">
        <v>324.74400000000003</v>
      </c>
      <c r="H7802" s="1">
        <v>3</v>
      </c>
      <c r="I7802" s="1">
        <v>-77.1267</v>
      </c>
    </row>
    <row r="7803" spans="1:9" x14ac:dyDescent="0.35">
      <c r="A7803" s="3" t="s">
        <v>3556</v>
      </c>
      <c r="B7803" s="1" t="s">
        <v>1378</v>
      </c>
      <c r="C7803" s="1" t="s">
        <v>1510</v>
      </c>
      <c r="D7803" s="1" t="s">
        <v>18</v>
      </c>
      <c r="E7803" s="1" t="s">
        <v>29</v>
      </c>
      <c r="F7803" s="2" t="s">
        <v>2831</v>
      </c>
      <c r="G7803" s="1">
        <v>40.479999999999997</v>
      </c>
      <c r="H7803" s="1">
        <v>2</v>
      </c>
      <c r="I7803" s="1">
        <v>14.572800000000001</v>
      </c>
    </row>
    <row r="7804" spans="1:9" x14ac:dyDescent="0.35">
      <c r="A7804" s="3" t="s">
        <v>3682</v>
      </c>
      <c r="B7804" s="1" t="s">
        <v>1192</v>
      </c>
      <c r="C7804" s="1" t="s">
        <v>306</v>
      </c>
      <c r="D7804" s="1" t="s">
        <v>171</v>
      </c>
      <c r="E7804" s="1" t="s">
        <v>19</v>
      </c>
      <c r="F7804" s="2" t="s">
        <v>1947</v>
      </c>
      <c r="G7804" s="1">
        <v>12</v>
      </c>
      <c r="H7804" s="1">
        <v>4</v>
      </c>
      <c r="I7804" s="1">
        <v>4.2</v>
      </c>
    </row>
    <row r="7805" spans="1:9" x14ac:dyDescent="0.35">
      <c r="A7805" s="3" t="s">
        <v>3682</v>
      </c>
      <c r="B7805" s="1" t="s">
        <v>1192</v>
      </c>
      <c r="C7805" s="1" t="s">
        <v>306</v>
      </c>
      <c r="D7805" s="1" t="s">
        <v>171</v>
      </c>
      <c r="E7805" s="1" t="s">
        <v>26</v>
      </c>
      <c r="F7805" s="2" t="s">
        <v>1519</v>
      </c>
      <c r="G7805" s="1">
        <v>720.06399999999996</v>
      </c>
      <c r="H7805" s="1">
        <v>4</v>
      </c>
      <c r="I7805" s="1">
        <v>-63.005600000000001</v>
      </c>
    </row>
    <row r="7806" spans="1:9" x14ac:dyDescent="0.35">
      <c r="A7806" s="3" t="s">
        <v>3682</v>
      </c>
      <c r="B7806" s="1" t="s">
        <v>1192</v>
      </c>
      <c r="C7806" s="1" t="s">
        <v>306</v>
      </c>
      <c r="D7806" s="1" t="s">
        <v>171</v>
      </c>
      <c r="E7806" s="1" t="s">
        <v>26</v>
      </c>
      <c r="F7806" s="2" t="s">
        <v>1624</v>
      </c>
      <c r="G7806" s="1">
        <v>25.423999999999999</v>
      </c>
      <c r="H7806" s="1">
        <v>1</v>
      </c>
      <c r="I7806" s="1">
        <v>-4.7670000000000003</v>
      </c>
    </row>
    <row r="7807" spans="1:9" x14ac:dyDescent="0.35">
      <c r="A7807" s="3" t="s">
        <v>3682</v>
      </c>
      <c r="B7807" s="1" t="s">
        <v>1192</v>
      </c>
      <c r="C7807" s="1" t="s">
        <v>306</v>
      </c>
      <c r="D7807" s="1" t="s">
        <v>171</v>
      </c>
      <c r="E7807" s="1" t="s">
        <v>31</v>
      </c>
      <c r="F7807" s="2" t="s">
        <v>1749</v>
      </c>
      <c r="G7807" s="1">
        <v>2.8159999999999998</v>
      </c>
      <c r="H7807" s="1">
        <v>2</v>
      </c>
      <c r="I7807" s="1">
        <v>0.31680000000000003</v>
      </c>
    </row>
    <row r="7808" spans="1:9" x14ac:dyDescent="0.35">
      <c r="A7808" s="3" t="s">
        <v>3682</v>
      </c>
      <c r="B7808" s="1" t="s">
        <v>1192</v>
      </c>
      <c r="C7808" s="1" t="s">
        <v>306</v>
      </c>
      <c r="D7808" s="1" t="s">
        <v>171</v>
      </c>
      <c r="E7808" s="1" t="s">
        <v>35</v>
      </c>
      <c r="F7808" s="2" t="s">
        <v>1616</v>
      </c>
      <c r="G7808" s="1">
        <v>3.2040000000000002</v>
      </c>
      <c r="H7808" s="1">
        <v>2</v>
      </c>
      <c r="I7808" s="1">
        <v>-2.5632000000000001</v>
      </c>
    </row>
    <row r="7809" spans="1:9" x14ac:dyDescent="0.35">
      <c r="A7809" s="3">
        <v>42583</v>
      </c>
      <c r="B7809" s="1" t="s">
        <v>2781</v>
      </c>
      <c r="C7809" s="1" t="s">
        <v>1912</v>
      </c>
      <c r="D7809" s="1" t="s">
        <v>43</v>
      </c>
      <c r="E7809" s="1" t="s">
        <v>35</v>
      </c>
      <c r="F7809" s="2" t="s">
        <v>1523</v>
      </c>
      <c r="G7809" s="1">
        <v>30.827999999999999</v>
      </c>
      <c r="H7809" s="1">
        <v>7</v>
      </c>
      <c r="I7809" s="1">
        <v>-24.662400000000002</v>
      </c>
    </row>
    <row r="7810" spans="1:9" x14ac:dyDescent="0.35">
      <c r="A7810" s="3">
        <v>42583</v>
      </c>
      <c r="B7810" s="1" t="s">
        <v>2781</v>
      </c>
      <c r="C7810" s="1" t="s">
        <v>1912</v>
      </c>
      <c r="D7810" s="1" t="s">
        <v>43</v>
      </c>
      <c r="E7810" s="1" t="s">
        <v>31</v>
      </c>
      <c r="F7810" s="2" t="s">
        <v>1752</v>
      </c>
      <c r="G7810" s="1">
        <v>47.616</v>
      </c>
      <c r="H7810" s="1">
        <v>3</v>
      </c>
      <c r="I7810" s="1">
        <v>5.952</v>
      </c>
    </row>
    <row r="7811" spans="1:9" x14ac:dyDescent="0.35">
      <c r="A7811" s="3">
        <v>42583</v>
      </c>
      <c r="B7811" s="1" t="s">
        <v>2781</v>
      </c>
      <c r="C7811" s="1" t="s">
        <v>1912</v>
      </c>
      <c r="D7811" s="1" t="s">
        <v>43</v>
      </c>
      <c r="E7811" s="1" t="s">
        <v>33</v>
      </c>
      <c r="F7811" s="2" t="s">
        <v>2999</v>
      </c>
      <c r="G7811" s="1">
        <v>108.78400000000001</v>
      </c>
      <c r="H7811" s="1">
        <v>2</v>
      </c>
      <c r="I7811" s="1">
        <v>10.878399999999999</v>
      </c>
    </row>
    <row r="7812" spans="1:9" x14ac:dyDescent="0.35">
      <c r="A7812" s="3" t="s">
        <v>3794</v>
      </c>
      <c r="B7812" s="1" t="s">
        <v>255</v>
      </c>
      <c r="C7812" s="1" t="s">
        <v>1397</v>
      </c>
      <c r="D7812" s="1" t="s">
        <v>1217</v>
      </c>
      <c r="E7812" s="1" t="s">
        <v>44</v>
      </c>
      <c r="F7812" s="2" t="s">
        <v>2402</v>
      </c>
      <c r="G7812" s="1">
        <v>4.7699999999999996</v>
      </c>
      <c r="H7812" s="1">
        <v>1</v>
      </c>
      <c r="I7812" s="1">
        <v>2.1465000000000001</v>
      </c>
    </row>
    <row r="7813" spans="1:9" x14ac:dyDescent="0.35">
      <c r="A7813" s="3" t="s">
        <v>3794</v>
      </c>
      <c r="B7813" s="1" t="s">
        <v>255</v>
      </c>
      <c r="C7813" s="1" t="s">
        <v>1397</v>
      </c>
      <c r="D7813" s="1" t="s">
        <v>1217</v>
      </c>
      <c r="E7813" s="1" t="s">
        <v>31</v>
      </c>
      <c r="F7813" s="2" t="s">
        <v>2657</v>
      </c>
      <c r="G7813" s="1">
        <v>7.98</v>
      </c>
      <c r="H7813" s="1">
        <v>3</v>
      </c>
      <c r="I7813" s="1">
        <v>2.0748000000000002</v>
      </c>
    </row>
    <row r="7814" spans="1:9" x14ac:dyDescent="0.35">
      <c r="A7814" s="3" t="s">
        <v>3794</v>
      </c>
      <c r="B7814" s="1" t="s">
        <v>255</v>
      </c>
      <c r="C7814" s="1" t="s">
        <v>1397</v>
      </c>
      <c r="D7814" s="1" t="s">
        <v>1217</v>
      </c>
      <c r="E7814" s="1" t="s">
        <v>24</v>
      </c>
      <c r="F7814" s="2" t="s">
        <v>1271</v>
      </c>
      <c r="G7814" s="1">
        <v>550.43100000000004</v>
      </c>
      <c r="H7814" s="1">
        <v>3</v>
      </c>
      <c r="I7814" s="1">
        <v>-47.1798</v>
      </c>
    </row>
    <row r="7815" spans="1:9" x14ac:dyDescent="0.35">
      <c r="A7815" s="3" t="s">
        <v>3794</v>
      </c>
      <c r="B7815" s="1" t="s">
        <v>255</v>
      </c>
      <c r="C7815" s="1" t="s">
        <v>1397</v>
      </c>
      <c r="D7815" s="1" t="s">
        <v>1217</v>
      </c>
      <c r="E7815" s="1" t="s">
        <v>29</v>
      </c>
      <c r="F7815" s="2" t="s">
        <v>491</v>
      </c>
      <c r="G7815" s="1">
        <v>10.56</v>
      </c>
      <c r="H7815" s="1">
        <v>6</v>
      </c>
      <c r="I7815" s="1">
        <v>4.6463999999999999</v>
      </c>
    </row>
    <row r="7816" spans="1:9" x14ac:dyDescent="0.35">
      <c r="A7816" s="3">
        <v>42953</v>
      </c>
      <c r="B7816" s="1" t="s">
        <v>302</v>
      </c>
      <c r="C7816" s="1" t="s">
        <v>17</v>
      </c>
      <c r="D7816" s="1" t="s">
        <v>18</v>
      </c>
      <c r="E7816" s="1" t="s">
        <v>12</v>
      </c>
      <c r="F7816" s="2" t="s">
        <v>84</v>
      </c>
      <c r="G7816" s="1">
        <v>1497.6659999999999</v>
      </c>
      <c r="H7816" s="1">
        <v>2</v>
      </c>
      <c r="I7816" s="1">
        <v>140.95679999999999</v>
      </c>
    </row>
    <row r="7817" spans="1:9" x14ac:dyDescent="0.35">
      <c r="A7817" s="3">
        <v>42953</v>
      </c>
      <c r="B7817" s="1" t="s">
        <v>302</v>
      </c>
      <c r="C7817" s="1" t="s">
        <v>17</v>
      </c>
      <c r="D7817" s="1" t="s">
        <v>18</v>
      </c>
      <c r="E7817" s="1" t="s">
        <v>33</v>
      </c>
      <c r="F7817" s="2" t="s">
        <v>1436</v>
      </c>
      <c r="G7817" s="1">
        <v>17.52</v>
      </c>
      <c r="H7817" s="1">
        <v>2</v>
      </c>
      <c r="I7817" s="1">
        <v>-3.504</v>
      </c>
    </row>
    <row r="7818" spans="1:9" x14ac:dyDescent="0.35">
      <c r="A7818" s="3" t="s">
        <v>3252</v>
      </c>
      <c r="B7818" s="1" t="s">
        <v>1777</v>
      </c>
      <c r="C7818" s="1" t="s">
        <v>1719</v>
      </c>
      <c r="D7818" s="1" t="s">
        <v>659</v>
      </c>
      <c r="E7818" s="1" t="s">
        <v>31</v>
      </c>
      <c r="F7818" s="2" t="s">
        <v>1640</v>
      </c>
      <c r="G7818" s="1">
        <v>113.22</v>
      </c>
      <c r="H7818" s="1">
        <v>3</v>
      </c>
      <c r="I7818" s="1">
        <v>29.437200000000001</v>
      </c>
    </row>
    <row r="7819" spans="1:9" x14ac:dyDescent="0.35">
      <c r="A7819" s="3" t="s">
        <v>3252</v>
      </c>
      <c r="B7819" s="1" t="s">
        <v>1777</v>
      </c>
      <c r="C7819" s="1" t="s">
        <v>1719</v>
      </c>
      <c r="D7819" s="1" t="s">
        <v>659</v>
      </c>
      <c r="E7819" s="1" t="s">
        <v>44</v>
      </c>
      <c r="F7819" s="2" t="s">
        <v>2978</v>
      </c>
      <c r="G7819" s="1">
        <v>35.880000000000003</v>
      </c>
      <c r="H7819" s="1">
        <v>6</v>
      </c>
      <c r="I7819" s="1">
        <v>17.581199999999999</v>
      </c>
    </row>
    <row r="7820" spans="1:9" x14ac:dyDescent="0.35">
      <c r="A7820" s="3" t="s">
        <v>3252</v>
      </c>
      <c r="B7820" s="1" t="s">
        <v>1777</v>
      </c>
      <c r="C7820" s="1" t="s">
        <v>1719</v>
      </c>
      <c r="D7820" s="1" t="s">
        <v>659</v>
      </c>
      <c r="E7820" s="1" t="s">
        <v>35</v>
      </c>
      <c r="F7820" s="2" t="s">
        <v>2703</v>
      </c>
      <c r="G7820" s="1">
        <v>4535.9759999999997</v>
      </c>
      <c r="H7820" s="1">
        <v>3</v>
      </c>
      <c r="I7820" s="1">
        <v>1644.2913000000001</v>
      </c>
    </row>
    <row r="7821" spans="1:9" x14ac:dyDescent="0.35">
      <c r="A7821" s="3" t="s">
        <v>3266</v>
      </c>
      <c r="B7821" s="1" t="s">
        <v>688</v>
      </c>
      <c r="C7821" s="1" t="s">
        <v>64</v>
      </c>
      <c r="D7821" s="1" t="s">
        <v>18</v>
      </c>
      <c r="E7821" s="1" t="s">
        <v>137</v>
      </c>
      <c r="F7821" s="2" t="s">
        <v>1818</v>
      </c>
      <c r="G7821" s="1">
        <v>11.84</v>
      </c>
      <c r="H7821" s="1">
        <v>8</v>
      </c>
      <c r="I7821" s="1">
        <v>5.6832000000000003</v>
      </c>
    </row>
    <row r="7822" spans="1:9" x14ac:dyDescent="0.35">
      <c r="A7822" s="3">
        <v>42959</v>
      </c>
      <c r="B7822" s="1" t="s">
        <v>784</v>
      </c>
      <c r="C7822" s="1" t="s">
        <v>2725</v>
      </c>
      <c r="D7822" s="1" t="s">
        <v>663</v>
      </c>
      <c r="E7822" s="1" t="s">
        <v>26</v>
      </c>
      <c r="F7822" s="2" t="s">
        <v>1051</v>
      </c>
      <c r="G7822" s="1">
        <v>592.74</v>
      </c>
      <c r="H7822" s="1">
        <v>6</v>
      </c>
      <c r="I7822" s="1">
        <v>160.03980000000001</v>
      </c>
    </row>
    <row r="7823" spans="1:9" x14ac:dyDescent="0.35">
      <c r="A7823" s="3" t="s">
        <v>3252</v>
      </c>
      <c r="B7823" s="1" t="s">
        <v>1927</v>
      </c>
      <c r="C7823" s="1" t="s">
        <v>167</v>
      </c>
      <c r="D7823" s="1" t="s">
        <v>171</v>
      </c>
      <c r="E7823" s="1" t="s">
        <v>26</v>
      </c>
      <c r="F7823" s="2" t="s">
        <v>2551</v>
      </c>
      <c r="G7823" s="1">
        <v>111.672</v>
      </c>
      <c r="H7823" s="1">
        <v>9</v>
      </c>
      <c r="I7823" s="1">
        <v>6.9794999999999998</v>
      </c>
    </row>
    <row r="7824" spans="1:9" x14ac:dyDescent="0.35">
      <c r="A7824" s="3" t="s">
        <v>3637</v>
      </c>
      <c r="B7824" s="1" t="s">
        <v>1626</v>
      </c>
      <c r="C7824" s="1" t="s">
        <v>303</v>
      </c>
      <c r="D7824" s="1" t="s">
        <v>124</v>
      </c>
      <c r="E7824" s="1" t="s">
        <v>31</v>
      </c>
      <c r="F7824" s="2" t="s">
        <v>1690</v>
      </c>
      <c r="G7824" s="1">
        <v>8.64</v>
      </c>
      <c r="H7824" s="1">
        <v>3</v>
      </c>
      <c r="I7824" s="1">
        <v>2.5055999999999998</v>
      </c>
    </row>
    <row r="7825" spans="1:9" x14ac:dyDescent="0.35">
      <c r="A7825" s="3" t="s">
        <v>3637</v>
      </c>
      <c r="B7825" s="1" t="s">
        <v>1626</v>
      </c>
      <c r="C7825" s="1" t="s">
        <v>303</v>
      </c>
      <c r="D7825" s="1" t="s">
        <v>124</v>
      </c>
      <c r="E7825" s="1" t="s">
        <v>81</v>
      </c>
      <c r="F7825" s="2" t="s">
        <v>2033</v>
      </c>
      <c r="G7825" s="1">
        <v>149.97</v>
      </c>
      <c r="H7825" s="1">
        <v>3</v>
      </c>
      <c r="I7825" s="1">
        <v>52.4895</v>
      </c>
    </row>
    <row r="7826" spans="1:9" x14ac:dyDescent="0.35">
      <c r="A7826" s="3" t="s">
        <v>3795</v>
      </c>
      <c r="B7826" s="1" t="s">
        <v>1662</v>
      </c>
      <c r="C7826" s="1" t="s">
        <v>17</v>
      </c>
      <c r="D7826" s="1" t="s">
        <v>18</v>
      </c>
      <c r="E7826" s="1" t="s">
        <v>14</v>
      </c>
      <c r="F7826" s="2" t="s">
        <v>2218</v>
      </c>
      <c r="G7826" s="1">
        <v>232.88</v>
      </c>
      <c r="H7826" s="1">
        <v>5</v>
      </c>
      <c r="I7826" s="1">
        <v>17.466000000000001</v>
      </c>
    </row>
    <row r="7827" spans="1:9" x14ac:dyDescent="0.35">
      <c r="A7827" s="3">
        <v>42065</v>
      </c>
      <c r="B7827" s="1" t="s">
        <v>1662</v>
      </c>
      <c r="C7827" s="1" t="s">
        <v>2785</v>
      </c>
      <c r="D7827" s="1" t="s">
        <v>136</v>
      </c>
      <c r="E7827" s="1" t="s">
        <v>14</v>
      </c>
      <c r="F7827" s="2" t="s">
        <v>102</v>
      </c>
      <c r="G7827" s="1">
        <v>90.882000000000005</v>
      </c>
      <c r="H7827" s="1">
        <v>1</v>
      </c>
      <c r="I7827" s="1">
        <v>15.147</v>
      </c>
    </row>
    <row r="7828" spans="1:9" x14ac:dyDescent="0.35">
      <c r="A7828" s="3" t="s">
        <v>3720</v>
      </c>
      <c r="B7828" s="1" t="s">
        <v>1390</v>
      </c>
      <c r="C7828" s="1" t="s">
        <v>154</v>
      </c>
      <c r="D7828" s="1" t="s">
        <v>106</v>
      </c>
      <c r="E7828" s="1" t="s">
        <v>33</v>
      </c>
      <c r="F7828" s="2" t="s">
        <v>992</v>
      </c>
      <c r="G7828" s="1">
        <v>508.76799999999997</v>
      </c>
      <c r="H7828" s="1">
        <v>4</v>
      </c>
      <c r="I7828" s="1">
        <v>38.157600000000002</v>
      </c>
    </row>
    <row r="7829" spans="1:9" x14ac:dyDescent="0.35">
      <c r="A7829" s="3" t="s">
        <v>3720</v>
      </c>
      <c r="B7829" s="1" t="s">
        <v>1390</v>
      </c>
      <c r="C7829" s="1" t="s">
        <v>154</v>
      </c>
      <c r="D7829" s="1" t="s">
        <v>106</v>
      </c>
      <c r="E7829" s="1" t="s">
        <v>87</v>
      </c>
      <c r="F7829" s="2" t="s">
        <v>600</v>
      </c>
      <c r="G7829" s="1">
        <v>9.9120000000000008</v>
      </c>
      <c r="H7829" s="1">
        <v>3</v>
      </c>
      <c r="I7829" s="1">
        <v>3.2214</v>
      </c>
    </row>
    <row r="7830" spans="1:9" x14ac:dyDescent="0.35">
      <c r="A7830" s="3" t="s">
        <v>3163</v>
      </c>
      <c r="B7830" s="1" t="s">
        <v>1146</v>
      </c>
      <c r="C7830" s="1" t="s">
        <v>461</v>
      </c>
      <c r="D7830" s="1" t="s">
        <v>18</v>
      </c>
      <c r="E7830" s="1" t="s">
        <v>14</v>
      </c>
      <c r="F7830" s="2" t="s">
        <v>2305</v>
      </c>
      <c r="G7830" s="1">
        <v>63.936</v>
      </c>
      <c r="H7830" s="1">
        <v>3</v>
      </c>
      <c r="I7830" s="1">
        <v>6.3936000000000002</v>
      </c>
    </row>
    <row r="7831" spans="1:9" x14ac:dyDescent="0.35">
      <c r="A7831" s="3" t="s">
        <v>3163</v>
      </c>
      <c r="B7831" s="1" t="s">
        <v>1146</v>
      </c>
      <c r="C7831" s="1" t="s">
        <v>461</v>
      </c>
      <c r="D7831" s="1" t="s">
        <v>18</v>
      </c>
      <c r="E7831" s="1" t="s">
        <v>31</v>
      </c>
      <c r="F7831" s="2" t="s">
        <v>735</v>
      </c>
      <c r="G7831" s="1">
        <v>59.52</v>
      </c>
      <c r="H7831" s="1">
        <v>3</v>
      </c>
      <c r="I7831" s="1">
        <v>15.475199999999999</v>
      </c>
    </row>
    <row r="7832" spans="1:9" x14ac:dyDescent="0.35">
      <c r="A7832" s="3" t="s">
        <v>3163</v>
      </c>
      <c r="B7832" s="1" t="s">
        <v>1146</v>
      </c>
      <c r="C7832" s="1" t="s">
        <v>461</v>
      </c>
      <c r="D7832" s="1" t="s">
        <v>18</v>
      </c>
      <c r="E7832" s="1" t="s">
        <v>33</v>
      </c>
      <c r="F7832" s="2" t="s">
        <v>2950</v>
      </c>
      <c r="G7832" s="1">
        <v>311.976</v>
      </c>
      <c r="H7832" s="1">
        <v>3</v>
      </c>
      <c r="I7832" s="1">
        <v>38.997</v>
      </c>
    </row>
    <row r="7833" spans="1:9" x14ac:dyDescent="0.35">
      <c r="A7833" s="3" t="s">
        <v>3163</v>
      </c>
      <c r="B7833" s="1" t="s">
        <v>1146</v>
      </c>
      <c r="C7833" s="1" t="s">
        <v>461</v>
      </c>
      <c r="D7833" s="1" t="s">
        <v>18</v>
      </c>
      <c r="E7833" s="1" t="s">
        <v>35</v>
      </c>
      <c r="F7833" s="2" t="s">
        <v>572</v>
      </c>
      <c r="G7833" s="1">
        <v>50.351999999999997</v>
      </c>
      <c r="H7833" s="1">
        <v>3</v>
      </c>
      <c r="I7833" s="1">
        <v>17.623200000000001</v>
      </c>
    </row>
    <row r="7834" spans="1:9" x14ac:dyDescent="0.35">
      <c r="A7834" s="3">
        <v>42618</v>
      </c>
      <c r="B7834" s="1" t="s">
        <v>1679</v>
      </c>
      <c r="C7834" s="1" t="s">
        <v>93</v>
      </c>
      <c r="D7834" s="1" t="s">
        <v>52</v>
      </c>
      <c r="E7834" s="1" t="s">
        <v>33</v>
      </c>
      <c r="F7834" s="2" t="s">
        <v>377</v>
      </c>
      <c r="G7834" s="1">
        <v>19.135999999999999</v>
      </c>
      <c r="H7834" s="1">
        <v>2</v>
      </c>
      <c r="I7834" s="1">
        <v>1.9136</v>
      </c>
    </row>
    <row r="7835" spans="1:9" x14ac:dyDescent="0.35">
      <c r="A7835" s="3" t="s">
        <v>3796</v>
      </c>
      <c r="B7835" s="1" t="s">
        <v>2717</v>
      </c>
      <c r="C7835" s="1" t="s">
        <v>3031</v>
      </c>
      <c r="D7835" s="1" t="s">
        <v>23</v>
      </c>
      <c r="E7835" s="1" t="s">
        <v>31</v>
      </c>
      <c r="F7835" s="2" t="s">
        <v>647</v>
      </c>
      <c r="G7835" s="1">
        <v>13.12</v>
      </c>
      <c r="H7835" s="1">
        <v>5</v>
      </c>
      <c r="I7835" s="1">
        <v>2.1320000000000001</v>
      </c>
    </row>
    <row r="7836" spans="1:9" x14ac:dyDescent="0.35">
      <c r="A7836" s="3" t="s">
        <v>3513</v>
      </c>
      <c r="B7836" s="1" t="s">
        <v>2482</v>
      </c>
      <c r="C7836" s="1" t="s">
        <v>17</v>
      </c>
      <c r="D7836" s="1" t="s">
        <v>18</v>
      </c>
      <c r="E7836" s="1" t="s">
        <v>24</v>
      </c>
      <c r="F7836" s="2" t="s">
        <v>1673</v>
      </c>
      <c r="G7836" s="1">
        <v>241.56800000000001</v>
      </c>
      <c r="H7836" s="1">
        <v>2</v>
      </c>
      <c r="I7836" s="1">
        <v>-15.098000000000001</v>
      </c>
    </row>
    <row r="7837" spans="1:9" x14ac:dyDescent="0.35">
      <c r="A7837" s="3" t="s">
        <v>3513</v>
      </c>
      <c r="B7837" s="1" t="s">
        <v>2482</v>
      </c>
      <c r="C7837" s="1" t="s">
        <v>17</v>
      </c>
      <c r="D7837" s="1" t="s">
        <v>18</v>
      </c>
      <c r="E7837" s="1" t="s">
        <v>33</v>
      </c>
      <c r="F7837" s="2" t="s">
        <v>1239</v>
      </c>
      <c r="G7837" s="1">
        <v>479.92</v>
      </c>
      <c r="H7837" s="1">
        <v>2</v>
      </c>
      <c r="I7837" s="1">
        <v>41.993000000000002</v>
      </c>
    </row>
    <row r="7838" spans="1:9" x14ac:dyDescent="0.35">
      <c r="A7838" s="3" t="s">
        <v>3149</v>
      </c>
      <c r="B7838" s="1" t="s">
        <v>292</v>
      </c>
      <c r="C7838" s="1" t="s">
        <v>47</v>
      </c>
      <c r="D7838" s="1" t="s">
        <v>48</v>
      </c>
      <c r="E7838" s="1" t="s">
        <v>14</v>
      </c>
      <c r="F7838" s="2" t="s">
        <v>1664</v>
      </c>
      <c r="G7838" s="1">
        <v>307.13600000000002</v>
      </c>
      <c r="H7838" s="1">
        <v>4</v>
      </c>
      <c r="I7838" s="1">
        <v>-11.5176</v>
      </c>
    </row>
    <row r="7839" spans="1:9" x14ac:dyDescent="0.35">
      <c r="A7839" s="3" t="s">
        <v>3149</v>
      </c>
      <c r="B7839" s="1" t="s">
        <v>292</v>
      </c>
      <c r="C7839" s="1" t="s">
        <v>47</v>
      </c>
      <c r="D7839" s="1" t="s">
        <v>48</v>
      </c>
      <c r="E7839" s="1" t="s">
        <v>19</v>
      </c>
      <c r="F7839" s="2" t="s">
        <v>2698</v>
      </c>
      <c r="G7839" s="1">
        <v>12.6</v>
      </c>
      <c r="H7839" s="1">
        <v>2</v>
      </c>
      <c r="I7839" s="1">
        <v>5.7960000000000003</v>
      </c>
    </row>
    <row r="7840" spans="1:9" x14ac:dyDescent="0.35">
      <c r="A7840" s="3" t="s">
        <v>3149</v>
      </c>
      <c r="B7840" s="1" t="s">
        <v>292</v>
      </c>
      <c r="C7840" s="1" t="s">
        <v>47</v>
      </c>
      <c r="D7840" s="1" t="s">
        <v>48</v>
      </c>
      <c r="E7840" s="1" t="s">
        <v>81</v>
      </c>
      <c r="F7840" s="2" t="s">
        <v>777</v>
      </c>
      <c r="G7840" s="1">
        <v>159.97999999999999</v>
      </c>
      <c r="H7840" s="1">
        <v>2</v>
      </c>
      <c r="I7840" s="1">
        <v>57.592799999999997</v>
      </c>
    </row>
    <row r="7841" spans="1:9" x14ac:dyDescent="0.35">
      <c r="A7841" s="3" t="s">
        <v>3797</v>
      </c>
      <c r="B7841" s="1" t="s">
        <v>2194</v>
      </c>
      <c r="C7841" s="1" t="s">
        <v>651</v>
      </c>
      <c r="D7841" s="1" t="s">
        <v>245</v>
      </c>
      <c r="E7841" s="1" t="s">
        <v>87</v>
      </c>
      <c r="F7841" s="2" t="s">
        <v>88</v>
      </c>
      <c r="G7841" s="1">
        <v>6.12</v>
      </c>
      <c r="H7841" s="1">
        <v>3</v>
      </c>
      <c r="I7841" s="1">
        <v>2.8763999999999998</v>
      </c>
    </row>
    <row r="7842" spans="1:9" x14ac:dyDescent="0.35">
      <c r="A7842" s="3" t="s">
        <v>3797</v>
      </c>
      <c r="B7842" s="1" t="s">
        <v>2194</v>
      </c>
      <c r="C7842" s="1" t="s">
        <v>651</v>
      </c>
      <c r="D7842" s="1" t="s">
        <v>245</v>
      </c>
      <c r="E7842" s="1" t="s">
        <v>24</v>
      </c>
      <c r="F7842" s="2" t="s">
        <v>2034</v>
      </c>
      <c r="G7842" s="1">
        <v>1184.72</v>
      </c>
      <c r="H7842" s="1">
        <v>4</v>
      </c>
      <c r="I7842" s="1">
        <v>106.62479999999999</v>
      </c>
    </row>
    <row r="7843" spans="1:9" x14ac:dyDescent="0.35">
      <c r="A7843" s="3" t="s">
        <v>3153</v>
      </c>
      <c r="B7843" s="1" t="s">
        <v>951</v>
      </c>
      <c r="C7843" s="1" t="s">
        <v>135</v>
      </c>
      <c r="D7843" s="1" t="s">
        <v>136</v>
      </c>
      <c r="E7843" s="1" t="s">
        <v>37</v>
      </c>
      <c r="F7843" s="2" t="s">
        <v>38</v>
      </c>
      <c r="G7843" s="1">
        <v>45.96</v>
      </c>
      <c r="H7843" s="1">
        <v>2</v>
      </c>
      <c r="I7843" s="1">
        <v>13.788</v>
      </c>
    </row>
    <row r="7844" spans="1:9" x14ac:dyDescent="0.35">
      <c r="A7844" s="3" t="s">
        <v>3571</v>
      </c>
      <c r="B7844" s="1" t="s">
        <v>1340</v>
      </c>
      <c r="C7844" s="1" t="s">
        <v>540</v>
      </c>
      <c r="D7844" s="1" t="s">
        <v>163</v>
      </c>
      <c r="E7844" s="1" t="s">
        <v>35</v>
      </c>
      <c r="F7844" s="2" t="s">
        <v>1081</v>
      </c>
      <c r="G7844" s="1">
        <v>58.05</v>
      </c>
      <c r="H7844" s="1">
        <v>3</v>
      </c>
      <c r="I7844" s="1">
        <v>26.702999999999999</v>
      </c>
    </row>
    <row r="7845" spans="1:9" x14ac:dyDescent="0.35">
      <c r="A7845" s="3" t="s">
        <v>3571</v>
      </c>
      <c r="B7845" s="1" t="s">
        <v>1340</v>
      </c>
      <c r="C7845" s="1" t="s">
        <v>540</v>
      </c>
      <c r="D7845" s="1" t="s">
        <v>163</v>
      </c>
      <c r="E7845" s="1" t="s">
        <v>44</v>
      </c>
      <c r="F7845" s="2" t="s">
        <v>143</v>
      </c>
      <c r="G7845" s="1">
        <v>71.28</v>
      </c>
      <c r="H7845" s="1">
        <v>11</v>
      </c>
      <c r="I7845" s="1">
        <v>34.214399999999998</v>
      </c>
    </row>
    <row r="7846" spans="1:9" x14ac:dyDescent="0.35">
      <c r="A7846" s="3" t="s">
        <v>3528</v>
      </c>
      <c r="B7846" s="1" t="s">
        <v>1543</v>
      </c>
      <c r="C7846" s="1" t="s">
        <v>2444</v>
      </c>
      <c r="D7846" s="1" t="s">
        <v>52</v>
      </c>
      <c r="E7846" s="1" t="s">
        <v>24</v>
      </c>
      <c r="F7846" s="2" t="s">
        <v>1634</v>
      </c>
      <c r="G7846" s="1">
        <v>124.404</v>
      </c>
      <c r="H7846" s="1">
        <v>4</v>
      </c>
      <c r="I7846" s="1">
        <v>-21.3264</v>
      </c>
    </row>
    <row r="7847" spans="1:9" x14ac:dyDescent="0.35">
      <c r="A7847" s="3" t="s">
        <v>3393</v>
      </c>
      <c r="B7847" s="1" t="s">
        <v>1845</v>
      </c>
      <c r="C7847" s="1" t="s">
        <v>540</v>
      </c>
      <c r="D7847" s="1" t="s">
        <v>163</v>
      </c>
      <c r="E7847" s="1" t="s">
        <v>44</v>
      </c>
      <c r="F7847" s="2" t="s">
        <v>1729</v>
      </c>
      <c r="G7847" s="1">
        <v>154.9</v>
      </c>
      <c r="H7847" s="1">
        <v>5</v>
      </c>
      <c r="I7847" s="1">
        <v>69.704999999999998</v>
      </c>
    </row>
    <row r="7848" spans="1:9" x14ac:dyDescent="0.35">
      <c r="A7848" s="3" t="s">
        <v>3393</v>
      </c>
      <c r="B7848" s="1" t="s">
        <v>1845</v>
      </c>
      <c r="C7848" s="1" t="s">
        <v>540</v>
      </c>
      <c r="D7848" s="1" t="s">
        <v>163</v>
      </c>
      <c r="E7848" s="1" t="s">
        <v>33</v>
      </c>
      <c r="F7848" s="2" t="s">
        <v>886</v>
      </c>
      <c r="G7848" s="1">
        <v>1871.88</v>
      </c>
      <c r="H7848" s="1">
        <v>12</v>
      </c>
      <c r="I7848" s="1">
        <v>561.56399999999996</v>
      </c>
    </row>
    <row r="7849" spans="1:9" x14ac:dyDescent="0.35">
      <c r="A7849" s="3" t="s">
        <v>3567</v>
      </c>
      <c r="B7849" s="1" t="s">
        <v>1383</v>
      </c>
      <c r="C7849" s="1" t="s">
        <v>93</v>
      </c>
      <c r="D7849" s="1" t="s">
        <v>52</v>
      </c>
      <c r="E7849" s="1" t="s">
        <v>29</v>
      </c>
      <c r="F7849" s="2" t="s">
        <v>2754</v>
      </c>
      <c r="G7849" s="1">
        <v>16.192</v>
      </c>
      <c r="H7849" s="1">
        <v>2</v>
      </c>
      <c r="I7849" s="1">
        <v>-6.8815999999999997</v>
      </c>
    </row>
    <row r="7850" spans="1:9" x14ac:dyDescent="0.35">
      <c r="A7850" s="3">
        <v>42405</v>
      </c>
      <c r="B7850" s="1" t="s">
        <v>1952</v>
      </c>
      <c r="C7850" s="1" t="s">
        <v>1676</v>
      </c>
      <c r="D7850" s="1" t="s">
        <v>52</v>
      </c>
      <c r="E7850" s="1" t="s">
        <v>26</v>
      </c>
      <c r="F7850" s="2" t="s">
        <v>2592</v>
      </c>
      <c r="G7850" s="1">
        <v>18.936</v>
      </c>
      <c r="H7850" s="1">
        <v>3</v>
      </c>
      <c r="I7850" s="1">
        <v>-3.7871999999999999</v>
      </c>
    </row>
    <row r="7851" spans="1:9" x14ac:dyDescent="0.35">
      <c r="A7851" s="3">
        <v>42405</v>
      </c>
      <c r="B7851" s="1" t="s">
        <v>1952</v>
      </c>
      <c r="C7851" s="1" t="s">
        <v>1676</v>
      </c>
      <c r="D7851" s="1" t="s">
        <v>52</v>
      </c>
      <c r="E7851" s="1" t="s">
        <v>26</v>
      </c>
      <c r="F7851" s="2" t="s">
        <v>2501</v>
      </c>
      <c r="G7851" s="1">
        <v>12.672000000000001</v>
      </c>
      <c r="H7851" s="1">
        <v>3</v>
      </c>
      <c r="I7851" s="1">
        <v>-3.1680000000000001</v>
      </c>
    </row>
    <row r="7852" spans="1:9" x14ac:dyDescent="0.35">
      <c r="A7852" s="3">
        <v>42405</v>
      </c>
      <c r="B7852" s="1" t="s">
        <v>1952</v>
      </c>
      <c r="C7852" s="1" t="s">
        <v>1676</v>
      </c>
      <c r="D7852" s="1" t="s">
        <v>52</v>
      </c>
      <c r="E7852" s="1" t="s">
        <v>19</v>
      </c>
      <c r="F7852" s="2" t="s">
        <v>1423</v>
      </c>
      <c r="G7852" s="1">
        <v>5.04</v>
      </c>
      <c r="H7852" s="1">
        <v>2</v>
      </c>
      <c r="I7852" s="1">
        <v>1.764</v>
      </c>
    </row>
    <row r="7853" spans="1:9" x14ac:dyDescent="0.35">
      <c r="A7853" s="3">
        <v>41894</v>
      </c>
      <c r="B7853" s="1" t="s">
        <v>547</v>
      </c>
      <c r="C7853" s="1" t="s">
        <v>154</v>
      </c>
      <c r="D7853" s="1" t="s">
        <v>106</v>
      </c>
      <c r="E7853" s="1" t="s">
        <v>44</v>
      </c>
      <c r="F7853" s="2" t="s">
        <v>2854</v>
      </c>
      <c r="G7853" s="1">
        <v>8.4480000000000004</v>
      </c>
      <c r="H7853" s="1">
        <v>2</v>
      </c>
      <c r="I7853" s="1">
        <v>2.9567999999999999</v>
      </c>
    </row>
    <row r="7854" spans="1:9" x14ac:dyDescent="0.35">
      <c r="A7854" s="3">
        <v>41894</v>
      </c>
      <c r="B7854" s="1" t="s">
        <v>547</v>
      </c>
      <c r="C7854" s="1" t="s">
        <v>154</v>
      </c>
      <c r="D7854" s="1" t="s">
        <v>106</v>
      </c>
      <c r="E7854" s="1" t="s">
        <v>37</v>
      </c>
      <c r="F7854" s="2" t="s">
        <v>963</v>
      </c>
      <c r="G7854" s="1">
        <v>20.388000000000002</v>
      </c>
      <c r="H7854" s="1">
        <v>2</v>
      </c>
      <c r="I7854" s="1">
        <v>-53.008800000000001</v>
      </c>
    </row>
    <row r="7855" spans="1:9" x14ac:dyDescent="0.35">
      <c r="A7855" s="3" t="s">
        <v>3200</v>
      </c>
      <c r="B7855" s="1" t="s">
        <v>2141</v>
      </c>
      <c r="C7855" s="1" t="s">
        <v>17</v>
      </c>
      <c r="D7855" s="1" t="s">
        <v>18</v>
      </c>
      <c r="E7855" s="1" t="s">
        <v>44</v>
      </c>
      <c r="F7855" s="2" t="s">
        <v>1769</v>
      </c>
      <c r="G7855" s="1">
        <v>9.9600000000000009</v>
      </c>
      <c r="H7855" s="1">
        <v>2</v>
      </c>
      <c r="I7855" s="1">
        <v>4.8803999999999998</v>
      </c>
    </row>
    <row r="7856" spans="1:9" x14ac:dyDescent="0.35">
      <c r="A7856" s="3">
        <v>42928</v>
      </c>
      <c r="B7856" s="1" t="s">
        <v>28</v>
      </c>
      <c r="C7856" s="1" t="s">
        <v>2796</v>
      </c>
      <c r="D7856" s="1" t="s">
        <v>704</v>
      </c>
      <c r="E7856" s="1" t="s">
        <v>37</v>
      </c>
      <c r="F7856" s="2" t="s">
        <v>2184</v>
      </c>
      <c r="G7856" s="1">
        <v>320.64</v>
      </c>
      <c r="H7856" s="1">
        <v>4</v>
      </c>
      <c r="I7856" s="1">
        <v>89.779200000000003</v>
      </c>
    </row>
    <row r="7857" spans="1:9" x14ac:dyDescent="0.35">
      <c r="A7857" s="3">
        <v>42928</v>
      </c>
      <c r="B7857" s="1" t="s">
        <v>28</v>
      </c>
      <c r="C7857" s="1" t="s">
        <v>2796</v>
      </c>
      <c r="D7857" s="1" t="s">
        <v>704</v>
      </c>
      <c r="E7857" s="1" t="s">
        <v>81</v>
      </c>
      <c r="F7857" s="2" t="s">
        <v>412</v>
      </c>
      <c r="G7857" s="1">
        <v>52</v>
      </c>
      <c r="H7857" s="1">
        <v>4</v>
      </c>
      <c r="I7857" s="1">
        <v>23.4</v>
      </c>
    </row>
    <row r="7858" spans="1:9" x14ac:dyDescent="0.35">
      <c r="A7858" s="3" t="s">
        <v>3578</v>
      </c>
      <c r="B7858" s="1" t="s">
        <v>1567</v>
      </c>
      <c r="C7858" s="1" t="s">
        <v>135</v>
      </c>
      <c r="D7858" s="1" t="s">
        <v>136</v>
      </c>
      <c r="E7858" s="1" t="s">
        <v>35</v>
      </c>
      <c r="F7858" s="2" t="s">
        <v>2317</v>
      </c>
      <c r="G7858" s="1">
        <v>25.584</v>
      </c>
      <c r="H7858" s="1">
        <v>2</v>
      </c>
      <c r="I7858" s="1">
        <v>8.9543999999999997</v>
      </c>
    </row>
    <row r="7859" spans="1:9" x14ac:dyDescent="0.35">
      <c r="A7859" s="3" t="s">
        <v>3578</v>
      </c>
      <c r="B7859" s="1" t="s">
        <v>1567</v>
      </c>
      <c r="C7859" s="1" t="s">
        <v>135</v>
      </c>
      <c r="D7859" s="1" t="s">
        <v>136</v>
      </c>
      <c r="E7859" s="1" t="s">
        <v>33</v>
      </c>
      <c r="F7859" s="2" t="s">
        <v>1538</v>
      </c>
      <c r="G7859" s="1">
        <v>464</v>
      </c>
      <c r="H7859" s="1">
        <v>5</v>
      </c>
      <c r="I7859" s="1">
        <v>134.56</v>
      </c>
    </row>
    <row r="7860" spans="1:9" x14ac:dyDescent="0.35">
      <c r="A7860" s="3" t="s">
        <v>3578</v>
      </c>
      <c r="B7860" s="1" t="s">
        <v>1567</v>
      </c>
      <c r="C7860" s="1" t="s">
        <v>135</v>
      </c>
      <c r="D7860" s="1" t="s">
        <v>136</v>
      </c>
      <c r="E7860" s="1" t="s">
        <v>37</v>
      </c>
      <c r="F7860" s="2" t="s">
        <v>1922</v>
      </c>
      <c r="G7860" s="1">
        <v>235.95</v>
      </c>
      <c r="H7860" s="1">
        <v>3</v>
      </c>
      <c r="I7860" s="1">
        <v>77.863500000000002</v>
      </c>
    </row>
    <row r="7861" spans="1:9" x14ac:dyDescent="0.35">
      <c r="A7861" s="3" t="s">
        <v>3578</v>
      </c>
      <c r="B7861" s="1" t="s">
        <v>1567</v>
      </c>
      <c r="C7861" s="1" t="s">
        <v>135</v>
      </c>
      <c r="D7861" s="1" t="s">
        <v>136</v>
      </c>
      <c r="E7861" s="1" t="s">
        <v>44</v>
      </c>
      <c r="F7861" s="2" t="s">
        <v>1660</v>
      </c>
      <c r="G7861" s="1">
        <v>39.96</v>
      </c>
      <c r="H7861" s="1">
        <v>4</v>
      </c>
      <c r="I7861" s="1">
        <v>17.981999999999999</v>
      </c>
    </row>
    <row r="7862" spans="1:9" x14ac:dyDescent="0.35">
      <c r="A7862" s="3">
        <v>42769</v>
      </c>
      <c r="B7862" s="1" t="s">
        <v>1279</v>
      </c>
      <c r="C7862" s="1" t="s">
        <v>1438</v>
      </c>
      <c r="D7862" s="1" t="s">
        <v>250</v>
      </c>
      <c r="E7862" s="1" t="s">
        <v>35</v>
      </c>
      <c r="F7862" s="2" t="s">
        <v>1823</v>
      </c>
      <c r="G7862" s="1">
        <v>18.527999999999999</v>
      </c>
      <c r="H7862" s="1">
        <v>4</v>
      </c>
      <c r="I7862" s="1">
        <v>-12.352</v>
      </c>
    </row>
    <row r="7863" spans="1:9" x14ac:dyDescent="0.35">
      <c r="A7863" s="3">
        <v>42348</v>
      </c>
      <c r="B7863" s="1" t="s">
        <v>2036</v>
      </c>
      <c r="C7863" s="1" t="s">
        <v>47</v>
      </c>
      <c r="D7863" s="1" t="s">
        <v>48</v>
      </c>
      <c r="E7863" s="1" t="s">
        <v>81</v>
      </c>
      <c r="F7863" s="2" t="s">
        <v>1760</v>
      </c>
      <c r="G7863" s="1">
        <v>17.899999999999999</v>
      </c>
      <c r="H7863" s="1">
        <v>2</v>
      </c>
      <c r="I7863" s="1">
        <v>3.4009999999999998</v>
      </c>
    </row>
    <row r="7864" spans="1:9" x14ac:dyDescent="0.35">
      <c r="A7864" s="3">
        <v>42348</v>
      </c>
      <c r="B7864" s="1" t="s">
        <v>2036</v>
      </c>
      <c r="C7864" s="1" t="s">
        <v>47</v>
      </c>
      <c r="D7864" s="1" t="s">
        <v>48</v>
      </c>
      <c r="E7864" s="1" t="s">
        <v>26</v>
      </c>
      <c r="F7864" s="2" t="s">
        <v>669</v>
      </c>
      <c r="G7864" s="1">
        <v>81.96</v>
      </c>
      <c r="H7864" s="1">
        <v>2</v>
      </c>
      <c r="I7864" s="1">
        <v>0</v>
      </c>
    </row>
    <row r="7865" spans="1:9" x14ac:dyDescent="0.35">
      <c r="A7865" s="3" t="s">
        <v>3798</v>
      </c>
      <c r="B7865" s="1" t="s">
        <v>2126</v>
      </c>
      <c r="C7865" s="1" t="s">
        <v>849</v>
      </c>
      <c r="D7865" s="1" t="s">
        <v>158</v>
      </c>
      <c r="E7865" s="1" t="s">
        <v>26</v>
      </c>
      <c r="F7865" s="2" t="s">
        <v>763</v>
      </c>
      <c r="G7865" s="1">
        <v>272.73599999999999</v>
      </c>
      <c r="H7865" s="1">
        <v>3</v>
      </c>
      <c r="I7865" s="1">
        <v>-64.774799999999999</v>
      </c>
    </row>
    <row r="7866" spans="1:9" x14ac:dyDescent="0.35">
      <c r="A7866" s="3" t="s">
        <v>3798</v>
      </c>
      <c r="B7866" s="1" t="s">
        <v>2126</v>
      </c>
      <c r="C7866" s="1" t="s">
        <v>849</v>
      </c>
      <c r="D7866" s="1" t="s">
        <v>158</v>
      </c>
      <c r="E7866" s="1" t="s">
        <v>44</v>
      </c>
      <c r="F7866" s="2" t="s">
        <v>3067</v>
      </c>
      <c r="G7866" s="1">
        <v>18.495999999999999</v>
      </c>
      <c r="H7866" s="1">
        <v>4</v>
      </c>
      <c r="I7866" s="1">
        <v>6.7047999999999996</v>
      </c>
    </row>
    <row r="7867" spans="1:9" x14ac:dyDescent="0.35">
      <c r="A7867" s="3" t="s">
        <v>3798</v>
      </c>
      <c r="B7867" s="1" t="s">
        <v>2126</v>
      </c>
      <c r="C7867" s="1" t="s">
        <v>849</v>
      </c>
      <c r="D7867" s="1" t="s">
        <v>158</v>
      </c>
      <c r="E7867" s="1" t="s">
        <v>14</v>
      </c>
      <c r="F7867" s="2" t="s">
        <v>341</v>
      </c>
      <c r="G7867" s="1">
        <v>441.92</v>
      </c>
      <c r="H7867" s="1">
        <v>2</v>
      </c>
      <c r="I7867" s="1">
        <v>49.716000000000001</v>
      </c>
    </row>
    <row r="7868" spans="1:9" x14ac:dyDescent="0.35">
      <c r="A7868" s="3" t="s">
        <v>3798</v>
      </c>
      <c r="B7868" s="1" t="s">
        <v>2126</v>
      </c>
      <c r="C7868" s="1" t="s">
        <v>849</v>
      </c>
      <c r="D7868" s="1" t="s">
        <v>158</v>
      </c>
      <c r="E7868" s="1" t="s">
        <v>12</v>
      </c>
      <c r="F7868" s="2" t="s">
        <v>2578</v>
      </c>
      <c r="G7868" s="1">
        <v>127.764</v>
      </c>
      <c r="H7868" s="1">
        <v>6</v>
      </c>
      <c r="I7868" s="1">
        <v>-191.64599999999999</v>
      </c>
    </row>
    <row r="7869" spans="1:9" x14ac:dyDescent="0.35">
      <c r="A7869" s="3" t="s">
        <v>3643</v>
      </c>
      <c r="B7869" s="1" t="s">
        <v>2808</v>
      </c>
      <c r="C7869" s="1" t="s">
        <v>2093</v>
      </c>
      <c r="D7869" s="1" t="s">
        <v>61</v>
      </c>
      <c r="E7869" s="1" t="s">
        <v>44</v>
      </c>
      <c r="F7869" s="2" t="s">
        <v>2053</v>
      </c>
      <c r="G7869" s="1">
        <v>166.44</v>
      </c>
      <c r="H7869" s="1">
        <v>3</v>
      </c>
      <c r="I7869" s="1">
        <v>79.891199999999998</v>
      </c>
    </row>
    <row r="7870" spans="1:9" x14ac:dyDescent="0.35">
      <c r="A7870" s="3" t="s">
        <v>3619</v>
      </c>
      <c r="B7870" s="1" t="s">
        <v>816</v>
      </c>
      <c r="C7870" s="1" t="s">
        <v>17</v>
      </c>
      <c r="D7870" s="1" t="s">
        <v>18</v>
      </c>
      <c r="E7870" s="1" t="s">
        <v>44</v>
      </c>
      <c r="F7870" s="2" t="s">
        <v>1792</v>
      </c>
      <c r="G7870" s="1">
        <v>13.38</v>
      </c>
      <c r="H7870" s="1">
        <v>2</v>
      </c>
      <c r="I7870" s="1">
        <v>6.1547999999999998</v>
      </c>
    </row>
    <row r="7871" spans="1:9" x14ac:dyDescent="0.35">
      <c r="A7871" s="3">
        <v>42801</v>
      </c>
      <c r="B7871" s="1" t="s">
        <v>2368</v>
      </c>
      <c r="C7871" s="1" t="s">
        <v>719</v>
      </c>
      <c r="D7871" s="1" t="s">
        <v>43</v>
      </c>
      <c r="E7871" s="1" t="s">
        <v>81</v>
      </c>
      <c r="F7871" s="2" t="s">
        <v>125</v>
      </c>
      <c r="G7871" s="1">
        <v>24</v>
      </c>
      <c r="H7871" s="1">
        <v>2</v>
      </c>
      <c r="I7871" s="1">
        <v>-2.7</v>
      </c>
    </row>
    <row r="7872" spans="1:9" x14ac:dyDescent="0.35">
      <c r="A7872" s="3" t="s">
        <v>3339</v>
      </c>
      <c r="B7872" s="1" t="s">
        <v>2389</v>
      </c>
      <c r="C7872" s="1" t="s">
        <v>536</v>
      </c>
      <c r="D7872" s="1" t="s">
        <v>250</v>
      </c>
      <c r="E7872" s="1" t="s">
        <v>87</v>
      </c>
      <c r="F7872" s="2" t="s">
        <v>1159</v>
      </c>
      <c r="G7872" s="1">
        <v>24.448</v>
      </c>
      <c r="H7872" s="1">
        <v>4</v>
      </c>
      <c r="I7872" s="1">
        <v>8.8623999999999992</v>
      </c>
    </row>
    <row r="7873" spans="1:9" x14ac:dyDescent="0.35">
      <c r="A7873" s="3">
        <v>42439</v>
      </c>
      <c r="B7873" s="1" t="s">
        <v>2255</v>
      </c>
      <c r="C7873" s="1" t="s">
        <v>2940</v>
      </c>
      <c r="D7873" s="1" t="s">
        <v>18</v>
      </c>
      <c r="E7873" s="1" t="s">
        <v>19</v>
      </c>
      <c r="F7873" s="2" t="s">
        <v>1127</v>
      </c>
      <c r="G7873" s="1">
        <v>6.16</v>
      </c>
      <c r="H7873" s="1">
        <v>2</v>
      </c>
      <c r="I7873" s="1">
        <v>2.9567999999999999</v>
      </c>
    </row>
    <row r="7874" spans="1:9" x14ac:dyDescent="0.35">
      <c r="A7874" s="3">
        <v>42439</v>
      </c>
      <c r="B7874" s="1" t="s">
        <v>2255</v>
      </c>
      <c r="C7874" s="1" t="s">
        <v>2940</v>
      </c>
      <c r="D7874" s="1" t="s">
        <v>18</v>
      </c>
      <c r="E7874" s="1" t="s">
        <v>14</v>
      </c>
      <c r="F7874" s="2" t="s">
        <v>267</v>
      </c>
      <c r="G7874" s="1">
        <v>915.13599999999997</v>
      </c>
      <c r="H7874" s="1">
        <v>4</v>
      </c>
      <c r="I7874" s="1">
        <v>102.9528</v>
      </c>
    </row>
    <row r="7875" spans="1:9" x14ac:dyDescent="0.35">
      <c r="A7875" s="3">
        <v>42439</v>
      </c>
      <c r="B7875" s="1" t="s">
        <v>2255</v>
      </c>
      <c r="C7875" s="1" t="s">
        <v>2940</v>
      </c>
      <c r="D7875" s="1" t="s">
        <v>18</v>
      </c>
      <c r="E7875" s="1" t="s">
        <v>44</v>
      </c>
      <c r="F7875" s="2" t="s">
        <v>2552</v>
      </c>
      <c r="G7875" s="1">
        <v>8.56</v>
      </c>
      <c r="H7875" s="1">
        <v>2</v>
      </c>
      <c r="I7875" s="1">
        <v>3.8519999999999999</v>
      </c>
    </row>
    <row r="7876" spans="1:9" x14ac:dyDescent="0.35">
      <c r="A7876" s="3">
        <v>42439</v>
      </c>
      <c r="B7876" s="1" t="s">
        <v>2255</v>
      </c>
      <c r="C7876" s="1" t="s">
        <v>2940</v>
      </c>
      <c r="D7876" s="1" t="s">
        <v>18</v>
      </c>
      <c r="E7876" s="1" t="s">
        <v>44</v>
      </c>
      <c r="F7876" s="2" t="s">
        <v>1966</v>
      </c>
      <c r="G7876" s="1">
        <v>97.82</v>
      </c>
      <c r="H7876" s="1">
        <v>2</v>
      </c>
      <c r="I7876" s="1">
        <v>45.9754</v>
      </c>
    </row>
    <row r="7877" spans="1:9" x14ac:dyDescent="0.35">
      <c r="A7877" s="3">
        <v>42987</v>
      </c>
      <c r="B7877" s="1" t="s">
        <v>1652</v>
      </c>
      <c r="C7877" s="1" t="s">
        <v>211</v>
      </c>
      <c r="D7877" s="1" t="s">
        <v>212</v>
      </c>
      <c r="E7877" s="1" t="s">
        <v>44</v>
      </c>
      <c r="F7877" s="2" t="s">
        <v>618</v>
      </c>
      <c r="G7877" s="1">
        <v>31.103999999999999</v>
      </c>
      <c r="H7877" s="1">
        <v>6</v>
      </c>
      <c r="I7877" s="1">
        <v>11.2752</v>
      </c>
    </row>
    <row r="7878" spans="1:9" x14ac:dyDescent="0.35">
      <c r="A7878" s="3">
        <v>42987</v>
      </c>
      <c r="B7878" s="1" t="s">
        <v>1652</v>
      </c>
      <c r="C7878" s="1" t="s">
        <v>211</v>
      </c>
      <c r="D7878" s="1" t="s">
        <v>212</v>
      </c>
      <c r="E7878" s="1" t="s">
        <v>37</v>
      </c>
      <c r="F7878" s="2" t="s">
        <v>3030</v>
      </c>
      <c r="G7878" s="1">
        <v>11.176</v>
      </c>
      <c r="H7878" s="1">
        <v>1</v>
      </c>
      <c r="I7878" s="1">
        <v>0.83819999999999995</v>
      </c>
    </row>
    <row r="7879" spans="1:9" x14ac:dyDescent="0.35">
      <c r="A7879" s="3">
        <v>42341</v>
      </c>
      <c r="B7879" s="1" t="s">
        <v>1573</v>
      </c>
      <c r="C7879" s="1" t="s">
        <v>234</v>
      </c>
      <c r="D7879" s="1" t="s">
        <v>43</v>
      </c>
      <c r="E7879" s="1" t="s">
        <v>19</v>
      </c>
      <c r="F7879" s="2" t="s">
        <v>1754</v>
      </c>
      <c r="G7879" s="1">
        <v>5.04</v>
      </c>
      <c r="H7879" s="1">
        <v>2</v>
      </c>
      <c r="I7879" s="1">
        <v>1.764</v>
      </c>
    </row>
    <row r="7880" spans="1:9" x14ac:dyDescent="0.35">
      <c r="A7880" s="3" t="s">
        <v>3422</v>
      </c>
      <c r="B7880" s="1" t="s">
        <v>2383</v>
      </c>
      <c r="C7880" s="1" t="s">
        <v>228</v>
      </c>
      <c r="D7880" s="1" t="s">
        <v>106</v>
      </c>
      <c r="E7880" s="1" t="s">
        <v>29</v>
      </c>
      <c r="F7880" s="2" t="s">
        <v>3046</v>
      </c>
      <c r="G7880" s="1">
        <v>242.17599999999999</v>
      </c>
      <c r="H7880" s="1">
        <v>4</v>
      </c>
      <c r="I7880" s="1">
        <v>-302.72000000000003</v>
      </c>
    </row>
    <row r="7881" spans="1:9" x14ac:dyDescent="0.35">
      <c r="A7881" s="3" t="s">
        <v>3650</v>
      </c>
      <c r="B7881" s="1" t="s">
        <v>202</v>
      </c>
      <c r="C7881" s="1" t="s">
        <v>74</v>
      </c>
      <c r="D7881" s="1" t="s">
        <v>75</v>
      </c>
      <c r="E7881" s="1" t="s">
        <v>24</v>
      </c>
      <c r="F7881" s="2" t="s">
        <v>2767</v>
      </c>
      <c r="G7881" s="1">
        <v>337.17599999999999</v>
      </c>
      <c r="H7881" s="1">
        <v>2</v>
      </c>
      <c r="I7881" s="1">
        <v>-118.0116</v>
      </c>
    </row>
    <row r="7882" spans="1:9" x14ac:dyDescent="0.35">
      <c r="A7882" s="3">
        <v>42806</v>
      </c>
      <c r="B7882" s="1" t="s">
        <v>227</v>
      </c>
      <c r="C7882" s="1" t="s">
        <v>2653</v>
      </c>
      <c r="D7882" s="1" t="s">
        <v>229</v>
      </c>
      <c r="E7882" s="1" t="s">
        <v>31</v>
      </c>
      <c r="F7882" s="2" t="s">
        <v>813</v>
      </c>
      <c r="G7882" s="1">
        <v>13.343999999999999</v>
      </c>
      <c r="H7882" s="1">
        <v>6</v>
      </c>
      <c r="I7882" s="1">
        <v>1.0007999999999999</v>
      </c>
    </row>
    <row r="7883" spans="1:9" x14ac:dyDescent="0.35">
      <c r="A7883" s="3">
        <v>42806</v>
      </c>
      <c r="B7883" s="1" t="s">
        <v>227</v>
      </c>
      <c r="C7883" s="1" t="s">
        <v>2653</v>
      </c>
      <c r="D7883" s="1" t="s">
        <v>229</v>
      </c>
      <c r="E7883" s="1" t="s">
        <v>81</v>
      </c>
      <c r="F7883" s="2" t="s">
        <v>1842</v>
      </c>
      <c r="G7883" s="1">
        <v>76.751999999999995</v>
      </c>
      <c r="H7883" s="1">
        <v>6</v>
      </c>
      <c r="I7883" s="1">
        <v>10.5534</v>
      </c>
    </row>
    <row r="7884" spans="1:9" x14ac:dyDescent="0.35">
      <c r="A7884" s="3">
        <v>42806</v>
      </c>
      <c r="B7884" s="1" t="s">
        <v>227</v>
      </c>
      <c r="C7884" s="1" t="s">
        <v>2653</v>
      </c>
      <c r="D7884" s="1" t="s">
        <v>229</v>
      </c>
      <c r="E7884" s="1" t="s">
        <v>81</v>
      </c>
      <c r="F7884" s="2" t="s">
        <v>1842</v>
      </c>
      <c r="G7884" s="1">
        <v>102.336</v>
      </c>
      <c r="H7884" s="1">
        <v>8</v>
      </c>
      <c r="I7884" s="1">
        <v>14.071199999999999</v>
      </c>
    </row>
    <row r="7885" spans="1:9" x14ac:dyDescent="0.35">
      <c r="A7885" s="3">
        <v>42806</v>
      </c>
      <c r="B7885" s="1" t="s">
        <v>227</v>
      </c>
      <c r="C7885" s="1" t="s">
        <v>2653</v>
      </c>
      <c r="D7885" s="1" t="s">
        <v>229</v>
      </c>
      <c r="E7885" s="1" t="s">
        <v>44</v>
      </c>
      <c r="F7885" s="2" t="s">
        <v>2333</v>
      </c>
      <c r="G7885" s="1">
        <v>10.32</v>
      </c>
      <c r="H7885" s="1">
        <v>2</v>
      </c>
      <c r="I7885" s="1">
        <v>3.7410000000000001</v>
      </c>
    </row>
    <row r="7886" spans="1:9" x14ac:dyDescent="0.35">
      <c r="A7886" s="3">
        <v>42806</v>
      </c>
      <c r="B7886" s="1" t="s">
        <v>227</v>
      </c>
      <c r="C7886" s="1" t="s">
        <v>2653</v>
      </c>
      <c r="D7886" s="1" t="s">
        <v>229</v>
      </c>
      <c r="E7886" s="1" t="s">
        <v>289</v>
      </c>
      <c r="F7886" s="2" t="s">
        <v>2610</v>
      </c>
      <c r="G7886" s="1">
        <v>47.32</v>
      </c>
      <c r="H7886" s="1">
        <v>7</v>
      </c>
      <c r="I7886" s="1">
        <v>5.915</v>
      </c>
    </row>
    <row r="7887" spans="1:9" x14ac:dyDescent="0.35">
      <c r="A7887" s="3">
        <v>42806</v>
      </c>
      <c r="B7887" s="1" t="s">
        <v>227</v>
      </c>
      <c r="C7887" s="1" t="s">
        <v>2653</v>
      </c>
      <c r="D7887" s="1" t="s">
        <v>229</v>
      </c>
      <c r="E7887" s="1" t="s">
        <v>29</v>
      </c>
      <c r="F7887" s="2" t="s">
        <v>449</v>
      </c>
      <c r="G7887" s="1">
        <v>23.376000000000001</v>
      </c>
      <c r="H7887" s="1">
        <v>3</v>
      </c>
      <c r="I7887" s="1">
        <v>7.0128000000000004</v>
      </c>
    </row>
    <row r="7888" spans="1:9" x14ac:dyDescent="0.35">
      <c r="A7888" s="3">
        <v>42806</v>
      </c>
      <c r="B7888" s="1" t="s">
        <v>227</v>
      </c>
      <c r="C7888" s="1" t="s">
        <v>2653</v>
      </c>
      <c r="D7888" s="1" t="s">
        <v>229</v>
      </c>
      <c r="E7888" s="1" t="s">
        <v>29</v>
      </c>
      <c r="F7888" s="2" t="s">
        <v>1687</v>
      </c>
      <c r="G7888" s="1">
        <v>16.72</v>
      </c>
      <c r="H7888" s="1">
        <v>5</v>
      </c>
      <c r="I7888" s="1">
        <v>3.3439999999999999</v>
      </c>
    </row>
    <row r="7889" spans="1:9" x14ac:dyDescent="0.35">
      <c r="A7889" s="3">
        <v>42806</v>
      </c>
      <c r="B7889" s="1" t="s">
        <v>227</v>
      </c>
      <c r="C7889" s="1" t="s">
        <v>2653</v>
      </c>
      <c r="D7889" s="1" t="s">
        <v>229</v>
      </c>
      <c r="E7889" s="1" t="s">
        <v>29</v>
      </c>
      <c r="F7889" s="2" t="s">
        <v>2754</v>
      </c>
      <c r="G7889" s="1">
        <v>16.192</v>
      </c>
      <c r="H7889" s="1">
        <v>1</v>
      </c>
      <c r="I7889" s="1">
        <v>4.6551999999999998</v>
      </c>
    </row>
    <row r="7890" spans="1:9" x14ac:dyDescent="0.35">
      <c r="A7890" s="3" t="s">
        <v>3222</v>
      </c>
      <c r="B7890" s="1" t="s">
        <v>762</v>
      </c>
      <c r="C7890" s="1" t="s">
        <v>3068</v>
      </c>
      <c r="D7890" s="1" t="s">
        <v>18</v>
      </c>
      <c r="E7890" s="1" t="s">
        <v>44</v>
      </c>
      <c r="F7890" s="2" t="s">
        <v>1234</v>
      </c>
      <c r="G7890" s="1">
        <v>32.4</v>
      </c>
      <c r="H7890" s="1">
        <v>5</v>
      </c>
      <c r="I7890" s="1">
        <v>15.552</v>
      </c>
    </row>
    <row r="7891" spans="1:9" x14ac:dyDescent="0.35">
      <c r="A7891" s="3" t="s">
        <v>3636</v>
      </c>
      <c r="B7891" s="1" t="s">
        <v>2965</v>
      </c>
      <c r="C7891" s="1" t="s">
        <v>796</v>
      </c>
      <c r="D7891" s="1" t="s">
        <v>797</v>
      </c>
      <c r="E7891" s="1" t="s">
        <v>31</v>
      </c>
      <c r="F7891" s="2" t="s">
        <v>820</v>
      </c>
      <c r="G7891" s="1">
        <v>19.89</v>
      </c>
      <c r="H7891" s="1">
        <v>9</v>
      </c>
      <c r="I7891" s="1">
        <v>5.3703000000000003</v>
      </c>
    </row>
    <row r="7892" spans="1:9" x14ac:dyDescent="0.35">
      <c r="A7892" s="3" t="s">
        <v>3636</v>
      </c>
      <c r="B7892" s="1" t="s">
        <v>2965</v>
      </c>
      <c r="C7892" s="1" t="s">
        <v>796</v>
      </c>
      <c r="D7892" s="1" t="s">
        <v>797</v>
      </c>
      <c r="E7892" s="1" t="s">
        <v>81</v>
      </c>
      <c r="F7892" s="2" t="s">
        <v>1145</v>
      </c>
      <c r="G7892" s="1">
        <v>399.98</v>
      </c>
      <c r="H7892" s="1">
        <v>2</v>
      </c>
      <c r="I7892" s="1">
        <v>171.9914</v>
      </c>
    </row>
    <row r="7893" spans="1:9" x14ac:dyDescent="0.35">
      <c r="A7893" s="3" t="s">
        <v>3636</v>
      </c>
      <c r="B7893" s="1" t="s">
        <v>2965</v>
      </c>
      <c r="C7893" s="1" t="s">
        <v>796</v>
      </c>
      <c r="D7893" s="1" t="s">
        <v>797</v>
      </c>
      <c r="E7893" s="1" t="s">
        <v>29</v>
      </c>
      <c r="F7893" s="2" t="s">
        <v>1006</v>
      </c>
      <c r="G7893" s="1">
        <v>343.85</v>
      </c>
      <c r="H7893" s="1">
        <v>5</v>
      </c>
      <c r="I7893" s="1">
        <v>137.54</v>
      </c>
    </row>
    <row r="7894" spans="1:9" x14ac:dyDescent="0.35">
      <c r="A7894" s="3" t="s">
        <v>3636</v>
      </c>
      <c r="B7894" s="1" t="s">
        <v>2965</v>
      </c>
      <c r="C7894" s="1" t="s">
        <v>796</v>
      </c>
      <c r="D7894" s="1" t="s">
        <v>797</v>
      </c>
      <c r="E7894" s="1" t="s">
        <v>44</v>
      </c>
      <c r="F7894" s="2" t="s">
        <v>2889</v>
      </c>
      <c r="G7894" s="1">
        <v>106.32</v>
      </c>
      <c r="H7894" s="1">
        <v>3</v>
      </c>
      <c r="I7894" s="1">
        <v>49.970399999999998</v>
      </c>
    </row>
    <row r="7895" spans="1:9" x14ac:dyDescent="0.35">
      <c r="A7895" s="3" t="s">
        <v>3542</v>
      </c>
      <c r="B7895" s="1" t="s">
        <v>555</v>
      </c>
      <c r="C7895" s="1" t="s">
        <v>135</v>
      </c>
      <c r="D7895" s="1" t="s">
        <v>136</v>
      </c>
      <c r="E7895" s="1" t="s">
        <v>35</v>
      </c>
      <c r="F7895" s="2" t="s">
        <v>613</v>
      </c>
      <c r="G7895" s="1">
        <v>13.92</v>
      </c>
      <c r="H7895" s="1">
        <v>3</v>
      </c>
      <c r="I7895" s="1">
        <v>4.3499999999999996</v>
      </c>
    </row>
    <row r="7896" spans="1:9" x14ac:dyDescent="0.35">
      <c r="A7896" s="3" t="s">
        <v>3799</v>
      </c>
      <c r="B7896" s="1" t="s">
        <v>987</v>
      </c>
      <c r="C7896" s="1" t="s">
        <v>2285</v>
      </c>
      <c r="D7896" s="1" t="s">
        <v>3069</v>
      </c>
      <c r="E7896" s="1" t="s">
        <v>35</v>
      </c>
      <c r="F7896" s="2" t="s">
        <v>209</v>
      </c>
      <c r="G7896" s="1">
        <v>82.4</v>
      </c>
      <c r="H7896" s="1">
        <v>5</v>
      </c>
      <c r="I7896" s="1">
        <v>40.375999999999998</v>
      </c>
    </row>
    <row r="7897" spans="1:9" x14ac:dyDescent="0.35">
      <c r="A7897" s="3" t="s">
        <v>3799</v>
      </c>
      <c r="B7897" s="1" t="s">
        <v>987</v>
      </c>
      <c r="C7897" s="1" t="s">
        <v>2285</v>
      </c>
      <c r="D7897" s="1" t="s">
        <v>3069</v>
      </c>
      <c r="E7897" s="1" t="s">
        <v>35</v>
      </c>
      <c r="F7897" s="2" t="s">
        <v>1285</v>
      </c>
      <c r="G7897" s="1">
        <v>6.24</v>
      </c>
      <c r="H7897" s="1">
        <v>2</v>
      </c>
      <c r="I7897" s="1">
        <v>3.0575999999999999</v>
      </c>
    </row>
    <row r="7898" spans="1:9" x14ac:dyDescent="0.35">
      <c r="A7898" s="3" t="s">
        <v>3799</v>
      </c>
      <c r="B7898" s="1" t="s">
        <v>987</v>
      </c>
      <c r="C7898" s="1" t="s">
        <v>2285</v>
      </c>
      <c r="D7898" s="1" t="s">
        <v>3069</v>
      </c>
      <c r="E7898" s="1" t="s">
        <v>44</v>
      </c>
      <c r="F7898" s="2" t="s">
        <v>683</v>
      </c>
      <c r="G7898" s="1">
        <v>447.84</v>
      </c>
      <c r="H7898" s="1">
        <v>8</v>
      </c>
      <c r="I7898" s="1">
        <v>219.44159999999999</v>
      </c>
    </row>
    <row r="7899" spans="1:9" x14ac:dyDescent="0.35">
      <c r="A7899" s="3" t="s">
        <v>3280</v>
      </c>
      <c r="B7899" s="1" t="s">
        <v>1527</v>
      </c>
      <c r="C7899" s="1" t="s">
        <v>170</v>
      </c>
      <c r="D7899" s="1" t="s">
        <v>171</v>
      </c>
      <c r="E7899" s="1" t="s">
        <v>37</v>
      </c>
      <c r="F7899" s="2" t="s">
        <v>952</v>
      </c>
      <c r="G7899" s="1">
        <v>272.048</v>
      </c>
      <c r="H7899" s="1">
        <v>7</v>
      </c>
      <c r="I7899" s="1">
        <v>30.605399999999999</v>
      </c>
    </row>
    <row r="7900" spans="1:9" x14ac:dyDescent="0.35">
      <c r="A7900" s="3" t="s">
        <v>3280</v>
      </c>
      <c r="B7900" s="1" t="s">
        <v>1527</v>
      </c>
      <c r="C7900" s="1" t="s">
        <v>170</v>
      </c>
      <c r="D7900" s="1" t="s">
        <v>171</v>
      </c>
      <c r="E7900" s="1" t="s">
        <v>35</v>
      </c>
      <c r="F7900" s="2" t="s">
        <v>1956</v>
      </c>
      <c r="G7900" s="1">
        <v>1614.5820000000001</v>
      </c>
      <c r="H7900" s="1">
        <v>6</v>
      </c>
      <c r="I7900" s="1">
        <v>-1237.8462</v>
      </c>
    </row>
    <row r="7901" spans="1:9" x14ac:dyDescent="0.35">
      <c r="A7901" s="3" t="s">
        <v>3280</v>
      </c>
      <c r="B7901" s="1" t="s">
        <v>1527</v>
      </c>
      <c r="C7901" s="1" t="s">
        <v>170</v>
      </c>
      <c r="D7901" s="1" t="s">
        <v>171</v>
      </c>
      <c r="E7901" s="1" t="s">
        <v>137</v>
      </c>
      <c r="F7901" s="2" t="s">
        <v>281</v>
      </c>
      <c r="G7901" s="1">
        <v>24.32</v>
      </c>
      <c r="H7901" s="1">
        <v>5</v>
      </c>
      <c r="I7901" s="1">
        <v>9.1199999999999992</v>
      </c>
    </row>
    <row r="7902" spans="1:9" x14ac:dyDescent="0.35">
      <c r="A7902" s="3" t="s">
        <v>3280</v>
      </c>
      <c r="B7902" s="1" t="s">
        <v>1527</v>
      </c>
      <c r="C7902" s="1" t="s">
        <v>170</v>
      </c>
      <c r="D7902" s="1" t="s">
        <v>171</v>
      </c>
      <c r="E7902" s="1" t="s">
        <v>81</v>
      </c>
      <c r="F7902" s="2" t="s">
        <v>2364</v>
      </c>
      <c r="G7902" s="1">
        <v>1.5840000000000001</v>
      </c>
      <c r="H7902" s="1">
        <v>2</v>
      </c>
      <c r="I7902" s="1">
        <v>0.47520000000000001</v>
      </c>
    </row>
    <row r="7903" spans="1:9" x14ac:dyDescent="0.35">
      <c r="A7903" s="3" t="s">
        <v>3280</v>
      </c>
      <c r="B7903" s="1" t="s">
        <v>1527</v>
      </c>
      <c r="C7903" s="1" t="s">
        <v>170</v>
      </c>
      <c r="D7903" s="1" t="s">
        <v>171</v>
      </c>
      <c r="E7903" s="1" t="s">
        <v>29</v>
      </c>
      <c r="F7903" s="2" t="s">
        <v>1500</v>
      </c>
      <c r="G7903" s="1">
        <v>31.984000000000002</v>
      </c>
      <c r="H7903" s="1">
        <v>1</v>
      </c>
      <c r="I7903" s="1">
        <v>0</v>
      </c>
    </row>
    <row r="7904" spans="1:9" x14ac:dyDescent="0.35">
      <c r="A7904" s="3" t="s">
        <v>3280</v>
      </c>
      <c r="B7904" s="1" t="s">
        <v>1527</v>
      </c>
      <c r="C7904" s="1" t="s">
        <v>170</v>
      </c>
      <c r="D7904" s="1" t="s">
        <v>171</v>
      </c>
      <c r="E7904" s="1" t="s">
        <v>87</v>
      </c>
      <c r="F7904" s="2" t="s">
        <v>790</v>
      </c>
      <c r="G7904" s="1">
        <v>14.76</v>
      </c>
      <c r="H7904" s="1">
        <v>5</v>
      </c>
      <c r="I7904" s="1">
        <v>4.7969999999999997</v>
      </c>
    </row>
    <row r="7905" spans="1:9" x14ac:dyDescent="0.35">
      <c r="A7905" s="3" t="s">
        <v>3280</v>
      </c>
      <c r="B7905" s="1" t="s">
        <v>1527</v>
      </c>
      <c r="C7905" s="1" t="s">
        <v>170</v>
      </c>
      <c r="D7905" s="1" t="s">
        <v>171</v>
      </c>
      <c r="E7905" s="1" t="s">
        <v>14</v>
      </c>
      <c r="F7905" s="2" t="s">
        <v>3027</v>
      </c>
      <c r="G7905" s="1">
        <v>423.64800000000002</v>
      </c>
      <c r="H7905" s="1">
        <v>2</v>
      </c>
      <c r="I7905" s="1">
        <v>47.660400000000003</v>
      </c>
    </row>
    <row r="7906" spans="1:9" x14ac:dyDescent="0.35">
      <c r="A7906" s="3">
        <v>42196</v>
      </c>
      <c r="B7906" s="1" t="s">
        <v>2947</v>
      </c>
      <c r="C7906" s="1" t="s">
        <v>93</v>
      </c>
      <c r="D7906" s="1" t="s">
        <v>52</v>
      </c>
      <c r="E7906" s="1" t="s">
        <v>44</v>
      </c>
      <c r="F7906" s="2" t="s">
        <v>1771</v>
      </c>
      <c r="G7906" s="1">
        <v>76.64</v>
      </c>
      <c r="H7906" s="1">
        <v>2</v>
      </c>
      <c r="I7906" s="1">
        <v>26.824000000000002</v>
      </c>
    </row>
    <row r="7907" spans="1:9" x14ac:dyDescent="0.35">
      <c r="A7907" s="3" t="s">
        <v>3173</v>
      </c>
      <c r="B7907" s="1" t="s">
        <v>275</v>
      </c>
      <c r="C7907" s="1" t="s">
        <v>399</v>
      </c>
      <c r="D7907" s="1" t="s">
        <v>52</v>
      </c>
      <c r="E7907" s="1" t="s">
        <v>87</v>
      </c>
      <c r="F7907" s="2" t="s">
        <v>332</v>
      </c>
      <c r="G7907" s="1">
        <v>4.4640000000000004</v>
      </c>
      <c r="H7907" s="1">
        <v>1</v>
      </c>
      <c r="I7907" s="1">
        <v>1.6739999999999999</v>
      </c>
    </row>
    <row r="7908" spans="1:9" x14ac:dyDescent="0.35">
      <c r="A7908" s="3" t="s">
        <v>3173</v>
      </c>
      <c r="B7908" s="1" t="s">
        <v>275</v>
      </c>
      <c r="C7908" s="1" t="s">
        <v>399</v>
      </c>
      <c r="D7908" s="1" t="s">
        <v>52</v>
      </c>
      <c r="E7908" s="1" t="s">
        <v>35</v>
      </c>
      <c r="F7908" s="2" t="s">
        <v>1542</v>
      </c>
      <c r="G7908" s="1">
        <v>3.96</v>
      </c>
      <c r="H7908" s="1">
        <v>10</v>
      </c>
      <c r="I7908" s="1">
        <v>-6.93</v>
      </c>
    </row>
    <row r="7909" spans="1:9" x14ac:dyDescent="0.35">
      <c r="A7909" s="3" t="s">
        <v>3780</v>
      </c>
      <c r="B7909" s="1" t="s">
        <v>1245</v>
      </c>
      <c r="C7909" s="1" t="s">
        <v>64</v>
      </c>
      <c r="D7909" s="1" t="s">
        <v>18</v>
      </c>
      <c r="E7909" s="1" t="s">
        <v>37</v>
      </c>
      <c r="F7909" s="2" t="s">
        <v>1434</v>
      </c>
      <c r="G7909" s="1">
        <v>715.64</v>
      </c>
      <c r="H7909" s="1">
        <v>2</v>
      </c>
      <c r="I7909" s="1">
        <v>178.91</v>
      </c>
    </row>
    <row r="7910" spans="1:9" x14ac:dyDescent="0.35">
      <c r="A7910" s="3">
        <v>42441</v>
      </c>
      <c r="B7910" s="1" t="s">
        <v>2748</v>
      </c>
      <c r="C7910" s="1" t="s">
        <v>3070</v>
      </c>
      <c r="D7910" s="1" t="s">
        <v>18</v>
      </c>
      <c r="E7910" s="1" t="s">
        <v>24</v>
      </c>
      <c r="F7910" s="2" t="s">
        <v>1402</v>
      </c>
      <c r="G7910" s="1">
        <v>268.70400000000001</v>
      </c>
      <c r="H7910" s="1">
        <v>3</v>
      </c>
      <c r="I7910" s="1">
        <v>6.7176</v>
      </c>
    </row>
    <row r="7911" spans="1:9" x14ac:dyDescent="0.35">
      <c r="A7911" s="3">
        <v>42441</v>
      </c>
      <c r="B7911" s="1" t="s">
        <v>2748</v>
      </c>
      <c r="C7911" s="1" t="s">
        <v>3070</v>
      </c>
      <c r="D7911" s="1" t="s">
        <v>18</v>
      </c>
      <c r="E7911" s="1" t="s">
        <v>31</v>
      </c>
      <c r="F7911" s="2" t="s">
        <v>812</v>
      </c>
      <c r="G7911" s="1">
        <v>21.92</v>
      </c>
      <c r="H7911" s="1">
        <v>8</v>
      </c>
      <c r="I7911" s="1">
        <v>5.9184000000000001</v>
      </c>
    </row>
    <row r="7912" spans="1:9" x14ac:dyDescent="0.35">
      <c r="A7912" s="3">
        <v>42441</v>
      </c>
      <c r="B7912" s="1" t="s">
        <v>2748</v>
      </c>
      <c r="C7912" s="1" t="s">
        <v>3070</v>
      </c>
      <c r="D7912" s="1" t="s">
        <v>18</v>
      </c>
      <c r="E7912" s="1" t="s">
        <v>26</v>
      </c>
      <c r="F7912" s="2" t="s">
        <v>1246</v>
      </c>
      <c r="G7912" s="1">
        <v>48.72</v>
      </c>
      <c r="H7912" s="1">
        <v>3</v>
      </c>
      <c r="I7912" s="1">
        <v>7.3079999999999998</v>
      </c>
    </row>
    <row r="7913" spans="1:9" x14ac:dyDescent="0.35">
      <c r="A7913" s="3">
        <v>42441</v>
      </c>
      <c r="B7913" s="1" t="s">
        <v>2748</v>
      </c>
      <c r="C7913" s="1" t="s">
        <v>3070</v>
      </c>
      <c r="D7913" s="1" t="s">
        <v>18</v>
      </c>
      <c r="E7913" s="1" t="s">
        <v>12</v>
      </c>
      <c r="F7913" s="2" t="s">
        <v>780</v>
      </c>
      <c r="G7913" s="1">
        <v>205.666</v>
      </c>
      <c r="H7913" s="1">
        <v>2</v>
      </c>
      <c r="I7913" s="1">
        <v>-12.098000000000001</v>
      </c>
    </row>
    <row r="7914" spans="1:9" x14ac:dyDescent="0.35">
      <c r="A7914" s="3" t="s">
        <v>3212</v>
      </c>
      <c r="B7914" s="1" t="s">
        <v>1000</v>
      </c>
      <c r="C7914" s="1" t="s">
        <v>3044</v>
      </c>
      <c r="D7914" s="1" t="s">
        <v>106</v>
      </c>
      <c r="E7914" s="1" t="s">
        <v>29</v>
      </c>
      <c r="F7914" s="2" t="s">
        <v>1319</v>
      </c>
      <c r="G7914" s="1">
        <v>30.344000000000001</v>
      </c>
      <c r="H7914" s="1">
        <v>2</v>
      </c>
      <c r="I7914" s="1">
        <v>-31.8612</v>
      </c>
    </row>
    <row r="7915" spans="1:9" x14ac:dyDescent="0.35">
      <c r="A7915" s="3" t="s">
        <v>3800</v>
      </c>
      <c r="B7915" s="1" t="s">
        <v>1981</v>
      </c>
      <c r="C7915" s="1" t="s">
        <v>994</v>
      </c>
      <c r="D7915" s="1" t="s">
        <v>250</v>
      </c>
      <c r="E7915" s="1" t="s">
        <v>26</v>
      </c>
      <c r="F7915" s="2" t="s">
        <v>2029</v>
      </c>
      <c r="G7915" s="1">
        <v>25.696000000000002</v>
      </c>
      <c r="H7915" s="1">
        <v>2</v>
      </c>
      <c r="I7915" s="1">
        <v>1.9272</v>
      </c>
    </row>
    <row r="7916" spans="1:9" x14ac:dyDescent="0.35">
      <c r="A7916" s="3" t="s">
        <v>3169</v>
      </c>
      <c r="B7916" s="1" t="s">
        <v>981</v>
      </c>
      <c r="C7916" s="1" t="s">
        <v>135</v>
      </c>
      <c r="D7916" s="1" t="s">
        <v>136</v>
      </c>
      <c r="E7916" s="1" t="s">
        <v>338</v>
      </c>
      <c r="F7916" s="2" t="s">
        <v>3071</v>
      </c>
      <c r="G7916" s="1">
        <v>3404.5</v>
      </c>
      <c r="H7916" s="1">
        <v>5</v>
      </c>
      <c r="I7916" s="1">
        <v>1668.2049999999999</v>
      </c>
    </row>
    <row r="7917" spans="1:9" x14ac:dyDescent="0.35">
      <c r="A7917" s="3" t="s">
        <v>3169</v>
      </c>
      <c r="B7917" s="1" t="s">
        <v>981</v>
      </c>
      <c r="C7917" s="1" t="s">
        <v>135</v>
      </c>
      <c r="D7917" s="1" t="s">
        <v>136</v>
      </c>
      <c r="E7917" s="1" t="s">
        <v>81</v>
      </c>
      <c r="F7917" s="2" t="s">
        <v>2896</v>
      </c>
      <c r="G7917" s="1">
        <v>101.34</v>
      </c>
      <c r="H7917" s="1">
        <v>3</v>
      </c>
      <c r="I7917" s="1">
        <v>8.1072000000000006</v>
      </c>
    </row>
    <row r="7918" spans="1:9" x14ac:dyDescent="0.35">
      <c r="A7918" s="3" t="s">
        <v>3495</v>
      </c>
      <c r="B7918" s="1" t="s">
        <v>1070</v>
      </c>
      <c r="C7918" s="1" t="s">
        <v>74</v>
      </c>
      <c r="D7918" s="1" t="s">
        <v>75</v>
      </c>
      <c r="E7918" s="1" t="s">
        <v>14</v>
      </c>
      <c r="F7918" s="2" t="s">
        <v>1386</v>
      </c>
      <c r="G7918" s="1">
        <v>344.37200000000001</v>
      </c>
      <c r="H7918" s="1">
        <v>4</v>
      </c>
      <c r="I7918" s="1">
        <v>-93.472399999999993</v>
      </c>
    </row>
    <row r="7919" spans="1:9" x14ac:dyDescent="0.35">
      <c r="A7919" s="3">
        <v>42834</v>
      </c>
      <c r="B7919" s="1" t="s">
        <v>1625</v>
      </c>
      <c r="C7919" s="1" t="s">
        <v>1230</v>
      </c>
      <c r="D7919" s="1" t="s">
        <v>52</v>
      </c>
      <c r="E7919" s="1" t="s">
        <v>31</v>
      </c>
      <c r="F7919" s="2" t="s">
        <v>246</v>
      </c>
      <c r="G7919" s="1">
        <v>30.384</v>
      </c>
      <c r="H7919" s="1">
        <v>1</v>
      </c>
      <c r="I7919" s="1">
        <v>3.798</v>
      </c>
    </row>
    <row r="7920" spans="1:9" x14ac:dyDescent="0.35">
      <c r="A7920" s="3">
        <v>42101</v>
      </c>
      <c r="B7920" s="1" t="s">
        <v>2362</v>
      </c>
      <c r="C7920" s="1" t="s">
        <v>461</v>
      </c>
      <c r="D7920" s="1" t="s">
        <v>18</v>
      </c>
      <c r="E7920" s="1" t="s">
        <v>35</v>
      </c>
      <c r="F7920" s="2" t="s">
        <v>529</v>
      </c>
      <c r="G7920" s="1">
        <v>22.847999999999999</v>
      </c>
      <c r="H7920" s="1">
        <v>2</v>
      </c>
      <c r="I7920" s="1">
        <v>7.4256000000000002</v>
      </c>
    </row>
    <row r="7921" spans="1:9" x14ac:dyDescent="0.35">
      <c r="A7921" s="3" t="s">
        <v>3687</v>
      </c>
      <c r="B7921" s="1" t="s">
        <v>2363</v>
      </c>
      <c r="C7921" s="1" t="s">
        <v>2814</v>
      </c>
      <c r="D7921" s="1" t="s">
        <v>368</v>
      </c>
      <c r="E7921" s="1" t="s">
        <v>26</v>
      </c>
      <c r="F7921" s="2" t="s">
        <v>2015</v>
      </c>
      <c r="G7921" s="1">
        <v>38.619999999999997</v>
      </c>
      <c r="H7921" s="1">
        <v>2</v>
      </c>
      <c r="I7921" s="1">
        <v>10.813599999999999</v>
      </c>
    </row>
    <row r="7922" spans="1:9" x14ac:dyDescent="0.35">
      <c r="A7922" s="3" t="s">
        <v>3687</v>
      </c>
      <c r="B7922" s="1" t="s">
        <v>2363</v>
      </c>
      <c r="C7922" s="1" t="s">
        <v>2814</v>
      </c>
      <c r="D7922" s="1" t="s">
        <v>368</v>
      </c>
      <c r="E7922" s="1" t="s">
        <v>81</v>
      </c>
      <c r="F7922" s="2" t="s">
        <v>2666</v>
      </c>
      <c r="G7922" s="1">
        <v>59.98</v>
      </c>
      <c r="H7922" s="1">
        <v>2</v>
      </c>
      <c r="I7922" s="1">
        <v>10.7964</v>
      </c>
    </row>
    <row r="7923" spans="1:9" x14ac:dyDescent="0.35">
      <c r="A7923" s="3" t="s">
        <v>3328</v>
      </c>
      <c r="B7923" s="1" t="s">
        <v>2446</v>
      </c>
      <c r="C7923" s="1" t="s">
        <v>193</v>
      </c>
      <c r="D7923" s="1" t="s">
        <v>1217</v>
      </c>
      <c r="E7923" s="1" t="s">
        <v>35</v>
      </c>
      <c r="F7923" s="2" t="s">
        <v>1540</v>
      </c>
      <c r="G7923" s="1">
        <v>174.3</v>
      </c>
      <c r="H7923" s="1">
        <v>3</v>
      </c>
      <c r="I7923" s="1">
        <v>81.921000000000006</v>
      </c>
    </row>
    <row r="7924" spans="1:9" x14ac:dyDescent="0.35">
      <c r="A7924" s="3" t="s">
        <v>3404</v>
      </c>
      <c r="B7924" s="1" t="s">
        <v>1626</v>
      </c>
      <c r="C7924" s="1" t="s">
        <v>2709</v>
      </c>
      <c r="D7924" s="1" t="s">
        <v>23</v>
      </c>
      <c r="E7924" s="1" t="s">
        <v>33</v>
      </c>
      <c r="F7924" s="2" t="s">
        <v>2471</v>
      </c>
      <c r="G7924" s="1">
        <v>383.96</v>
      </c>
      <c r="H7924" s="1">
        <v>5</v>
      </c>
      <c r="I7924" s="1">
        <v>38.396000000000001</v>
      </c>
    </row>
    <row r="7925" spans="1:9" x14ac:dyDescent="0.35">
      <c r="A7925" s="3" t="s">
        <v>3404</v>
      </c>
      <c r="B7925" s="1" t="s">
        <v>1626</v>
      </c>
      <c r="C7925" s="1" t="s">
        <v>2709</v>
      </c>
      <c r="D7925" s="1" t="s">
        <v>23</v>
      </c>
      <c r="E7925" s="1" t="s">
        <v>35</v>
      </c>
      <c r="F7925" s="2" t="s">
        <v>334</v>
      </c>
      <c r="G7925" s="1">
        <v>15.57</v>
      </c>
      <c r="H7925" s="1">
        <v>3</v>
      </c>
      <c r="I7925" s="1">
        <v>-11.417999999999999</v>
      </c>
    </row>
    <row r="7926" spans="1:9" x14ac:dyDescent="0.35">
      <c r="A7926" s="3" t="s">
        <v>3445</v>
      </c>
      <c r="B7926" s="1" t="s">
        <v>675</v>
      </c>
      <c r="C7926" s="1" t="s">
        <v>162</v>
      </c>
      <c r="D7926" s="1" t="s">
        <v>163</v>
      </c>
      <c r="E7926" s="1" t="s">
        <v>35</v>
      </c>
      <c r="F7926" s="2" t="s">
        <v>184</v>
      </c>
      <c r="G7926" s="1">
        <v>22.32</v>
      </c>
      <c r="H7926" s="1">
        <v>4</v>
      </c>
      <c r="I7926" s="1">
        <v>10.7136</v>
      </c>
    </row>
    <row r="7927" spans="1:9" x14ac:dyDescent="0.35">
      <c r="A7927" s="3" t="s">
        <v>3445</v>
      </c>
      <c r="B7927" s="1" t="s">
        <v>675</v>
      </c>
      <c r="C7927" s="1" t="s">
        <v>162</v>
      </c>
      <c r="D7927" s="1" t="s">
        <v>163</v>
      </c>
      <c r="E7927" s="1" t="s">
        <v>19</v>
      </c>
      <c r="F7927" s="2" t="s">
        <v>779</v>
      </c>
      <c r="G7927" s="1">
        <v>103.6</v>
      </c>
      <c r="H7927" s="1">
        <v>7</v>
      </c>
      <c r="I7927" s="1">
        <v>51.8</v>
      </c>
    </row>
    <row r="7928" spans="1:9" x14ac:dyDescent="0.35">
      <c r="A7928" s="3" t="s">
        <v>3256</v>
      </c>
      <c r="B7928" s="1" t="s">
        <v>1923</v>
      </c>
      <c r="C7928" s="1" t="s">
        <v>135</v>
      </c>
      <c r="D7928" s="1" t="s">
        <v>136</v>
      </c>
      <c r="E7928" s="1" t="s">
        <v>81</v>
      </c>
      <c r="F7928" s="2" t="s">
        <v>2373</v>
      </c>
      <c r="G7928" s="1">
        <v>2.97</v>
      </c>
      <c r="H7928" s="1">
        <v>3</v>
      </c>
      <c r="I7928" s="1">
        <v>1.3365</v>
      </c>
    </row>
    <row r="7929" spans="1:9" x14ac:dyDescent="0.35">
      <c r="A7929" s="3" t="s">
        <v>3256</v>
      </c>
      <c r="B7929" s="1" t="s">
        <v>1923</v>
      </c>
      <c r="C7929" s="1" t="s">
        <v>135</v>
      </c>
      <c r="D7929" s="1" t="s">
        <v>136</v>
      </c>
      <c r="E7929" s="1" t="s">
        <v>33</v>
      </c>
      <c r="F7929" s="2" t="s">
        <v>783</v>
      </c>
      <c r="G7929" s="1">
        <v>569.99</v>
      </c>
      <c r="H7929" s="1">
        <v>1</v>
      </c>
      <c r="I7929" s="1">
        <v>170.99700000000001</v>
      </c>
    </row>
    <row r="7930" spans="1:9" x14ac:dyDescent="0.35">
      <c r="A7930" s="3" t="s">
        <v>3256</v>
      </c>
      <c r="B7930" s="1" t="s">
        <v>1923</v>
      </c>
      <c r="C7930" s="1" t="s">
        <v>135</v>
      </c>
      <c r="D7930" s="1" t="s">
        <v>136</v>
      </c>
      <c r="E7930" s="1" t="s">
        <v>29</v>
      </c>
      <c r="F7930" s="2" t="s">
        <v>3013</v>
      </c>
      <c r="G7930" s="1">
        <v>50.97</v>
      </c>
      <c r="H7930" s="1">
        <v>3</v>
      </c>
      <c r="I7930" s="1">
        <v>9.1745999999999999</v>
      </c>
    </row>
    <row r="7931" spans="1:9" x14ac:dyDescent="0.35">
      <c r="A7931" s="3" t="s">
        <v>3277</v>
      </c>
      <c r="B7931" s="1" t="s">
        <v>2972</v>
      </c>
      <c r="C7931" s="1" t="s">
        <v>399</v>
      </c>
      <c r="D7931" s="1" t="s">
        <v>52</v>
      </c>
      <c r="E7931" s="1" t="s">
        <v>24</v>
      </c>
      <c r="F7931" s="2" t="s">
        <v>1945</v>
      </c>
      <c r="G7931" s="1">
        <v>298.11599999999999</v>
      </c>
      <c r="H7931" s="1">
        <v>6</v>
      </c>
      <c r="I7931" s="1">
        <v>-4.2587999999999999</v>
      </c>
    </row>
    <row r="7932" spans="1:9" x14ac:dyDescent="0.35">
      <c r="A7932" s="3" t="s">
        <v>3384</v>
      </c>
      <c r="B7932" s="1" t="s">
        <v>1652</v>
      </c>
      <c r="C7932" s="1" t="s">
        <v>135</v>
      </c>
      <c r="D7932" s="1" t="s">
        <v>136</v>
      </c>
      <c r="E7932" s="1" t="s">
        <v>31</v>
      </c>
      <c r="F7932" s="2" t="s">
        <v>1752</v>
      </c>
      <c r="G7932" s="1">
        <v>59.52</v>
      </c>
      <c r="H7932" s="1">
        <v>3</v>
      </c>
      <c r="I7932" s="1">
        <v>17.856000000000002</v>
      </c>
    </row>
    <row r="7933" spans="1:9" x14ac:dyDescent="0.35">
      <c r="A7933" s="3" t="s">
        <v>3801</v>
      </c>
      <c r="B7933" s="1" t="s">
        <v>1668</v>
      </c>
      <c r="C7933" s="1" t="s">
        <v>211</v>
      </c>
      <c r="D7933" s="1" t="s">
        <v>212</v>
      </c>
      <c r="E7933" s="1" t="s">
        <v>14</v>
      </c>
      <c r="F7933" s="2" t="s">
        <v>692</v>
      </c>
      <c r="G7933" s="1">
        <v>230.28</v>
      </c>
      <c r="H7933" s="1">
        <v>3</v>
      </c>
      <c r="I7933" s="1">
        <v>23.027999999999999</v>
      </c>
    </row>
    <row r="7934" spans="1:9" x14ac:dyDescent="0.35">
      <c r="A7934" s="3" t="s">
        <v>3801</v>
      </c>
      <c r="B7934" s="1" t="s">
        <v>1668</v>
      </c>
      <c r="C7934" s="1" t="s">
        <v>211</v>
      </c>
      <c r="D7934" s="1" t="s">
        <v>212</v>
      </c>
      <c r="E7934" s="1" t="s">
        <v>44</v>
      </c>
      <c r="F7934" s="2" t="s">
        <v>1603</v>
      </c>
      <c r="G7934" s="1">
        <v>105.52</v>
      </c>
      <c r="H7934" s="1">
        <v>5</v>
      </c>
      <c r="I7934" s="1">
        <v>34.293999999999997</v>
      </c>
    </row>
    <row r="7935" spans="1:9" x14ac:dyDescent="0.35">
      <c r="A7935" s="3" t="s">
        <v>3722</v>
      </c>
      <c r="B7935" s="1" t="s">
        <v>1648</v>
      </c>
      <c r="C7935" s="1" t="s">
        <v>478</v>
      </c>
      <c r="D7935" s="1" t="s">
        <v>18</v>
      </c>
      <c r="E7935" s="1" t="s">
        <v>87</v>
      </c>
      <c r="F7935" s="2" t="s">
        <v>332</v>
      </c>
      <c r="G7935" s="1">
        <v>23.36</v>
      </c>
      <c r="H7935" s="1">
        <v>2</v>
      </c>
      <c r="I7935" s="1">
        <v>11.68</v>
      </c>
    </row>
    <row r="7936" spans="1:9" x14ac:dyDescent="0.35">
      <c r="A7936" s="3" t="s">
        <v>3722</v>
      </c>
      <c r="B7936" s="1" t="s">
        <v>1648</v>
      </c>
      <c r="C7936" s="1" t="s">
        <v>478</v>
      </c>
      <c r="D7936" s="1" t="s">
        <v>18</v>
      </c>
      <c r="E7936" s="1" t="s">
        <v>33</v>
      </c>
      <c r="F7936" s="2" t="s">
        <v>1665</v>
      </c>
      <c r="G7936" s="1">
        <v>71.975999999999999</v>
      </c>
      <c r="H7936" s="1">
        <v>3</v>
      </c>
      <c r="I7936" s="1">
        <v>8.9969999999999999</v>
      </c>
    </row>
    <row r="7937" spans="1:9" x14ac:dyDescent="0.35">
      <c r="A7937" s="3" t="s">
        <v>3722</v>
      </c>
      <c r="B7937" s="1" t="s">
        <v>1648</v>
      </c>
      <c r="C7937" s="1" t="s">
        <v>478</v>
      </c>
      <c r="D7937" s="1" t="s">
        <v>18</v>
      </c>
      <c r="E7937" s="1" t="s">
        <v>44</v>
      </c>
      <c r="F7937" s="2" t="s">
        <v>1864</v>
      </c>
      <c r="G7937" s="1">
        <v>8.56</v>
      </c>
      <c r="H7937" s="1">
        <v>2</v>
      </c>
      <c r="I7937" s="1">
        <v>3.8519999999999999</v>
      </c>
    </row>
    <row r="7938" spans="1:9" x14ac:dyDescent="0.35">
      <c r="A7938" s="3" t="s">
        <v>3722</v>
      </c>
      <c r="B7938" s="1" t="s">
        <v>1648</v>
      </c>
      <c r="C7938" s="1" t="s">
        <v>478</v>
      </c>
      <c r="D7938" s="1" t="s">
        <v>18</v>
      </c>
      <c r="E7938" s="1" t="s">
        <v>35</v>
      </c>
      <c r="F7938" s="2" t="s">
        <v>2420</v>
      </c>
      <c r="G7938" s="1">
        <v>13.92</v>
      </c>
      <c r="H7938" s="1">
        <v>3</v>
      </c>
      <c r="I7938" s="1">
        <v>4.8719999999999999</v>
      </c>
    </row>
    <row r="7939" spans="1:9" x14ac:dyDescent="0.35">
      <c r="A7939" s="3" t="s">
        <v>3722</v>
      </c>
      <c r="B7939" s="1" t="s">
        <v>1648</v>
      </c>
      <c r="C7939" s="1" t="s">
        <v>478</v>
      </c>
      <c r="D7939" s="1" t="s">
        <v>18</v>
      </c>
      <c r="E7939" s="1" t="s">
        <v>37</v>
      </c>
      <c r="F7939" s="2" t="s">
        <v>299</v>
      </c>
      <c r="G7939" s="1">
        <v>2518.29</v>
      </c>
      <c r="H7939" s="1">
        <v>9</v>
      </c>
      <c r="I7939" s="1">
        <v>654.75540000000001</v>
      </c>
    </row>
    <row r="7940" spans="1:9" x14ac:dyDescent="0.35">
      <c r="A7940" s="3" t="s">
        <v>3722</v>
      </c>
      <c r="B7940" s="1" t="s">
        <v>1648</v>
      </c>
      <c r="C7940" s="1" t="s">
        <v>478</v>
      </c>
      <c r="D7940" s="1" t="s">
        <v>18</v>
      </c>
      <c r="E7940" s="1" t="s">
        <v>26</v>
      </c>
      <c r="F7940" s="2" t="s">
        <v>1269</v>
      </c>
      <c r="G7940" s="1">
        <v>540.57000000000005</v>
      </c>
      <c r="H7940" s="1">
        <v>3</v>
      </c>
      <c r="I7940" s="1">
        <v>140.54820000000001</v>
      </c>
    </row>
    <row r="7941" spans="1:9" x14ac:dyDescent="0.35">
      <c r="A7941" s="3" t="s">
        <v>3722</v>
      </c>
      <c r="B7941" s="1" t="s">
        <v>1648</v>
      </c>
      <c r="C7941" s="1" t="s">
        <v>478</v>
      </c>
      <c r="D7941" s="1" t="s">
        <v>18</v>
      </c>
      <c r="E7941" s="1" t="s">
        <v>35</v>
      </c>
      <c r="F7941" s="2" t="s">
        <v>1151</v>
      </c>
      <c r="G7941" s="1">
        <v>221.05600000000001</v>
      </c>
      <c r="H7941" s="1">
        <v>8</v>
      </c>
      <c r="I7941" s="1">
        <v>77.369600000000005</v>
      </c>
    </row>
    <row r="7942" spans="1:9" x14ac:dyDescent="0.35">
      <c r="A7942" s="3" t="s">
        <v>3400</v>
      </c>
      <c r="B7942" s="1" t="s">
        <v>428</v>
      </c>
      <c r="C7942" s="1" t="s">
        <v>461</v>
      </c>
      <c r="D7942" s="1" t="s">
        <v>18</v>
      </c>
      <c r="E7942" s="1" t="s">
        <v>14</v>
      </c>
      <c r="F7942" s="2" t="s">
        <v>276</v>
      </c>
      <c r="G7942" s="1">
        <v>81.424000000000007</v>
      </c>
      <c r="H7942" s="1">
        <v>2</v>
      </c>
      <c r="I7942" s="1">
        <v>-9.1601999999999997</v>
      </c>
    </row>
    <row r="7943" spans="1:9" x14ac:dyDescent="0.35">
      <c r="A7943" s="3" t="s">
        <v>3400</v>
      </c>
      <c r="B7943" s="1" t="s">
        <v>428</v>
      </c>
      <c r="C7943" s="1" t="s">
        <v>461</v>
      </c>
      <c r="D7943" s="1" t="s">
        <v>18</v>
      </c>
      <c r="E7943" s="1" t="s">
        <v>26</v>
      </c>
      <c r="F7943" s="2" t="s">
        <v>317</v>
      </c>
      <c r="G7943" s="1">
        <v>134.80000000000001</v>
      </c>
      <c r="H7943" s="1">
        <v>10</v>
      </c>
      <c r="I7943" s="1">
        <v>35.048000000000002</v>
      </c>
    </row>
    <row r="7944" spans="1:9" x14ac:dyDescent="0.35">
      <c r="A7944" s="3" t="s">
        <v>3174</v>
      </c>
      <c r="B7944" s="1" t="s">
        <v>1179</v>
      </c>
      <c r="C7944" s="1" t="s">
        <v>399</v>
      </c>
      <c r="D7944" s="1" t="s">
        <v>52</v>
      </c>
      <c r="E7944" s="1" t="s">
        <v>35</v>
      </c>
      <c r="F7944" s="2" t="s">
        <v>1237</v>
      </c>
      <c r="G7944" s="1">
        <v>39.582000000000001</v>
      </c>
      <c r="H7944" s="1">
        <v>9</v>
      </c>
      <c r="I7944" s="1">
        <v>-59.372999999999998</v>
      </c>
    </row>
    <row r="7945" spans="1:9" x14ac:dyDescent="0.35">
      <c r="A7945" s="3" t="s">
        <v>3174</v>
      </c>
      <c r="B7945" s="1" t="s">
        <v>1179</v>
      </c>
      <c r="C7945" s="1" t="s">
        <v>399</v>
      </c>
      <c r="D7945" s="1" t="s">
        <v>52</v>
      </c>
      <c r="E7945" s="1" t="s">
        <v>289</v>
      </c>
      <c r="F7945" s="2" t="s">
        <v>614</v>
      </c>
      <c r="G7945" s="1">
        <v>44.688000000000002</v>
      </c>
      <c r="H7945" s="1">
        <v>7</v>
      </c>
      <c r="I7945" s="1">
        <v>5.0274000000000001</v>
      </c>
    </row>
    <row r="7946" spans="1:9" x14ac:dyDescent="0.35">
      <c r="A7946" s="3" t="s">
        <v>3174</v>
      </c>
      <c r="B7946" s="1" t="s">
        <v>1179</v>
      </c>
      <c r="C7946" s="1" t="s">
        <v>399</v>
      </c>
      <c r="D7946" s="1" t="s">
        <v>52</v>
      </c>
      <c r="E7946" s="1" t="s">
        <v>31</v>
      </c>
      <c r="F7946" s="2" t="s">
        <v>2496</v>
      </c>
      <c r="G7946" s="1">
        <v>31.744</v>
      </c>
      <c r="H7946" s="1">
        <v>2</v>
      </c>
      <c r="I7946" s="1">
        <v>2.3807999999999998</v>
      </c>
    </row>
    <row r="7947" spans="1:9" x14ac:dyDescent="0.35">
      <c r="A7947" s="3" t="s">
        <v>3174</v>
      </c>
      <c r="B7947" s="1" t="s">
        <v>1179</v>
      </c>
      <c r="C7947" s="1" t="s">
        <v>399</v>
      </c>
      <c r="D7947" s="1" t="s">
        <v>52</v>
      </c>
      <c r="E7947" s="1" t="s">
        <v>35</v>
      </c>
      <c r="F7947" s="2" t="s">
        <v>1364</v>
      </c>
      <c r="G7947" s="1">
        <v>40.98</v>
      </c>
      <c r="H7947" s="1">
        <v>5</v>
      </c>
      <c r="I7947" s="1">
        <v>-65.567999999999998</v>
      </c>
    </row>
    <row r="7948" spans="1:9" x14ac:dyDescent="0.35">
      <c r="A7948" s="3" t="s">
        <v>3174</v>
      </c>
      <c r="B7948" s="1" t="s">
        <v>1179</v>
      </c>
      <c r="C7948" s="1" t="s">
        <v>399</v>
      </c>
      <c r="D7948" s="1" t="s">
        <v>52</v>
      </c>
      <c r="E7948" s="1" t="s">
        <v>35</v>
      </c>
      <c r="F7948" s="2" t="s">
        <v>1819</v>
      </c>
      <c r="G7948" s="1">
        <v>3.1680000000000001</v>
      </c>
      <c r="H7948" s="1">
        <v>3</v>
      </c>
      <c r="I7948" s="1">
        <v>-5.0688000000000004</v>
      </c>
    </row>
    <row r="7949" spans="1:9" x14ac:dyDescent="0.35">
      <c r="A7949" s="3">
        <v>41642</v>
      </c>
      <c r="B7949" s="1" t="s">
        <v>2226</v>
      </c>
      <c r="C7949" s="1" t="s">
        <v>1766</v>
      </c>
      <c r="D7949" s="1" t="s">
        <v>52</v>
      </c>
      <c r="E7949" s="1" t="s">
        <v>137</v>
      </c>
      <c r="F7949" s="2" t="s">
        <v>2006</v>
      </c>
      <c r="G7949" s="1">
        <v>18.84</v>
      </c>
      <c r="H7949" s="1">
        <v>5</v>
      </c>
      <c r="I7949" s="1">
        <v>-3.5325000000000002</v>
      </c>
    </row>
    <row r="7950" spans="1:9" x14ac:dyDescent="0.35">
      <c r="A7950" s="3">
        <v>41642</v>
      </c>
      <c r="B7950" s="1" t="s">
        <v>2226</v>
      </c>
      <c r="C7950" s="1" t="s">
        <v>1766</v>
      </c>
      <c r="D7950" s="1" t="s">
        <v>52</v>
      </c>
      <c r="E7950" s="1" t="s">
        <v>14</v>
      </c>
      <c r="F7950" s="2" t="s">
        <v>1464</v>
      </c>
      <c r="G7950" s="1">
        <v>362.25</v>
      </c>
      <c r="H7950" s="1">
        <v>6</v>
      </c>
      <c r="I7950" s="1">
        <v>0</v>
      </c>
    </row>
    <row r="7951" spans="1:9" x14ac:dyDescent="0.35">
      <c r="A7951" s="3">
        <v>41642</v>
      </c>
      <c r="B7951" s="1" t="s">
        <v>2226</v>
      </c>
      <c r="C7951" s="1" t="s">
        <v>1766</v>
      </c>
      <c r="D7951" s="1" t="s">
        <v>52</v>
      </c>
      <c r="E7951" s="1" t="s">
        <v>29</v>
      </c>
      <c r="F7951" s="2" t="s">
        <v>1291</v>
      </c>
      <c r="G7951" s="1">
        <v>63.552</v>
      </c>
      <c r="H7951" s="1">
        <v>6</v>
      </c>
      <c r="I7951" s="1">
        <v>-34.953600000000002</v>
      </c>
    </row>
    <row r="7952" spans="1:9" x14ac:dyDescent="0.35">
      <c r="A7952" s="3">
        <v>41642</v>
      </c>
      <c r="B7952" s="1" t="s">
        <v>2226</v>
      </c>
      <c r="C7952" s="1" t="s">
        <v>1766</v>
      </c>
      <c r="D7952" s="1" t="s">
        <v>52</v>
      </c>
      <c r="E7952" s="1" t="s">
        <v>26</v>
      </c>
      <c r="F7952" s="2" t="s">
        <v>736</v>
      </c>
      <c r="G7952" s="1">
        <v>129.55199999999999</v>
      </c>
      <c r="H7952" s="1">
        <v>3</v>
      </c>
      <c r="I7952" s="1">
        <v>-22.671600000000002</v>
      </c>
    </row>
    <row r="7953" spans="1:9" x14ac:dyDescent="0.35">
      <c r="A7953" s="3" t="s">
        <v>3433</v>
      </c>
      <c r="B7953" s="1" t="s">
        <v>216</v>
      </c>
      <c r="C7953" s="1" t="s">
        <v>135</v>
      </c>
      <c r="D7953" s="1" t="s">
        <v>136</v>
      </c>
      <c r="E7953" s="1" t="s">
        <v>35</v>
      </c>
      <c r="F7953" s="2" t="s">
        <v>2303</v>
      </c>
      <c r="G7953" s="1">
        <v>5.984</v>
      </c>
      <c r="H7953" s="1">
        <v>2</v>
      </c>
      <c r="I7953" s="1">
        <v>2.2440000000000002</v>
      </c>
    </row>
    <row r="7954" spans="1:9" x14ac:dyDescent="0.35">
      <c r="A7954" s="3" t="s">
        <v>3433</v>
      </c>
      <c r="B7954" s="1" t="s">
        <v>216</v>
      </c>
      <c r="C7954" s="1" t="s">
        <v>135</v>
      </c>
      <c r="D7954" s="1" t="s">
        <v>136</v>
      </c>
      <c r="E7954" s="1" t="s">
        <v>33</v>
      </c>
      <c r="F7954" s="2" t="s">
        <v>2483</v>
      </c>
      <c r="G7954" s="1">
        <v>861.76</v>
      </c>
      <c r="H7954" s="1">
        <v>4</v>
      </c>
      <c r="I7954" s="1">
        <v>249.91040000000001</v>
      </c>
    </row>
    <row r="7955" spans="1:9" x14ac:dyDescent="0.35">
      <c r="A7955" s="3">
        <v>41643</v>
      </c>
      <c r="B7955" s="1" t="s">
        <v>1923</v>
      </c>
      <c r="C7955" s="1" t="s">
        <v>2546</v>
      </c>
      <c r="D7955" s="1" t="s">
        <v>592</v>
      </c>
      <c r="E7955" s="1" t="s">
        <v>26</v>
      </c>
      <c r="F7955" s="2" t="s">
        <v>2949</v>
      </c>
      <c r="G7955" s="1">
        <v>66.959999999999994</v>
      </c>
      <c r="H7955" s="1">
        <v>4</v>
      </c>
      <c r="I7955" s="1">
        <v>2.6783999999999999</v>
      </c>
    </row>
    <row r="7956" spans="1:9" x14ac:dyDescent="0.35">
      <c r="A7956" s="3">
        <v>41643</v>
      </c>
      <c r="B7956" s="1" t="s">
        <v>1923</v>
      </c>
      <c r="C7956" s="1" t="s">
        <v>2546</v>
      </c>
      <c r="D7956" s="1" t="s">
        <v>592</v>
      </c>
      <c r="E7956" s="1" t="s">
        <v>35</v>
      </c>
      <c r="F7956" s="2" t="s">
        <v>1285</v>
      </c>
      <c r="G7956" s="1">
        <v>6.24</v>
      </c>
      <c r="H7956" s="1">
        <v>2</v>
      </c>
      <c r="I7956" s="1">
        <v>3.0575999999999999</v>
      </c>
    </row>
    <row r="7957" spans="1:9" x14ac:dyDescent="0.35">
      <c r="A7957" s="3">
        <v>42865</v>
      </c>
      <c r="B7957" s="1" t="s">
        <v>257</v>
      </c>
      <c r="C7957" s="1" t="s">
        <v>2943</v>
      </c>
      <c r="D7957" s="1" t="s">
        <v>18</v>
      </c>
      <c r="E7957" s="1" t="s">
        <v>14</v>
      </c>
      <c r="F7957" s="2" t="s">
        <v>2233</v>
      </c>
      <c r="G7957" s="1">
        <v>435.16800000000001</v>
      </c>
      <c r="H7957" s="1">
        <v>4</v>
      </c>
      <c r="I7957" s="1">
        <v>-59.835599999999999</v>
      </c>
    </row>
    <row r="7958" spans="1:9" x14ac:dyDescent="0.35">
      <c r="A7958" s="3">
        <v>42865</v>
      </c>
      <c r="B7958" s="1" t="s">
        <v>257</v>
      </c>
      <c r="C7958" s="1" t="s">
        <v>2943</v>
      </c>
      <c r="D7958" s="1" t="s">
        <v>18</v>
      </c>
      <c r="E7958" s="1" t="s">
        <v>137</v>
      </c>
      <c r="F7958" s="2" t="s">
        <v>281</v>
      </c>
      <c r="G7958" s="1">
        <v>14.9</v>
      </c>
      <c r="H7958" s="1">
        <v>5</v>
      </c>
      <c r="I7958" s="1">
        <v>6.8540000000000001</v>
      </c>
    </row>
    <row r="7959" spans="1:9" x14ac:dyDescent="0.35">
      <c r="A7959" s="3">
        <v>42865</v>
      </c>
      <c r="B7959" s="1" t="s">
        <v>257</v>
      </c>
      <c r="C7959" s="1" t="s">
        <v>2943</v>
      </c>
      <c r="D7959" s="1" t="s">
        <v>18</v>
      </c>
      <c r="E7959" s="1" t="s">
        <v>37</v>
      </c>
      <c r="F7959" s="2" t="s">
        <v>2802</v>
      </c>
      <c r="G7959" s="1">
        <v>15.8</v>
      </c>
      <c r="H7959" s="1">
        <v>4</v>
      </c>
      <c r="I7959" s="1">
        <v>4.1079999999999997</v>
      </c>
    </row>
    <row r="7960" spans="1:9" x14ac:dyDescent="0.35">
      <c r="A7960" s="3">
        <v>42865</v>
      </c>
      <c r="B7960" s="1" t="s">
        <v>257</v>
      </c>
      <c r="C7960" s="1" t="s">
        <v>2943</v>
      </c>
      <c r="D7960" s="1" t="s">
        <v>18</v>
      </c>
      <c r="E7960" s="1" t="s">
        <v>29</v>
      </c>
      <c r="F7960" s="2" t="s">
        <v>2452</v>
      </c>
      <c r="G7960" s="1">
        <v>72.900000000000006</v>
      </c>
      <c r="H7960" s="1">
        <v>5</v>
      </c>
      <c r="I7960" s="1">
        <v>26.972999999999999</v>
      </c>
    </row>
    <row r="7961" spans="1:9" x14ac:dyDescent="0.35">
      <c r="A7961" s="3">
        <v>42865</v>
      </c>
      <c r="B7961" s="1" t="s">
        <v>257</v>
      </c>
      <c r="C7961" s="1" t="s">
        <v>2943</v>
      </c>
      <c r="D7961" s="1" t="s">
        <v>18</v>
      </c>
      <c r="E7961" s="1" t="s">
        <v>24</v>
      </c>
      <c r="F7961" s="2" t="s">
        <v>1421</v>
      </c>
      <c r="G7961" s="1">
        <v>206.352</v>
      </c>
      <c r="H7961" s="1">
        <v>3</v>
      </c>
      <c r="I7961" s="1">
        <v>5.1588000000000003</v>
      </c>
    </row>
    <row r="7962" spans="1:9" x14ac:dyDescent="0.35">
      <c r="A7962" s="3">
        <v>42865</v>
      </c>
      <c r="B7962" s="1" t="s">
        <v>257</v>
      </c>
      <c r="C7962" s="1" t="s">
        <v>2943</v>
      </c>
      <c r="D7962" s="1" t="s">
        <v>18</v>
      </c>
      <c r="E7962" s="1" t="s">
        <v>33</v>
      </c>
      <c r="F7962" s="2" t="s">
        <v>587</v>
      </c>
      <c r="G7962" s="1">
        <v>7.992</v>
      </c>
      <c r="H7962" s="1">
        <v>1</v>
      </c>
      <c r="I7962" s="1">
        <v>2.6972999999999998</v>
      </c>
    </row>
    <row r="7963" spans="1:9" x14ac:dyDescent="0.35">
      <c r="A7963" s="3" t="s">
        <v>3303</v>
      </c>
      <c r="B7963" s="1" t="s">
        <v>202</v>
      </c>
      <c r="C7963" s="1" t="s">
        <v>2701</v>
      </c>
      <c r="D7963" s="1" t="s">
        <v>23</v>
      </c>
      <c r="E7963" s="1" t="s">
        <v>26</v>
      </c>
      <c r="F7963" s="2" t="s">
        <v>2513</v>
      </c>
      <c r="G7963" s="1">
        <v>81.36</v>
      </c>
      <c r="H7963" s="1">
        <v>5</v>
      </c>
      <c r="I7963" s="1">
        <v>-19.323</v>
      </c>
    </row>
    <row r="7964" spans="1:9" x14ac:dyDescent="0.35">
      <c r="A7964" s="3" t="s">
        <v>3303</v>
      </c>
      <c r="B7964" s="1" t="s">
        <v>202</v>
      </c>
      <c r="C7964" s="1" t="s">
        <v>2701</v>
      </c>
      <c r="D7964" s="1" t="s">
        <v>23</v>
      </c>
      <c r="E7964" s="1" t="s">
        <v>35</v>
      </c>
      <c r="F7964" s="2" t="s">
        <v>1175</v>
      </c>
      <c r="G7964" s="1">
        <v>20.231999999999999</v>
      </c>
      <c r="H7964" s="1">
        <v>8</v>
      </c>
      <c r="I7964" s="1">
        <v>-16.185600000000001</v>
      </c>
    </row>
    <row r="7965" spans="1:9" x14ac:dyDescent="0.35">
      <c r="A7965" s="3" t="s">
        <v>3303</v>
      </c>
      <c r="B7965" s="1" t="s">
        <v>202</v>
      </c>
      <c r="C7965" s="1" t="s">
        <v>2701</v>
      </c>
      <c r="D7965" s="1" t="s">
        <v>23</v>
      </c>
      <c r="E7965" s="1" t="s">
        <v>37</v>
      </c>
      <c r="F7965" s="2" t="s">
        <v>353</v>
      </c>
      <c r="G7965" s="1">
        <v>389.05599999999998</v>
      </c>
      <c r="H7965" s="1">
        <v>4</v>
      </c>
      <c r="I7965" s="1">
        <v>48.631999999999998</v>
      </c>
    </row>
    <row r="7966" spans="1:9" x14ac:dyDescent="0.35">
      <c r="A7966" s="3" t="s">
        <v>3303</v>
      </c>
      <c r="B7966" s="1" t="s">
        <v>202</v>
      </c>
      <c r="C7966" s="1" t="s">
        <v>2701</v>
      </c>
      <c r="D7966" s="1" t="s">
        <v>23</v>
      </c>
      <c r="E7966" s="1" t="s">
        <v>44</v>
      </c>
      <c r="F7966" s="2" t="s">
        <v>2524</v>
      </c>
      <c r="G7966" s="1">
        <v>20.736000000000001</v>
      </c>
      <c r="H7966" s="1">
        <v>4</v>
      </c>
      <c r="I7966" s="1">
        <v>7.2576000000000001</v>
      </c>
    </row>
    <row r="7967" spans="1:9" x14ac:dyDescent="0.35">
      <c r="A7967" s="3" t="s">
        <v>3303</v>
      </c>
      <c r="B7967" s="1" t="s">
        <v>202</v>
      </c>
      <c r="C7967" s="1" t="s">
        <v>2701</v>
      </c>
      <c r="D7967" s="1" t="s">
        <v>23</v>
      </c>
      <c r="E7967" s="1" t="s">
        <v>44</v>
      </c>
      <c r="F7967" s="2" t="s">
        <v>1938</v>
      </c>
      <c r="G7967" s="1">
        <v>41.472000000000001</v>
      </c>
      <c r="H7967" s="1">
        <v>8</v>
      </c>
      <c r="I7967" s="1">
        <v>14.5152</v>
      </c>
    </row>
    <row r="7968" spans="1:9" x14ac:dyDescent="0.35">
      <c r="A7968" s="3" t="s">
        <v>3568</v>
      </c>
      <c r="B7968" s="1" t="s">
        <v>654</v>
      </c>
      <c r="C7968" s="1" t="s">
        <v>17</v>
      </c>
      <c r="D7968" s="1" t="s">
        <v>18</v>
      </c>
      <c r="E7968" s="1" t="s">
        <v>44</v>
      </c>
      <c r="F7968" s="2" t="s">
        <v>2170</v>
      </c>
      <c r="G7968" s="1">
        <v>33.36</v>
      </c>
      <c r="H7968" s="1">
        <v>4</v>
      </c>
      <c r="I7968" s="1">
        <v>16.68</v>
      </c>
    </row>
    <row r="7969" spans="1:9" x14ac:dyDescent="0.35">
      <c r="A7969" s="3">
        <v>42653</v>
      </c>
      <c r="B7969" s="1" t="s">
        <v>2035</v>
      </c>
      <c r="C7969" s="1" t="s">
        <v>395</v>
      </c>
      <c r="D7969" s="1" t="s">
        <v>229</v>
      </c>
      <c r="E7969" s="1" t="s">
        <v>12</v>
      </c>
      <c r="F7969" s="2" t="s">
        <v>3072</v>
      </c>
      <c r="G7969" s="1">
        <v>90.882000000000005</v>
      </c>
      <c r="H7969" s="1">
        <v>3</v>
      </c>
      <c r="I7969" s="1">
        <v>-190.85220000000001</v>
      </c>
    </row>
    <row r="7970" spans="1:9" x14ac:dyDescent="0.35">
      <c r="A7970" s="3">
        <v>42653</v>
      </c>
      <c r="B7970" s="1" t="s">
        <v>2035</v>
      </c>
      <c r="C7970" s="1" t="s">
        <v>395</v>
      </c>
      <c r="D7970" s="1" t="s">
        <v>229</v>
      </c>
      <c r="E7970" s="1" t="s">
        <v>33</v>
      </c>
      <c r="F7970" s="2" t="s">
        <v>2882</v>
      </c>
      <c r="G7970" s="1">
        <v>15.992000000000001</v>
      </c>
      <c r="H7970" s="1">
        <v>1</v>
      </c>
      <c r="I7970" s="1">
        <v>-2.9984999999999999</v>
      </c>
    </row>
    <row r="7971" spans="1:9" x14ac:dyDescent="0.35">
      <c r="A7971" s="3">
        <v>42653</v>
      </c>
      <c r="B7971" s="1" t="s">
        <v>2035</v>
      </c>
      <c r="C7971" s="1" t="s">
        <v>395</v>
      </c>
      <c r="D7971" s="1" t="s">
        <v>229</v>
      </c>
      <c r="E7971" s="1" t="s">
        <v>14</v>
      </c>
      <c r="F7971" s="2" t="s">
        <v>946</v>
      </c>
      <c r="G7971" s="1">
        <v>120.78400000000001</v>
      </c>
      <c r="H7971" s="1">
        <v>1</v>
      </c>
      <c r="I7971" s="1">
        <v>13.588200000000001</v>
      </c>
    </row>
    <row r="7972" spans="1:9" x14ac:dyDescent="0.35">
      <c r="A7972" s="3" t="s">
        <v>3193</v>
      </c>
      <c r="B7972" s="1" t="s">
        <v>553</v>
      </c>
      <c r="C7972" s="1" t="s">
        <v>74</v>
      </c>
      <c r="D7972" s="1" t="s">
        <v>75</v>
      </c>
      <c r="E7972" s="1" t="s">
        <v>33</v>
      </c>
      <c r="F7972" s="2" t="s">
        <v>1702</v>
      </c>
      <c r="G7972" s="1">
        <v>519.79200000000003</v>
      </c>
      <c r="H7972" s="1">
        <v>4</v>
      </c>
      <c r="I7972" s="1">
        <v>-112.6216</v>
      </c>
    </row>
    <row r="7973" spans="1:9" x14ac:dyDescent="0.35">
      <c r="A7973" s="3" t="s">
        <v>3193</v>
      </c>
      <c r="B7973" s="1" t="s">
        <v>553</v>
      </c>
      <c r="C7973" s="1" t="s">
        <v>74</v>
      </c>
      <c r="D7973" s="1" t="s">
        <v>75</v>
      </c>
      <c r="E7973" s="1" t="s">
        <v>81</v>
      </c>
      <c r="F7973" s="2" t="s">
        <v>2353</v>
      </c>
      <c r="G7973" s="1">
        <v>31.175999999999998</v>
      </c>
      <c r="H7973" s="1">
        <v>3</v>
      </c>
      <c r="I7973" s="1">
        <v>-5.4558</v>
      </c>
    </row>
    <row r="7974" spans="1:9" x14ac:dyDescent="0.35">
      <c r="A7974" s="3" t="s">
        <v>3193</v>
      </c>
      <c r="B7974" s="1" t="s">
        <v>553</v>
      </c>
      <c r="C7974" s="1" t="s">
        <v>74</v>
      </c>
      <c r="D7974" s="1" t="s">
        <v>75</v>
      </c>
      <c r="E7974" s="1" t="s">
        <v>44</v>
      </c>
      <c r="F7974" s="2" t="s">
        <v>2143</v>
      </c>
      <c r="G7974" s="1">
        <v>10.368</v>
      </c>
      <c r="H7974" s="1">
        <v>2</v>
      </c>
      <c r="I7974" s="1">
        <v>3.6288</v>
      </c>
    </row>
    <row r="7975" spans="1:9" x14ac:dyDescent="0.35">
      <c r="A7975" s="3" t="s">
        <v>3193</v>
      </c>
      <c r="B7975" s="1" t="s">
        <v>553</v>
      </c>
      <c r="C7975" s="1" t="s">
        <v>74</v>
      </c>
      <c r="D7975" s="1" t="s">
        <v>75</v>
      </c>
      <c r="E7975" s="1" t="s">
        <v>35</v>
      </c>
      <c r="F7975" s="2" t="s">
        <v>247</v>
      </c>
      <c r="G7975" s="1">
        <v>2.7240000000000002</v>
      </c>
      <c r="H7975" s="1">
        <v>2</v>
      </c>
      <c r="I7975" s="1">
        <v>-1.9068000000000001</v>
      </c>
    </row>
    <row r="7976" spans="1:9" x14ac:dyDescent="0.35">
      <c r="A7976" s="3" t="s">
        <v>3193</v>
      </c>
      <c r="B7976" s="1" t="s">
        <v>553</v>
      </c>
      <c r="C7976" s="1" t="s">
        <v>74</v>
      </c>
      <c r="D7976" s="1" t="s">
        <v>75</v>
      </c>
      <c r="E7976" s="1" t="s">
        <v>29</v>
      </c>
      <c r="F7976" s="2" t="s">
        <v>1781</v>
      </c>
      <c r="G7976" s="1">
        <v>254.352</v>
      </c>
      <c r="H7976" s="1">
        <v>3</v>
      </c>
      <c r="I7976" s="1">
        <v>0</v>
      </c>
    </row>
    <row r="7977" spans="1:9" x14ac:dyDescent="0.35">
      <c r="A7977" s="3" t="s">
        <v>3193</v>
      </c>
      <c r="B7977" s="1" t="s">
        <v>553</v>
      </c>
      <c r="C7977" s="1" t="s">
        <v>74</v>
      </c>
      <c r="D7977" s="1" t="s">
        <v>75</v>
      </c>
      <c r="E7977" s="1" t="s">
        <v>35</v>
      </c>
      <c r="F7977" s="2" t="s">
        <v>1379</v>
      </c>
      <c r="G7977" s="1">
        <v>3.762</v>
      </c>
      <c r="H7977" s="1">
        <v>3</v>
      </c>
      <c r="I7977" s="1">
        <v>-2.7587999999999999</v>
      </c>
    </row>
    <row r="7978" spans="1:9" x14ac:dyDescent="0.35">
      <c r="A7978" s="3" t="s">
        <v>3193</v>
      </c>
      <c r="B7978" s="1" t="s">
        <v>553</v>
      </c>
      <c r="C7978" s="1" t="s">
        <v>74</v>
      </c>
      <c r="D7978" s="1" t="s">
        <v>75</v>
      </c>
      <c r="E7978" s="1" t="s">
        <v>44</v>
      </c>
      <c r="F7978" s="2" t="s">
        <v>1698</v>
      </c>
      <c r="G7978" s="1">
        <v>10.272</v>
      </c>
      <c r="H7978" s="1">
        <v>3</v>
      </c>
      <c r="I7978" s="1">
        <v>3.21</v>
      </c>
    </row>
    <row r="7979" spans="1:9" x14ac:dyDescent="0.35">
      <c r="A7979" s="3" t="s">
        <v>3802</v>
      </c>
      <c r="B7979" s="1" t="s">
        <v>2149</v>
      </c>
      <c r="C7979" s="1" t="s">
        <v>167</v>
      </c>
      <c r="D7979" s="1" t="s">
        <v>704</v>
      </c>
      <c r="E7979" s="1" t="s">
        <v>33</v>
      </c>
      <c r="F7979" s="2" t="s">
        <v>765</v>
      </c>
      <c r="G7979" s="1">
        <v>659.97</v>
      </c>
      <c r="H7979" s="1">
        <v>3</v>
      </c>
      <c r="I7979" s="1">
        <v>197.99100000000001</v>
      </c>
    </row>
    <row r="7980" spans="1:9" x14ac:dyDescent="0.35">
      <c r="A7980" s="3" t="s">
        <v>3802</v>
      </c>
      <c r="B7980" s="1" t="s">
        <v>2149</v>
      </c>
      <c r="C7980" s="1" t="s">
        <v>167</v>
      </c>
      <c r="D7980" s="1" t="s">
        <v>704</v>
      </c>
      <c r="E7980" s="1" t="s">
        <v>33</v>
      </c>
      <c r="F7980" s="2" t="s">
        <v>941</v>
      </c>
      <c r="G7980" s="1">
        <v>113.73</v>
      </c>
      <c r="H7980" s="1">
        <v>3</v>
      </c>
      <c r="I7980" s="1">
        <v>32.981699999999996</v>
      </c>
    </row>
    <row r="7981" spans="1:9" x14ac:dyDescent="0.35">
      <c r="A7981" s="3" t="s">
        <v>3803</v>
      </c>
      <c r="B7981" s="1" t="s">
        <v>1381</v>
      </c>
      <c r="C7981" s="1" t="s">
        <v>17</v>
      </c>
      <c r="D7981" s="1" t="s">
        <v>18</v>
      </c>
      <c r="E7981" s="1" t="s">
        <v>35</v>
      </c>
      <c r="F7981" s="2" t="s">
        <v>1995</v>
      </c>
      <c r="G7981" s="1">
        <v>5.1040000000000001</v>
      </c>
      <c r="H7981" s="1">
        <v>1</v>
      </c>
      <c r="I7981" s="1">
        <v>1.6588000000000001</v>
      </c>
    </row>
    <row r="7982" spans="1:9" x14ac:dyDescent="0.35">
      <c r="A7982" s="3">
        <v>41699</v>
      </c>
      <c r="B7982" s="1" t="s">
        <v>127</v>
      </c>
      <c r="C7982" s="1" t="s">
        <v>93</v>
      </c>
      <c r="D7982" s="1" t="s">
        <v>52</v>
      </c>
      <c r="E7982" s="1" t="s">
        <v>44</v>
      </c>
      <c r="F7982" s="2" t="s">
        <v>2559</v>
      </c>
      <c r="G7982" s="1">
        <v>16.448</v>
      </c>
      <c r="H7982" s="1">
        <v>2</v>
      </c>
      <c r="I7982" s="1">
        <v>5.5511999999999997</v>
      </c>
    </row>
    <row r="7983" spans="1:9" x14ac:dyDescent="0.35">
      <c r="A7983" s="3">
        <v>41921</v>
      </c>
      <c r="B7983" s="1" t="s">
        <v>73</v>
      </c>
      <c r="C7983" s="1" t="s">
        <v>3073</v>
      </c>
      <c r="D7983" s="1" t="s">
        <v>388</v>
      </c>
      <c r="E7983" s="1" t="s">
        <v>37</v>
      </c>
      <c r="F7983" s="2" t="s">
        <v>1001</v>
      </c>
      <c r="G7983" s="1">
        <v>81.92</v>
      </c>
      <c r="H7983" s="1">
        <v>4</v>
      </c>
      <c r="I7983" s="1">
        <v>22.118400000000001</v>
      </c>
    </row>
    <row r="7984" spans="1:9" x14ac:dyDescent="0.35">
      <c r="A7984" s="3">
        <v>41921</v>
      </c>
      <c r="B7984" s="1" t="s">
        <v>73</v>
      </c>
      <c r="C7984" s="1" t="s">
        <v>3073</v>
      </c>
      <c r="D7984" s="1" t="s">
        <v>388</v>
      </c>
      <c r="E7984" s="1" t="s">
        <v>29</v>
      </c>
      <c r="F7984" s="2" t="s">
        <v>1926</v>
      </c>
      <c r="G7984" s="1">
        <v>254.9</v>
      </c>
      <c r="H7984" s="1">
        <v>5</v>
      </c>
      <c r="I7984" s="1">
        <v>76.47</v>
      </c>
    </row>
    <row r="7985" spans="1:9" x14ac:dyDescent="0.35">
      <c r="A7985" s="3" t="s">
        <v>3804</v>
      </c>
      <c r="B7985" s="1" t="s">
        <v>1970</v>
      </c>
      <c r="C7985" s="1" t="s">
        <v>154</v>
      </c>
      <c r="D7985" s="1" t="s">
        <v>106</v>
      </c>
      <c r="E7985" s="1" t="s">
        <v>137</v>
      </c>
      <c r="F7985" s="2" t="s">
        <v>281</v>
      </c>
      <c r="G7985" s="1">
        <v>15.12</v>
      </c>
      <c r="H7985" s="1">
        <v>5</v>
      </c>
      <c r="I7985" s="1">
        <v>4.9139999999999997</v>
      </c>
    </row>
    <row r="7986" spans="1:9" x14ac:dyDescent="0.35">
      <c r="A7986" s="3" t="s">
        <v>3804</v>
      </c>
      <c r="B7986" s="1" t="s">
        <v>1970</v>
      </c>
      <c r="C7986" s="1" t="s">
        <v>154</v>
      </c>
      <c r="D7986" s="1" t="s">
        <v>106</v>
      </c>
      <c r="E7986" s="1" t="s">
        <v>31</v>
      </c>
      <c r="F7986" s="2" t="s">
        <v>2677</v>
      </c>
      <c r="G7986" s="1">
        <v>7.8719999999999999</v>
      </c>
      <c r="H7986" s="1">
        <v>3</v>
      </c>
      <c r="I7986" s="1">
        <v>0.88560000000000005</v>
      </c>
    </row>
    <row r="7987" spans="1:9" x14ac:dyDescent="0.35">
      <c r="A7987" s="3" t="s">
        <v>3805</v>
      </c>
      <c r="B7987" s="1" t="s">
        <v>185</v>
      </c>
      <c r="C7987" s="1" t="s">
        <v>47</v>
      </c>
      <c r="D7987" s="1" t="s">
        <v>48</v>
      </c>
      <c r="E7987" s="1" t="s">
        <v>35</v>
      </c>
      <c r="F7987" s="2" t="s">
        <v>502</v>
      </c>
      <c r="G7987" s="1">
        <v>8.32</v>
      </c>
      <c r="H7987" s="1">
        <v>5</v>
      </c>
      <c r="I7987" s="1">
        <v>2.8079999999999998</v>
      </c>
    </row>
    <row r="7988" spans="1:9" x14ac:dyDescent="0.35">
      <c r="A7988" s="3" t="s">
        <v>3806</v>
      </c>
      <c r="B7988" s="1" t="s">
        <v>1143</v>
      </c>
      <c r="C7988" s="1" t="s">
        <v>559</v>
      </c>
      <c r="D7988" s="1" t="s">
        <v>136</v>
      </c>
      <c r="E7988" s="1" t="s">
        <v>33</v>
      </c>
      <c r="F7988" s="2" t="s">
        <v>1411</v>
      </c>
      <c r="G7988" s="1">
        <v>89.95</v>
      </c>
      <c r="H7988" s="1">
        <v>5</v>
      </c>
      <c r="I7988" s="1">
        <v>43.176000000000002</v>
      </c>
    </row>
    <row r="7989" spans="1:9" x14ac:dyDescent="0.35">
      <c r="A7989" s="3" t="s">
        <v>3319</v>
      </c>
      <c r="B7989" s="1" t="s">
        <v>92</v>
      </c>
      <c r="C7989" s="1" t="s">
        <v>3074</v>
      </c>
      <c r="D7989" s="1" t="s">
        <v>57</v>
      </c>
      <c r="E7989" s="1" t="s">
        <v>19</v>
      </c>
      <c r="F7989" s="2" t="s">
        <v>2698</v>
      </c>
      <c r="G7989" s="1">
        <v>25.2</v>
      </c>
      <c r="H7989" s="1">
        <v>4</v>
      </c>
      <c r="I7989" s="1">
        <v>11.592000000000001</v>
      </c>
    </row>
    <row r="7990" spans="1:9" x14ac:dyDescent="0.35">
      <c r="A7990" s="3" t="s">
        <v>3319</v>
      </c>
      <c r="B7990" s="1" t="s">
        <v>92</v>
      </c>
      <c r="C7990" s="1" t="s">
        <v>3074</v>
      </c>
      <c r="D7990" s="1" t="s">
        <v>57</v>
      </c>
      <c r="E7990" s="1" t="s">
        <v>19</v>
      </c>
      <c r="F7990" s="2" t="s">
        <v>2642</v>
      </c>
      <c r="G7990" s="1">
        <v>37.590000000000003</v>
      </c>
      <c r="H7990" s="1">
        <v>3</v>
      </c>
      <c r="I7990" s="1">
        <v>17.667300000000001</v>
      </c>
    </row>
    <row r="7991" spans="1:9" x14ac:dyDescent="0.35">
      <c r="A7991" s="3" t="s">
        <v>3319</v>
      </c>
      <c r="B7991" s="1" t="s">
        <v>92</v>
      </c>
      <c r="C7991" s="1" t="s">
        <v>3074</v>
      </c>
      <c r="D7991" s="1" t="s">
        <v>57</v>
      </c>
      <c r="E7991" s="1" t="s">
        <v>26</v>
      </c>
      <c r="F7991" s="2" t="s">
        <v>615</v>
      </c>
      <c r="G7991" s="1">
        <v>14.97</v>
      </c>
      <c r="H7991" s="1">
        <v>1</v>
      </c>
      <c r="I7991" s="1">
        <v>4.1916000000000002</v>
      </c>
    </row>
    <row r="7992" spans="1:9" x14ac:dyDescent="0.35">
      <c r="A7992" s="3" t="s">
        <v>3319</v>
      </c>
      <c r="B7992" s="1" t="s">
        <v>92</v>
      </c>
      <c r="C7992" s="1" t="s">
        <v>3074</v>
      </c>
      <c r="D7992" s="1" t="s">
        <v>57</v>
      </c>
      <c r="E7992" s="1" t="s">
        <v>81</v>
      </c>
      <c r="F7992" s="2" t="s">
        <v>2373</v>
      </c>
      <c r="G7992" s="1">
        <v>1.98</v>
      </c>
      <c r="H7992" s="1">
        <v>2</v>
      </c>
      <c r="I7992" s="1">
        <v>0.89100000000000001</v>
      </c>
    </row>
    <row r="7993" spans="1:9" x14ac:dyDescent="0.35">
      <c r="A7993" s="3" t="s">
        <v>3650</v>
      </c>
      <c r="B7993" s="1" t="s">
        <v>2625</v>
      </c>
      <c r="C7993" s="1" t="s">
        <v>1286</v>
      </c>
      <c r="D7993" s="1" t="s">
        <v>23</v>
      </c>
      <c r="E7993" s="1" t="s">
        <v>35</v>
      </c>
      <c r="F7993" s="2" t="s">
        <v>1983</v>
      </c>
      <c r="G7993" s="1">
        <v>39.936</v>
      </c>
      <c r="H7993" s="1">
        <v>4</v>
      </c>
      <c r="I7993" s="1">
        <v>-26.623999999999999</v>
      </c>
    </row>
    <row r="7994" spans="1:9" x14ac:dyDescent="0.35">
      <c r="A7994" s="3" t="s">
        <v>3650</v>
      </c>
      <c r="B7994" s="1" t="s">
        <v>2625</v>
      </c>
      <c r="C7994" s="1" t="s">
        <v>1286</v>
      </c>
      <c r="D7994" s="1" t="s">
        <v>23</v>
      </c>
      <c r="E7994" s="1" t="s">
        <v>81</v>
      </c>
      <c r="F7994" s="2" t="s">
        <v>2621</v>
      </c>
      <c r="G7994" s="1">
        <v>18.463999999999999</v>
      </c>
      <c r="H7994" s="1">
        <v>2</v>
      </c>
      <c r="I7994" s="1">
        <v>2.3079999999999998</v>
      </c>
    </row>
    <row r="7995" spans="1:9" x14ac:dyDescent="0.35">
      <c r="A7995" s="3" t="s">
        <v>3495</v>
      </c>
      <c r="B7995" s="1" t="s">
        <v>1822</v>
      </c>
      <c r="C7995" s="1" t="s">
        <v>228</v>
      </c>
      <c r="D7995" s="1" t="s">
        <v>229</v>
      </c>
      <c r="E7995" s="1" t="s">
        <v>35</v>
      </c>
      <c r="F7995" s="2" t="s">
        <v>576</v>
      </c>
      <c r="G7995" s="1">
        <v>4.8959999999999999</v>
      </c>
      <c r="H7995" s="1">
        <v>3</v>
      </c>
      <c r="I7995" s="1">
        <v>-3.4272</v>
      </c>
    </row>
    <row r="7996" spans="1:9" x14ac:dyDescent="0.35">
      <c r="A7996" s="3" t="s">
        <v>3495</v>
      </c>
      <c r="B7996" s="1" t="s">
        <v>1822</v>
      </c>
      <c r="C7996" s="1" t="s">
        <v>228</v>
      </c>
      <c r="D7996" s="1" t="s">
        <v>229</v>
      </c>
      <c r="E7996" s="1" t="s">
        <v>12</v>
      </c>
      <c r="F7996" s="2" t="s">
        <v>599</v>
      </c>
      <c r="G7996" s="1">
        <v>145.76400000000001</v>
      </c>
      <c r="H7996" s="1">
        <v>6</v>
      </c>
      <c r="I7996" s="1">
        <v>-247.7988</v>
      </c>
    </row>
    <row r="7997" spans="1:9" x14ac:dyDescent="0.35">
      <c r="A7997" s="3" t="s">
        <v>3495</v>
      </c>
      <c r="B7997" s="1" t="s">
        <v>1822</v>
      </c>
      <c r="C7997" s="1" t="s">
        <v>228</v>
      </c>
      <c r="D7997" s="1" t="s">
        <v>229</v>
      </c>
      <c r="E7997" s="1" t="s">
        <v>35</v>
      </c>
      <c r="F7997" s="2" t="s">
        <v>1598</v>
      </c>
      <c r="G7997" s="1">
        <v>9.6120000000000001</v>
      </c>
      <c r="H7997" s="1">
        <v>6</v>
      </c>
      <c r="I7997" s="1">
        <v>-7.3692000000000002</v>
      </c>
    </row>
    <row r="7998" spans="1:9" x14ac:dyDescent="0.35">
      <c r="A7998" s="3">
        <v>42805</v>
      </c>
      <c r="B7998" s="1" t="s">
        <v>2212</v>
      </c>
      <c r="C7998" s="1" t="s">
        <v>461</v>
      </c>
      <c r="D7998" s="1" t="s">
        <v>18</v>
      </c>
      <c r="E7998" s="1" t="s">
        <v>81</v>
      </c>
      <c r="F7998" s="2" t="s">
        <v>479</v>
      </c>
      <c r="G7998" s="1">
        <v>199.75</v>
      </c>
      <c r="H7998" s="1">
        <v>5</v>
      </c>
      <c r="I7998" s="1">
        <v>87.89</v>
      </c>
    </row>
    <row r="7999" spans="1:9" x14ac:dyDescent="0.35">
      <c r="A7999" s="3">
        <v>42805</v>
      </c>
      <c r="B7999" s="1" t="s">
        <v>2212</v>
      </c>
      <c r="C7999" s="1" t="s">
        <v>461</v>
      </c>
      <c r="D7999" s="1" t="s">
        <v>18</v>
      </c>
      <c r="E7999" s="1" t="s">
        <v>24</v>
      </c>
      <c r="F7999" s="2" t="s">
        <v>1086</v>
      </c>
      <c r="G7999" s="1">
        <v>1673.184</v>
      </c>
      <c r="H7999" s="1">
        <v>12</v>
      </c>
      <c r="I7999" s="1">
        <v>20.9148</v>
      </c>
    </row>
    <row r="8000" spans="1:9" x14ac:dyDescent="0.35">
      <c r="A8000" s="3">
        <v>41734</v>
      </c>
      <c r="B8000" s="1" t="s">
        <v>2737</v>
      </c>
      <c r="C8000" s="1" t="s">
        <v>47</v>
      </c>
      <c r="D8000" s="1" t="s">
        <v>48</v>
      </c>
      <c r="E8000" s="1" t="s">
        <v>29</v>
      </c>
      <c r="F8000" s="2" t="s">
        <v>1439</v>
      </c>
      <c r="G8000" s="1">
        <v>12.18</v>
      </c>
      <c r="H8000" s="1">
        <v>7</v>
      </c>
      <c r="I8000" s="1">
        <v>3.8976000000000002</v>
      </c>
    </row>
    <row r="8001" spans="1:9" x14ac:dyDescent="0.35">
      <c r="A8001" s="3">
        <v>41734</v>
      </c>
      <c r="B8001" s="1" t="s">
        <v>2737</v>
      </c>
      <c r="C8001" s="1" t="s">
        <v>47</v>
      </c>
      <c r="D8001" s="1" t="s">
        <v>48</v>
      </c>
      <c r="E8001" s="1" t="s">
        <v>37</v>
      </c>
      <c r="F8001" s="2" t="s">
        <v>631</v>
      </c>
      <c r="G8001" s="1">
        <v>57.68</v>
      </c>
      <c r="H8001" s="1">
        <v>4</v>
      </c>
      <c r="I8001" s="1">
        <v>19.034400000000002</v>
      </c>
    </row>
    <row r="8002" spans="1:9" x14ac:dyDescent="0.35">
      <c r="A8002" s="3">
        <v>42227</v>
      </c>
      <c r="B8002" s="1" t="s">
        <v>1309</v>
      </c>
      <c r="C8002" s="1" t="s">
        <v>2558</v>
      </c>
      <c r="D8002" s="1" t="s">
        <v>245</v>
      </c>
      <c r="E8002" s="1" t="s">
        <v>33</v>
      </c>
      <c r="F8002" s="2" t="s">
        <v>1338</v>
      </c>
      <c r="G8002" s="1">
        <v>263.95999999999998</v>
      </c>
      <c r="H8002" s="1">
        <v>4</v>
      </c>
      <c r="I8002" s="1">
        <v>76.548400000000001</v>
      </c>
    </row>
    <row r="8003" spans="1:9" x14ac:dyDescent="0.35">
      <c r="A8003" s="3">
        <v>42350</v>
      </c>
      <c r="B8003" s="1" t="s">
        <v>161</v>
      </c>
      <c r="C8003" s="1" t="s">
        <v>17</v>
      </c>
      <c r="D8003" s="1" t="s">
        <v>18</v>
      </c>
      <c r="E8003" s="1" t="s">
        <v>81</v>
      </c>
      <c r="F8003" s="2" t="s">
        <v>1895</v>
      </c>
      <c r="G8003" s="1">
        <v>299.94</v>
      </c>
      <c r="H8003" s="1">
        <v>6</v>
      </c>
      <c r="I8003" s="1">
        <v>128.9742</v>
      </c>
    </row>
    <row r="8004" spans="1:9" x14ac:dyDescent="0.35">
      <c r="A8004" s="3">
        <v>42350</v>
      </c>
      <c r="B8004" s="1" t="s">
        <v>161</v>
      </c>
      <c r="C8004" s="1" t="s">
        <v>17</v>
      </c>
      <c r="D8004" s="1" t="s">
        <v>18</v>
      </c>
      <c r="E8004" s="1" t="s">
        <v>289</v>
      </c>
      <c r="F8004" s="2" t="s">
        <v>614</v>
      </c>
      <c r="G8004" s="1">
        <v>25.76</v>
      </c>
      <c r="H8004" s="1">
        <v>7</v>
      </c>
      <c r="I8004" s="1">
        <v>0.51519999999999999</v>
      </c>
    </row>
    <row r="8005" spans="1:9" x14ac:dyDescent="0.35">
      <c r="A8005" s="3">
        <v>41651</v>
      </c>
      <c r="B8005" s="1" t="s">
        <v>2694</v>
      </c>
      <c r="C8005" s="1" t="s">
        <v>591</v>
      </c>
      <c r="D8005" s="1" t="s">
        <v>592</v>
      </c>
      <c r="E8005" s="1" t="s">
        <v>33</v>
      </c>
      <c r="F8005" s="2" t="s">
        <v>2699</v>
      </c>
      <c r="G8005" s="1">
        <v>271.89999999999998</v>
      </c>
      <c r="H8005" s="1">
        <v>2</v>
      </c>
      <c r="I8005" s="1">
        <v>78.850999999999999</v>
      </c>
    </row>
    <row r="8006" spans="1:9" x14ac:dyDescent="0.35">
      <c r="A8006" s="3">
        <v>41651</v>
      </c>
      <c r="B8006" s="1" t="s">
        <v>2694</v>
      </c>
      <c r="C8006" s="1" t="s">
        <v>591</v>
      </c>
      <c r="D8006" s="1" t="s">
        <v>592</v>
      </c>
      <c r="E8006" s="1" t="s">
        <v>29</v>
      </c>
      <c r="F8006" s="2" t="s">
        <v>1181</v>
      </c>
      <c r="G8006" s="1">
        <v>45.84</v>
      </c>
      <c r="H8006" s="1">
        <v>3</v>
      </c>
      <c r="I8006" s="1">
        <v>15.585599999999999</v>
      </c>
    </row>
    <row r="8007" spans="1:9" x14ac:dyDescent="0.35">
      <c r="A8007" s="3">
        <v>41651</v>
      </c>
      <c r="B8007" s="1" t="s">
        <v>2694</v>
      </c>
      <c r="C8007" s="1" t="s">
        <v>591</v>
      </c>
      <c r="D8007" s="1" t="s">
        <v>592</v>
      </c>
      <c r="E8007" s="1" t="s">
        <v>29</v>
      </c>
      <c r="F8007" s="2" t="s">
        <v>1477</v>
      </c>
      <c r="G8007" s="1">
        <v>9.82</v>
      </c>
      <c r="H8007" s="1">
        <v>2</v>
      </c>
      <c r="I8007" s="1">
        <v>3.2406000000000001</v>
      </c>
    </row>
    <row r="8008" spans="1:9" x14ac:dyDescent="0.35">
      <c r="A8008" s="3">
        <v>42561</v>
      </c>
      <c r="B8008" s="1" t="s">
        <v>1765</v>
      </c>
      <c r="C8008" s="1" t="s">
        <v>895</v>
      </c>
      <c r="D8008" s="1" t="s">
        <v>48</v>
      </c>
      <c r="E8008" s="1" t="s">
        <v>137</v>
      </c>
      <c r="F8008" s="2" t="s">
        <v>2504</v>
      </c>
      <c r="G8008" s="1">
        <v>93.36</v>
      </c>
      <c r="H8008" s="1">
        <v>12</v>
      </c>
      <c r="I8008" s="1">
        <v>0.93359999999999999</v>
      </c>
    </row>
    <row r="8009" spans="1:9" x14ac:dyDescent="0.35">
      <c r="A8009" s="3" t="s">
        <v>3550</v>
      </c>
      <c r="B8009" s="1" t="s">
        <v>2694</v>
      </c>
      <c r="C8009" s="1" t="s">
        <v>1999</v>
      </c>
      <c r="D8009" s="1" t="s">
        <v>322</v>
      </c>
      <c r="E8009" s="1" t="s">
        <v>26</v>
      </c>
      <c r="F8009" s="2" t="s">
        <v>526</v>
      </c>
      <c r="G8009" s="1">
        <v>541.24</v>
      </c>
      <c r="H8009" s="1">
        <v>4</v>
      </c>
      <c r="I8009" s="1">
        <v>5.4123999999999999</v>
      </c>
    </row>
    <row r="8010" spans="1:9" x14ac:dyDescent="0.35">
      <c r="A8010" s="3" t="s">
        <v>3550</v>
      </c>
      <c r="B8010" s="1" t="s">
        <v>2694</v>
      </c>
      <c r="C8010" s="1" t="s">
        <v>1999</v>
      </c>
      <c r="D8010" s="1" t="s">
        <v>322</v>
      </c>
      <c r="E8010" s="1" t="s">
        <v>44</v>
      </c>
      <c r="F8010" s="2" t="s">
        <v>94</v>
      </c>
      <c r="G8010" s="1">
        <v>106.32</v>
      </c>
      <c r="H8010" s="1">
        <v>3</v>
      </c>
      <c r="I8010" s="1">
        <v>49.970399999999998</v>
      </c>
    </row>
    <row r="8011" spans="1:9" x14ac:dyDescent="0.35">
      <c r="A8011" s="3" t="s">
        <v>3550</v>
      </c>
      <c r="B8011" s="1" t="s">
        <v>2694</v>
      </c>
      <c r="C8011" s="1" t="s">
        <v>1999</v>
      </c>
      <c r="D8011" s="1" t="s">
        <v>322</v>
      </c>
      <c r="E8011" s="1" t="s">
        <v>14</v>
      </c>
      <c r="F8011" s="2" t="s">
        <v>3027</v>
      </c>
      <c r="G8011" s="1">
        <v>1323.9</v>
      </c>
      <c r="H8011" s="1">
        <v>5</v>
      </c>
      <c r="I8011" s="1">
        <v>383.93099999999998</v>
      </c>
    </row>
    <row r="8012" spans="1:9" x14ac:dyDescent="0.35">
      <c r="A8012" s="3" t="s">
        <v>3608</v>
      </c>
      <c r="B8012" s="1" t="s">
        <v>1554</v>
      </c>
      <c r="C8012" s="1" t="s">
        <v>74</v>
      </c>
      <c r="D8012" s="1" t="s">
        <v>75</v>
      </c>
      <c r="E8012" s="1" t="s">
        <v>44</v>
      </c>
      <c r="F8012" s="2" t="s">
        <v>1603</v>
      </c>
      <c r="G8012" s="1">
        <v>126.624</v>
      </c>
      <c r="H8012" s="1">
        <v>6</v>
      </c>
      <c r="I8012" s="1">
        <v>41.152799999999999</v>
      </c>
    </row>
    <row r="8013" spans="1:9" x14ac:dyDescent="0.35">
      <c r="A8013" s="3" t="s">
        <v>3246</v>
      </c>
      <c r="B8013" s="1" t="s">
        <v>2129</v>
      </c>
      <c r="C8013" s="1" t="s">
        <v>228</v>
      </c>
      <c r="D8013" s="1" t="s">
        <v>229</v>
      </c>
      <c r="E8013" s="1" t="s">
        <v>33</v>
      </c>
      <c r="F8013" s="2" t="s">
        <v>3032</v>
      </c>
      <c r="G8013" s="1">
        <v>125.944</v>
      </c>
      <c r="H8013" s="1">
        <v>7</v>
      </c>
      <c r="I8013" s="1">
        <v>15.743</v>
      </c>
    </row>
    <row r="8014" spans="1:9" x14ac:dyDescent="0.35">
      <c r="A8014" s="3" t="s">
        <v>3738</v>
      </c>
      <c r="B8014" s="1" t="s">
        <v>2073</v>
      </c>
      <c r="C8014" s="1" t="s">
        <v>135</v>
      </c>
      <c r="D8014" s="1" t="s">
        <v>136</v>
      </c>
      <c r="E8014" s="1" t="s">
        <v>35</v>
      </c>
      <c r="F8014" s="2" t="s">
        <v>1505</v>
      </c>
      <c r="G8014" s="1">
        <v>663.92</v>
      </c>
      <c r="H8014" s="1">
        <v>5</v>
      </c>
      <c r="I8014" s="1">
        <v>207.47499999999999</v>
      </c>
    </row>
    <row r="8015" spans="1:9" x14ac:dyDescent="0.35">
      <c r="A8015" s="3" t="s">
        <v>3738</v>
      </c>
      <c r="B8015" s="1" t="s">
        <v>2073</v>
      </c>
      <c r="C8015" s="1" t="s">
        <v>135</v>
      </c>
      <c r="D8015" s="1" t="s">
        <v>136</v>
      </c>
      <c r="E8015" s="1" t="s">
        <v>81</v>
      </c>
      <c r="F8015" s="2" t="s">
        <v>125</v>
      </c>
      <c r="G8015" s="1">
        <v>120</v>
      </c>
      <c r="H8015" s="1">
        <v>8</v>
      </c>
      <c r="I8015" s="1">
        <v>13.2</v>
      </c>
    </row>
    <row r="8016" spans="1:9" x14ac:dyDescent="0.35">
      <c r="A8016" s="3" t="s">
        <v>3738</v>
      </c>
      <c r="B8016" s="1" t="s">
        <v>2073</v>
      </c>
      <c r="C8016" s="1" t="s">
        <v>135</v>
      </c>
      <c r="D8016" s="1" t="s">
        <v>136</v>
      </c>
      <c r="E8016" s="1" t="s">
        <v>137</v>
      </c>
      <c r="F8016" s="2" t="s">
        <v>2189</v>
      </c>
      <c r="G8016" s="1">
        <v>3.29</v>
      </c>
      <c r="H8016" s="1">
        <v>1</v>
      </c>
      <c r="I8016" s="1">
        <v>1.4804999999999999</v>
      </c>
    </row>
    <row r="8017" spans="1:9" x14ac:dyDescent="0.35">
      <c r="A8017" s="3" t="s">
        <v>3738</v>
      </c>
      <c r="B8017" s="1" t="s">
        <v>2073</v>
      </c>
      <c r="C8017" s="1" t="s">
        <v>135</v>
      </c>
      <c r="D8017" s="1" t="s">
        <v>136</v>
      </c>
      <c r="E8017" s="1" t="s">
        <v>29</v>
      </c>
      <c r="F8017" s="2" t="s">
        <v>967</v>
      </c>
      <c r="G8017" s="1">
        <v>18.84</v>
      </c>
      <c r="H8017" s="1">
        <v>3</v>
      </c>
      <c r="I8017" s="1">
        <v>6.0288000000000004</v>
      </c>
    </row>
    <row r="8018" spans="1:9" x14ac:dyDescent="0.35">
      <c r="A8018" s="3">
        <v>41891</v>
      </c>
      <c r="B8018" s="1" t="s">
        <v>1359</v>
      </c>
      <c r="C8018" s="1" t="s">
        <v>1114</v>
      </c>
      <c r="D8018" s="1" t="s">
        <v>250</v>
      </c>
      <c r="E8018" s="1" t="s">
        <v>29</v>
      </c>
      <c r="F8018" s="2" t="s">
        <v>2175</v>
      </c>
      <c r="G8018" s="1">
        <v>60.671999999999997</v>
      </c>
      <c r="H8018" s="1">
        <v>6</v>
      </c>
      <c r="I8018" s="1">
        <v>12.892799999999999</v>
      </c>
    </row>
    <row r="8019" spans="1:9" x14ac:dyDescent="0.35">
      <c r="A8019" s="3">
        <v>41891</v>
      </c>
      <c r="B8019" s="1" t="s">
        <v>1359</v>
      </c>
      <c r="C8019" s="1" t="s">
        <v>1114</v>
      </c>
      <c r="D8019" s="1" t="s">
        <v>250</v>
      </c>
      <c r="E8019" s="1" t="s">
        <v>31</v>
      </c>
      <c r="F8019" s="2" t="s">
        <v>1685</v>
      </c>
      <c r="G8019" s="1">
        <v>30.815999999999999</v>
      </c>
      <c r="H8019" s="1">
        <v>9</v>
      </c>
      <c r="I8019" s="1">
        <v>2.6964000000000001</v>
      </c>
    </row>
    <row r="8020" spans="1:9" x14ac:dyDescent="0.35">
      <c r="A8020" s="3" t="s">
        <v>3464</v>
      </c>
      <c r="B8020" s="1" t="s">
        <v>1089</v>
      </c>
      <c r="C8020" s="1" t="s">
        <v>3053</v>
      </c>
      <c r="D8020" s="1" t="s">
        <v>18</v>
      </c>
      <c r="E8020" s="1" t="s">
        <v>33</v>
      </c>
      <c r="F8020" s="2" t="s">
        <v>408</v>
      </c>
      <c r="G8020" s="1">
        <v>52.792000000000002</v>
      </c>
      <c r="H8020" s="1">
        <v>1</v>
      </c>
      <c r="I8020" s="1">
        <v>4.6193</v>
      </c>
    </row>
    <row r="8021" spans="1:9" x14ac:dyDescent="0.35">
      <c r="A8021" s="3">
        <v>42777</v>
      </c>
      <c r="B8021" s="1" t="s">
        <v>321</v>
      </c>
      <c r="C8021" s="1" t="s">
        <v>2082</v>
      </c>
      <c r="D8021" s="1" t="s">
        <v>298</v>
      </c>
      <c r="E8021" s="1" t="s">
        <v>37</v>
      </c>
      <c r="F8021" s="2" t="s">
        <v>2681</v>
      </c>
      <c r="G8021" s="1">
        <v>83.9</v>
      </c>
      <c r="H8021" s="1">
        <v>10</v>
      </c>
      <c r="I8021" s="1">
        <v>20.975000000000001</v>
      </c>
    </row>
    <row r="8022" spans="1:9" x14ac:dyDescent="0.35">
      <c r="A8022" s="3">
        <v>42777</v>
      </c>
      <c r="B8022" s="1" t="s">
        <v>321</v>
      </c>
      <c r="C8022" s="1" t="s">
        <v>2082</v>
      </c>
      <c r="D8022" s="1" t="s">
        <v>298</v>
      </c>
      <c r="E8022" s="1" t="s">
        <v>44</v>
      </c>
      <c r="F8022" s="2" t="s">
        <v>1706</v>
      </c>
      <c r="G8022" s="1">
        <v>11.76</v>
      </c>
      <c r="H8022" s="1">
        <v>2</v>
      </c>
      <c r="I8022" s="1">
        <v>5.7624000000000004</v>
      </c>
    </row>
    <row r="8023" spans="1:9" x14ac:dyDescent="0.35">
      <c r="A8023" s="3" t="s">
        <v>3807</v>
      </c>
      <c r="B8023" s="1" t="s">
        <v>1607</v>
      </c>
      <c r="C8023" s="1" t="s">
        <v>399</v>
      </c>
      <c r="D8023" s="1" t="s">
        <v>52</v>
      </c>
      <c r="E8023" s="1" t="s">
        <v>37</v>
      </c>
      <c r="F8023" s="2" t="s">
        <v>2068</v>
      </c>
      <c r="G8023" s="1">
        <v>4.992</v>
      </c>
      <c r="H8023" s="1">
        <v>3</v>
      </c>
      <c r="I8023" s="1">
        <v>-12.979200000000001</v>
      </c>
    </row>
    <row r="8024" spans="1:9" x14ac:dyDescent="0.35">
      <c r="A8024" s="3" t="s">
        <v>3807</v>
      </c>
      <c r="B8024" s="1" t="s">
        <v>1607</v>
      </c>
      <c r="C8024" s="1" t="s">
        <v>399</v>
      </c>
      <c r="D8024" s="1" t="s">
        <v>52</v>
      </c>
      <c r="E8024" s="1" t="s">
        <v>87</v>
      </c>
      <c r="F8024" s="2" t="s">
        <v>2771</v>
      </c>
      <c r="G8024" s="1">
        <v>87.92</v>
      </c>
      <c r="H8024" s="1">
        <v>5</v>
      </c>
      <c r="I8024" s="1">
        <v>29.672999999999998</v>
      </c>
    </row>
    <row r="8025" spans="1:9" x14ac:dyDescent="0.35">
      <c r="A8025" s="3" t="s">
        <v>3807</v>
      </c>
      <c r="B8025" s="1" t="s">
        <v>1607</v>
      </c>
      <c r="C8025" s="1" t="s">
        <v>399</v>
      </c>
      <c r="D8025" s="1" t="s">
        <v>52</v>
      </c>
      <c r="E8025" s="1" t="s">
        <v>14</v>
      </c>
      <c r="F8025" s="2" t="s">
        <v>891</v>
      </c>
      <c r="G8025" s="1">
        <v>657.93</v>
      </c>
      <c r="H8025" s="1">
        <v>5</v>
      </c>
      <c r="I8025" s="1">
        <v>-93.99</v>
      </c>
    </row>
    <row r="8026" spans="1:9" x14ac:dyDescent="0.35">
      <c r="A8026" s="3" t="s">
        <v>3807</v>
      </c>
      <c r="B8026" s="1" t="s">
        <v>1607</v>
      </c>
      <c r="C8026" s="1" t="s">
        <v>399</v>
      </c>
      <c r="D8026" s="1" t="s">
        <v>52</v>
      </c>
      <c r="E8026" s="1" t="s">
        <v>35</v>
      </c>
      <c r="F8026" s="2" t="s">
        <v>2634</v>
      </c>
      <c r="G8026" s="1">
        <v>1.044</v>
      </c>
      <c r="H8026" s="1">
        <v>1</v>
      </c>
      <c r="I8026" s="1">
        <v>-1.827</v>
      </c>
    </row>
    <row r="8027" spans="1:9" x14ac:dyDescent="0.35">
      <c r="A8027" s="3">
        <v>42317</v>
      </c>
      <c r="B8027" s="1" t="s">
        <v>2891</v>
      </c>
      <c r="C8027" s="1" t="s">
        <v>135</v>
      </c>
      <c r="D8027" s="1" t="s">
        <v>136</v>
      </c>
      <c r="E8027" s="1" t="s">
        <v>29</v>
      </c>
      <c r="F8027" s="2" t="s">
        <v>3033</v>
      </c>
      <c r="G8027" s="1">
        <v>210.68</v>
      </c>
      <c r="H8027" s="1">
        <v>2</v>
      </c>
      <c r="I8027" s="1">
        <v>50.563200000000002</v>
      </c>
    </row>
    <row r="8028" spans="1:9" x14ac:dyDescent="0.35">
      <c r="A8028" s="3">
        <v>42317</v>
      </c>
      <c r="B8028" s="1" t="s">
        <v>2891</v>
      </c>
      <c r="C8028" s="1" t="s">
        <v>135</v>
      </c>
      <c r="D8028" s="1" t="s">
        <v>136</v>
      </c>
      <c r="E8028" s="1" t="s">
        <v>26</v>
      </c>
      <c r="F8028" s="2" t="s">
        <v>3055</v>
      </c>
      <c r="G8028" s="1">
        <v>78.8</v>
      </c>
      <c r="H8028" s="1">
        <v>1</v>
      </c>
      <c r="I8028" s="1">
        <v>1.5760000000000001</v>
      </c>
    </row>
    <row r="8029" spans="1:9" x14ac:dyDescent="0.35">
      <c r="A8029" s="3">
        <v>42317</v>
      </c>
      <c r="B8029" s="1" t="s">
        <v>2891</v>
      </c>
      <c r="C8029" s="1" t="s">
        <v>135</v>
      </c>
      <c r="D8029" s="1" t="s">
        <v>136</v>
      </c>
      <c r="E8029" s="1" t="s">
        <v>81</v>
      </c>
      <c r="F8029" s="2" t="s">
        <v>198</v>
      </c>
      <c r="G8029" s="1">
        <v>19.989999999999998</v>
      </c>
      <c r="H8029" s="1">
        <v>1</v>
      </c>
      <c r="I8029" s="1">
        <v>6.7965999999999998</v>
      </c>
    </row>
    <row r="8030" spans="1:9" x14ac:dyDescent="0.35">
      <c r="A8030" s="3">
        <v>42317</v>
      </c>
      <c r="B8030" s="1" t="s">
        <v>2891</v>
      </c>
      <c r="C8030" s="1" t="s">
        <v>135</v>
      </c>
      <c r="D8030" s="1" t="s">
        <v>136</v>
      </c>
      <c r="E8030" s="1" t="s">
        <v>26</v>
      </c>
      <c r="F8030" s="2" t="s">
        <v>2769</v>
      </c>
      <c r="G8030" s="1">
        <v>772.68</v>
      </c>
      <c r="H8030" s="1">
        <v>4</v>
      </c>
      <c r="I8030" s="1">
        <v>108.1752</v>
      </c>
    </row>
    <row r="8031" spans="1:9" x14ac:dyDescent="0.35">
      <c r="A8031" s="3" t="s">
        <v>3252</v>
      </c>
      <c r="B8031" s="1" t="s">
        <v>1893</v>
      </c>
      <c r="C8031" s="1" t="s">
        <v>336</v>
      </c>
      <c r="D8031" s="1" t="s">
        <v>52</v>
      </c>
      <c r="E8031" s="1" t="s">
        <v>81</v>
      </c>
      <c r="F8031" s="2" t="s">
        <v>371</v>
      </c>
      <c r="G8031" s="1">
        <v>106.08</v>
      </c>
      <c r="H8031" s="1">
        <v>6</v>
      </c>
      <c r="I8031" s="1">
        <v>-9.282</v>
      </c>
    </row>
    <row r="8032" spans="1:9" x14ac:dyDescent="0.35">
      <c r="A8032" s="3">
        <v>42552</v>
      </c>
      <c r="B8032" s="1" t="s">
        <v>1407</v>
      </c>
      <c r="C8032" s="1" t="s">
        <v>757</v>
      </c>
      <c r="D8032" s="1" t="s">
        <v>52</v>
      </c>
      <c r="E8032" s="1" t="s">
        <v>29</v>
      </c>
      <c r="F8032" s="2" t="s">
        <v>2312</v>
      </c>
      <c r="G8032" s="1">
        <v>23.076000000000001</v>
      </c>
      <c r="H8032" s="1">
        <v>3</v>
      </c>
      <c r="I8032" s="1">
        <v>-10.9611</v>
      </c>
    </row>
    <row r="8033" spans="1:9" x14ac:dyDescent="0.35">
      <c r="A8033" s="3">
        <v>42552</v>
      </c>
      <c r="B8033" s="1" t="s">
        <v>1407</v>
      </c>
      <c r="C8033" s="1" t="s">
        <v>757</v>
      </c>
      <c r="D8033" s="1" t="s">
        <v>52</v>
      </c>
      <c r="E8033" s="1" t="s">
        <v>44</v>
      </c>
      <c r="F8033" s="2" t="s">
        <v>1289</v>
      </c>
      <c r="G8033" s="1">
        <v>25.92</v>
      </c>
      <c r="H8033" s="1">
        <v>5</v>
      </c>
      <c r="I8033" s="1">
        <v>9.0719999999999992</v>
      </c>
    </row>
    <row r="8034" spans="1:9" x14ac:dyDescent="0.35">
      <c r="A8034" s="3" t="s">
        <v>3491</v>
      </c>
      <c r="B8034" s="1" t="s">
        <v>2139</v>
      </c>
      <c r="C8034" s="1" t="s">
        <v>93</v>
      </c>
      <c r="D8034" s="1" t="s">
        <v>52</v>
      </c>
      <c r="E8034" s="1" t="s">
        <v>44</v>
      </c>
      <c r="F8034" s="2" t="s">
        <v>1189</v>
      </c>
      <c r="G8034" s="1">
        <v>47.951999999999998</v>
      </c>
      <c r="H8034" s="1">
        <v>3</v>
      </c>
      <c r="I8034" s="1">
        <v>16.183800000000002</v>
      </c>
    </row>
    <row r="8035" spans="1:9" x14ac:dyDescent="0.35">
      <c r="A8035" s="3" t="s">
        <v>3491</v>
      </c>
      <c r="B8035" s="1" t="s">
        <v>2139</v>
      </c>
      <c r="C8035" s="1" t="s">
        <v>93</v>
      </c>
      <c r="D8035" s="1" t="s">
        <v>52</v>
      </c>
      <c r="E8035" s="1" t="s">
        <v>35</v>
      </c>
      <c r="F8035" s="2" t="s">
        <v>2825</v>
      </c>
      <c r="G8035" s="1">
        <v>0.98399999999999999</v>
      </c>
      <c r="H8035" s="1">
        <v>2</v>
      </c>
      <c r="I8035" s="1">
        <v>-1.476</v>
      </c>
    </row>
    <row r="8036" spans="1:9" x14ac:dyDescent="0.35">
      <c r="A8036" s="3" t="s">
        <v>3491</v>
      </c>
      <c r="B8036" s="1" t="s">
        <v>2139</v>
      </c>
      <c r="C8036" s="1" t="s">
        <v>93</v>
      </c>
      <c r="D8036" s="1" t="s">
        <v>52</v>
      </c>
      <c r="E8036" s="1" t="s">
        <v>29</v>
      </c>
      <c r="F8036" s="2" t="s">
        <v>2280</v>
      </c>
      <c r="G8036" s="1">
        <v>75.384</v>
      </c>
      <c r="H8036" s="1">
        <v>9</v>
      </c>
      <c r="I8036" s="1">
        <v>-20.730599999999999</v>
      </c>
    </row>
    <row r="8037" spans="1:9" x14ac:dyDescent="0.35">
      <c r="A8037" s="3" t="s">
        <v>3491</v>
      </c>
      <c r="B8037" s="1" t="s">
        <v>2139</v>
      </c>
      <c r="C8037" s="1" t="s">
        <v>93</v>
      </c>
      <c r="D8037" s="1" t="s">
        <v>52</v>
      </c>
      <c r="E8037" s="1" t="s">
        <v>19</v>
      </c>
      <c r="F8037" s="2" t="s">
        <v>1287</v>
      </c>
      <c r="G8037" s="1">
        <v>4.6079999999999997</v>
      </c>
      <c r="H8037" s="1">
        <v>2</v>
      </c>
      <c r="I8037" s="1">
        <v>1.6704000000000001</v>
      </c>
    </row>
    <row r="8038" spans="1:9" x14ac:dyDescent="0.35">
      <c r="A8038" s="3" t="s">
        <v>3808</v>
      </c>
      <c r="B8038" s="1" t="s">
        <v>59</v>
      </c>
      <c r="C8038" s="1" t="s">
        <v>700</v>
      </c>
      <c r="D8038" s="1" t="s">
        <v>592</v>
      </c>
      <c r="E8038" s="1" t="s">
        <v>35</v>
      </c>
      <c r="F8038" s="2" t="s">
        <v>2276</v>
      </c>
      <c r="G8038" s="1">
        <v>37.68</v>
      </c>
      <c r="H8038" s="1">
        <v>6</v>
      </c>
      <c r="I8038" s="1">
        <v>16.956</v>
      </c>
    </row>
    <row r="8039" spans="1:9" x14ac:dyDescent="0.35">
      <c r="A8039" s="3">
        <v>43015</v>
      </c>
      <c r="B8039" s="1" t="s">
        <v>2400</v>
      </c>
      <c r="C8039" s="1" t="s">
        <v>249</v>
      </c>
      <c r="D8039" s="1" t="s">
        <v>604</v>
      </c>
      <c r="E8039" s="1" t="s">
        <v>37</v>
      </c>
      <c r="F8039" s="2" t="s">
        <v>3030</v>
      </c>
      <c r="G8039" s="1">
        <v>41.91</v>
      </c>
      <c r="H8039" s="1">
        <v>3</v>
      </c>
      <c r="I8039" s="1">
        <v>10.896599999999999</v>
      </c>
    </row>
    <row r="8040" spans="1:9" x14ac:dyDescent="0.35">
      <c r="A8040" s="3" t="s">
        <v>3206</v>
      </c>
      <c r="B8040" s="1" t="s">
        <v>1946</v>
      </c>
      <c r="C8040" s="1" t="s">
        <v>17</v>
      </c>
      <c r="D8040" s="1" t="s">
        <v>18</v>
      </c>
      <c r="E8040" s="1" t="s">
        <v>12</v>
      </c>
      <c r="F8040" s="2" t="s">
        <v>1851</v>
      </c>
      <c r="G8040" s="1">
        <v>435.99900000000002</v>
      </c>
      <c r="H8040" s="1">
        <v>3</v>
      </c>
      <c r="I8040" s="1">
        <v>5.1294000000000004</v>
      </c>
    </row>
    <row r="8041" spans="1:9" x14ac:dyDescent="0.35">
      <c r="A8041" s="3" t="s">
        <v>3374</v>
      </c>
      <c r="B8041" s="1" t="s">
        <v>2523</v>
      </c>
      <c r="C8041" s="1" t="s">
        <v>47</v>
      </c>
      <c r="D8041" s="1" t="s">
        <v>48</v>
      </c>
      <c r="E8041" s="1" t="s">
        <v>14</v>
      </c>
      <c r="F8041" s="2" t="s">
        <v>354</v>
      </c>
      <c r="G8041" s="1">
        <v>388.70400000000001</v>
      </c>
      <c r="H8041" s="1">
        <v>6</v>
      </c>
      <c r="I8041" s="1">
        <v>38.870399999999997</v>
      </c>
    </row>
    <row r="8042" spans="1:9" x14ac:dyDescent="0.35">
      <c r="A8042" s="3" t="s">
        <v>3374</v>
      </c>
      <c r="B8042" s="1" t="s">
        <v>2523</v>
      </c>
      <c r="C8042" s="1" t="s">
        <v>47</v>
      </c>
      <c r="D8042" s="1" t="s">
        <v>48</v>
      </c>
      <c r="E8042" s="1" t="s">
        <v>26</v>
      </c>
      <c r="F8042" s="2" t="s">
        <v>1097</v>
      </c>
      <c r="G8042" s="1">
        <v>572.58000000000004</v>
      </c>
      <c r="H8042" s="1">
        <v>6</v>
      </c>
      <c r="I8042" s="1">
        <v>34.354799999999997</v>
      </c>
    </row>
    <row r="8043" spans="1:9" x14ac:dyDescent="0.35">
      <c r="A8043" s="3" t="s">
        <v>3374</v>
      </c>
      <c r="B8043" s="1" t="s">
        <v>2523</v>
      </c>
      <c r="C8043" s="1" t="s">
        <v>47</v>
      </c>
      <c r="D8043" s="1" t="s">
        <v>48</v>
      </c>
      <c r="E8043" s="1" t="s">
        <v>81</v>
      </c>
      <c r="F8043" s="2" t="s">
        <v>2234</v>
      </c>
      <c r="G8043" s="1">
        <v>33.18</v>
      </c>
      <c r="H8043" s="1">
        <v>2</v>
      </c>
      <c r="I8043" s="1">
        <v>11.613</v>
      </c>
    </row>
    <row r="8044" spans="1:9" x14ac:dyDescent="0.35">
      <c r="A8044" s="3">
        <v>43042</v>
      </c>
      <c r="B8044" s="1" t="s">
        <v>1403</v>
      </c>
      <c r="C8044" s="1" t="s">
        <v>2985</v>
      </c>
      <c r="D8044" s="1" t="s">
        <v>592</v>
      </c>
      <c r="E8044" s="1" t="s">
        <v>81</v>
      </c>
      <c r="F8044" s="2" t="s">
        <v>743</v>
      </c>
      <c r="G8044" s="1">
        <v>63.88</v>
      </c>
      <c r="H8044" s="1">
        <v>4</v>
      </c>
      <c r="I8044" s="1">
        <v>24.9132</v>
      </c>
    </row>
    <row r="8045" spans="1:9" x14ac:dyDescent="0.35">
      <c r="A8045" s="3">
        <v>43042</v>
      </c>
      <c r="B8045" s="1" t="s">
        <v>1403</v>
      </c>
      <c r="C8045" s="1" t="s">
        <v>2985</v>
      </c>
      <c r="D8045" s="1" t="s">
        <v>592</v>
      </c>
      <c r="E8045" s="1" t="s">
        <v>29</v>
      </c>
      <c r="F8045" s="2" t="s">
        <v>3075</v>
      </c>
      <c r="G8045" s="1">
        <v>26.72</v>
      </c>
      <c r="H8045" s="1">
        <v>1</v>
      </c>
      <c r="I8045" s="1">
        <v>11.7568</v>
      </c>
    </row>
    <row r="8046" spans="1:9" x14ac:dyDescent="0.35">
      <c r="A8046" s="3" t="s">
        <v>3687</v>
      </c>
      <c r="B8046" s="1" t="s">
        <v>2947</v>
      </c>
      <c r="C8046" s="1" t="s">
        <v>2093</v>
      </c>
      <c r="D8046" s="1" t="s">
        <v>61</v>
      </c>
      <c r="E8046" s="1" t="s">
        <v>35</v>
      </c>
      <c r="F8046" s="2" t="s">
        <v>232</v>
      </c>
      <c r="G8046" s="1">
        <v>295.05599999999998</v>
      </c>
      <c r="H8046" s="1">
        <v>9</v>
      </c>
      <c r="I8046" s="1">
        <v>106.95780000000001</v>
      </c>
    </row>
    <row r="8047" spans="1:9" x14ac:dyDescent="0.35">
      <c r="A8047" s="3" t="s">
        <v>3390</v>
      </c>
      <c r="B8047" s="1" t="s">
        <v>1642</v>
      </c>
      <c r="C8047" s="1" t="s">
        <v>135</v>
      </c>
      <c r="D8047" s="1" t="s">
        <v>136</v>
      </c>
      <c r="E8047" s="1" t="s">
        <v>37</v>
      </c>
      <c r="F8047" s="2" t="s">
        <v>1922</v>
      </c>
      <c r="G8047" s="1">
        <v>393.25</v>
      </c>
      <c r="H8047" s="1">
        <v>5</v>
      </c>
      <c r="I8047" s="1">
        <v>129.77250000000001</v>
      </c>
    </row>
    <row r="8048" spans="1:9" x14ac:dyDescent="0.35">
      <c r="A8048" s="3" t="s">
        <v>3718</v>
      </c>
      <c r="B8048" s="1" t="s">
        <v>539</v>
      </c>
      <c r="C8048" s="1" t="s">
        <v>1438</v>
      </c>
      <c r="D8048" s="1" t="s">
        <v>250</v>
      </c>
      <c r="E8048" s="1" t="s">
        <v>35</v>
      </c>
      <c r="F8048" s="2" t="s">
        <v>2825</v>
      </c>
      <c r="G8048" s="1">
        <v>2.214</v>
      </c>
      <c r="H8048" s="1">
        <v>3</v>
      </c>
      <c r="I8048" s="1">
        <v>-1.476</v>
      </c>
    </row>
    <row r="8049" spans="1:9" x14ac:dyDescent="0.35">
      <c r="A8049" s="3">
        <v>42805</v>
      </c>
      <c r="B8049" s="1" t="s">
        <v>2129</v>
      </c>
      <c r="C8049" s="1" t="s">
        <v>261</v>
      </c>
      <c r="D8049" s="1" t="s">
        <v>43</v>
      </c>
      <c r="E8049" s="1" t="s">
        <v>44</v>
      </c>
      <c r="F8049" s="2" t="s">
        <v>1655</v>
      </c>
      <c r="G8049" s="1">
        <v>16.271999999999998</v>
      </c>
      <c r="H8049" s="1">
        <v>3</v>
      </c>
      <c r="I8049" s="1">
        <v>5.2884000000000002</v>
      </c>
    </row>
    <row r="8050" spans="1:9" x14ac:dyDescent="0.35">
      <c r="A8050" s="3">
        <v>42436</v>
      </c>
      <c r="B8050" s="1" t="s">
        <v>643</v>
      </c>
      <c r="C8050" s="1" t="s">
        <v>135</v>
      </c>
      <c r="D8050" s="1" t="s">
        <v>136</v>
      </c>
      <c r="E8050" s="1" t="s">
        <v>37</v>
      </c>
      <c r="F8050" s="2" t="s">
        <v>2875</v>
      </c>
      <c r="G8050" s="1">
        <v>706.86</v>
      </c>
      <c r="H8050" s="1">
        <v>7</v>
      </c>
      <c r="I8050" s="1">
        <v>197.92080000000001</v>
      </c>
    </row>
    <row r="8051" spans="1:9" x14ac:dyDescent="0.35">
      <c r="A8051" s="3" t="s">
        <v>3191</v>
      </c>
      <c r="B8051" s="1" t="s">
        <v>3058</v>
      </c>
      <c r="C8051" s="1" t="s">
        <v>74</v>
      </c>
      <c r="D8051" s="1" t="s">
        <v>75</v>
      </c>
      <c r="E8051" s="1" t="s">
        <v>35</v>
      </c>
      <c r="F8051" s="2" t="s">
        <v>273</v>
      </c>
      <c r="G8051" s="1">
        <v>5.97</v>
      </c>
      <c r="H8051" s="1">
        <v>5</v>
      </c>
      <c r="I8051" s="1">
        <v>-4.577</v>
      </c>
    </row>
    <row r="8052" spans="1:9" x14ac:dyDescent="0.35">
      <c r="A8052" s="3" t="s">
        <v>3191</v>
      </c>
      <c r="B8052" s="1" t="s">
        <v>3058</v>
      </c>
      <c r="C8052" s="1" t="s">
        <v>74</v>
      </c>
      <c r="D8052" s="1" t="s">
        <v>75</v>
      </c>
      <c r="E8052" s="1" t="s">
        <v>29</v>
      </c>
      <c r="F8052" s="2" t="s">
        <v>1291</v>
      </c>
      <c r="G8052" s="1">
        <v>21.184000000000001</v>
      </c>
      <c r="H8052" s="1">
        <v>1</v>
      </c>
      <c r="I8052" s="1">
        <v>4.7664</v>
      </c>
    </row>
    <row r="8053" spans="1:9" x14ac:dyDescent="0.35">
      <c r="A8053" s="3" t="s">
        <v>3191</v>
      </c>
      <c r="B8053" s="1" t="s">
        <v>3058</v>
      </c>
      <c r="C8053" s="1" t="s">
        <v>74</v>
      </c>
      <c r="D8053" s="1" t="s">
        <v>75</v>
      </c>
      <c r="E8053" s="1" t="s">
        <v>37</v>
      </c>
      <c r="F8053" s="2" t="s">
        <v>72</v>
      </c>
      <c r="G8053" s="1">
        <v>41.375999999999998</v>
      </c>
      <c r="H8053" s="1">
        <v>6</v>
      </c>
      <c r="I8053" s="1">
        <v>3.1032000000000002</v>
      </c>
    </row>
    <row r="8054" spans="1:9" x14ac:dyDescent="0.35">
      <c r="A8054" s="3" t="s">
        <v>3314</v>
      </c>
      <c r="B8054" s="1" t="s">
        <v>1921</v>
      </c>
      <c r="C8054" s="1" t="s">
        <v>135</v>
      </c>
      <c r="D8054" s="1" t="s">
        <v>136</v>
      </c>
      <c r="E8054" s="1" t="s">
        <v>31</v>
      </c>
      <c r="F8054" s="2" t="s">
        <v>1483</v>
      </c>
      <c r="G8054" s="1">
        <v>17.940000000000001</v>
      </c>
      <c r="H8054" s="1">
        <v>3</v>
      </c>
      <c r="I8054" s="1">
        <v>4.4850000000000003</v>
      </c>
    </row>
    <row r="8055" spans="1:9" x14ac:dyDescent="0.35">
      <c r="A8055" s="3" t="s">
        <v>3554</v>
      </c>
      <c r="B8055" s="1" t="s">
        <v>944</v>
      </c>
      <c r="C8055" s="1" t="s">
        <v>74</v>
      </c>
      <c r="D8055" s="1" t="s">
        <v>75</v>
      </c>
      <c r="E8055" s="1" t="s">
        <v>35</v>
      </c>
      <c r="F8055" s="2" t="s">
        <v>1072</v>
      </c>
      <c r="G8055" s="1">
        <v>2.6549999999999998</v>
      </c>
      <c r="H8055" s="1">
        <v>1</v>
      </c>
      <c r="I8055" s="1">
        <v>-1.8585</v>
      </c>
    </row>
    <row r="8056" spans="1:9" x14ac:dyDescent="0.35">
      <c r="A8056" s="3" t="s">
        <v>3326</v>
      </c>
      <c r="B8056" s="1" t="s">
        <v>382</v>
      </c>
      <c r="C8056" s="1" t="s">
        <v>17</v>
      </c>
      <c r="D8056" s="1" t="s">
        <v>18</v>
      </c>
      <c r="E8056" s="1" t="s">
        <v>26</v>
      </c>
      <c r="F8056" s="2" t="s">
        <v>925</v>
      </c>
      <c r="G8056" s="1">
        <v>892.35</v>
      </c>
      <c r="H8056" s="1">
        <v>5</v>
      </c>
      <c r="I8056" s="1">
        <v>267.70499999999998</v>
      </c>
    </row>
    <row r="8057" spans="1:9" x14ac:dyDescent="0.35">
      <c r="A8057" s="3" t="s">
        <v>3326</v>
      </c>
      <c r="B8057" s="1" t="s">
        <v>382</v>
      </c>
      <c r="C8057" s="1" t="s">
        <v>17</v>
      </c>
      <c r="D8057" s="1" t="s">
        <v>18</v>
      </c>
      <c r="E8057" s="1" t="s">
        <v>12</v>
      </c>
      <c r="F8057" s="2" t="s">
        <v>416</v>
      </c>
      <c r="G8057" s="1">
        <v>307.666</v>
      </c>
      <c r="H8057" s="1">
        <v>2</v>
      </c>
      <c r="I8057" s="1">
        <v>28.956800000000001</v>
      </c>
    </row>
    <row r="8058" spans="1:9" x14ac:dyDescent="0.35">
      <c r="A8058" s="3" t="s">
        <v>3326</v>
      </c>
      <c r="B8058" s="1" t="s">
        <v>382</v>
      </c>
      <c r="C8058" s="1" t="s">
        <v>17</v>
      </c>
      <c r="D8058" s="1" t="s">
        <v>18</v>
      </c>
      <c r="E8058" s="1" t="s">
        <v>26</v>
      </c>
      <c r="F8058" s="2" t="s">
        <v>829</v>
      </c>
      <c r="G8058" s="1">
        <v>728.82</v>
      </c>
      <c r="H8058" s="1">
        <v>9</v>
      </c>
      <c r="I8058" s="1">
        <v>29.152799999999999</v>
      </c>
    </row>
    <row r="8059" spans="1:9" x14ac:dyDescent="0.35">
      <c r="A8059" s="3" t="s">
        <v>3326</v>
      </c>
      <c r="B8059" s="1" t="s">
        <v>382</v>
      </c>
      <c r="C8059" s="1" t="s">
        <v>17</v>
      </c>
      <c r="D8059" s="1" t="s">
        <v>18</v>
      </c>
      <c r="E8059" s="1" t="s">
        <v>35</v>
      </c>
      <c r="F8059" s="2" t="s">
        <v>2216</v>
      </c>
      <c r="G8059" s="1">
        <v>41.36</v>
      </c>
      <c r="H8059" s="1">
        <v>5</v>
      </c>
      <c r="I8059" s="1">
        <v>13.959</v>
      </c>
    </row>
    <row r="8060" spans="1:9" x14ac:dyDescent="0.35">
      <c r="A8060" s="3" t="s">
        <v>3326</v>
      </c>
      <c r="B8060" s="1" t="s">
        <v>382</v>
      </c>
      <c r="C8060" s="1" t="s">
        <v>17</v>
      </c>
      <c r="D8060" s="1" t="s">
        <v>18</v>
      </c>
      <c r="E8060" s="1" t="s">
        <v>33</v>
      </c>
      <c r="F8060" s="2" t="s">
        <v>1411</v>
      </c>
      <c r="G8060" s="1">
        <v>43.176000000000002</v>
      </c>
      <c r="H8060" s="1">
        <v>3</v>
      </c>
      <c r="I8060" s="1">
        <v>15.111599999999999</v>
      </c>
    </row>
    <row r="8061" spans="1:9" x14ac:dyDescent="0.35">
      <c r="A8061" s="3" t="s">
        <v>3326</v>
      </c>
      <c r="B8061" s="1" t="s">
        <v>382</v>
      </c>
      <c r="C8061" s="1" t="s">
        <v>17</v>
      </c>
      <c r="D8061" s="1" t="s">
        <v>18</v>
      </c>
      <c r="E8061" s="1" t="s">
        <v>29</v>
      </c>
      <c r="F8061" s="2" t="s">
        <v>609</v>
      </c>
      <c r="G8061" s="1">
        <v>4.16</v>
      </c>
      <c r="H8061" s="1">
        <v>2</v>
      </c>
      <c r="I8061" s="1">
        <v>1.7472000000000001</v>
      </c>
    </row>
    <row r="8062" spans="1:9" x14ac:dyDescent="0.35">
      <c r="A8062" s="3" t="s">
        <v>3808</v>
      </c>
      <c r="B8062" s="1" t="s">
        <v>2037</v>
      </c>
      <c r="C8062" s="1" t="s">
        <v>559</v>
      </c>
      <c r="D8062" s="1" t="s">
        <v>136</v>
      </c>
      <c r="E8062" s="1" t="s">
        <v>44</v>
      </c>
      <c r="F8062" s="2" t="s">
        <v>595</v>
      </c>
      <c r="G8062" s="1">
        <v>61.4</v>
      </c>
      <c r="H8062" s="1">
        <v>5</v>
      </c>
      <c r="I8062" s="1">
        <v>28.858000000000001</v>
      </c>
    </row>
    <row r="8063" spans="1:9" x14ac:dyDescent="0.35">
      <c r="A8063" s="3" t="s">
        <v>3808</v>
      </c>
      <c r="B8063" s="1" t="s">
        <v>2037</v>
      </c>
      <c r="C8063" s="1" t="s">
        <v>559</v>
      </c>
      <c r="D8063" s="1" t="s">
        <v>136</v>
      </c>
      <c r="E8063" s="1" t="s">
        <v>35</v>
      </c>
      <c r="F8063" s="2" t="s">
        <v>2198</v>
      </c>
      <c r="G8063" s="1">
        <v>24.448</v>
      </c>
      <c r="H8063" s="1">
        <v>2</v>
      </c>
      <c r="I8063" s="1">
        <v>8.8623999999999992</v>
      </c>
    </row>
    <row r="8064" spans="1:9" x14ac:dyDescent="0.35">
      <c r="A8064" s="3">
        <v>42562</v>
      </c>
      <c r="B8064" s="1" t="s">
        <v>2010</v>
      </c>
      <c r="C8064" s="1" t="s">
        <v>197</v>
      </c>
      <c r="D8064" s="1" t="s">
        <v>136</v>
      </c>
      <c r="E8064" s="1" t="s">
        <v>33</v>
      </c>
      <c r="F8064" s="2" t="s">
        <v>904</v>
      </c>
      <c r="G8064" s="1">
        <v>263.95999999999998</v>
      </c>
      <c r="H8064" s="1">
        <v>4</v>
      </c>
      <c r="I8064" s="1">
        <v>71.269199999999998</v>
      </c>
    </row>
    <row r="8065" spans="1:9" x14ac:dyDescent="0.35">
      <c r="A8065" s="3">
        <v>42562</v>
      </c>
      <c r="B8065" s="1" t="s">
        <v>2010</v>
      </c>
      <c r="C8065" s="1" t="s">
        <v>197</v>
      </c>
      <c r="D8065" s="1" t="s">
        <v>136</v>
      </c>
      <c r="E8065" s="1" t="s">
        <v>33</v>
      </c>
      <c r="F8065" s="2" t="s">
        <v>2000</v>
      </c>
      <c r="G8065" s="1">
        <v>359.97</v>
      </c>
      <c r="H8065" s="1">
        <v>3</v>
      </c>
      <c r="I8065" s="1">
        <v>100.7916</v>
      </c>
    </row>
    <row r="8066" spans="1:9" x14ac:dyDescent="0.35">
      <c r="A8066" s="3">
        <v>42562</v>
      </c>
      <c r="B8066" s="1" t="s">
        <v>2010</v>
      </c>
      <c r="C8066" s="1" t="s">
        <v>197</v>
      </c>
      <c r="D8066" s="1" t="s">
        <v>136</v>
      </c>
      <c r="E8066" s="1" t="s">
        <v>44</v>
      </c>
      <c r="F8066" s="2" t="s">
        <v>2229</v>
      </c>
      <c r="G8066" s="1">
        <v>12.96</v>
      </c>
      <c r="H8066" s="1">
        <v>2</v>
      </c>
      <c r="I8066" s="1">
        <v>6.2207999999999997</v>
      </c>
    </row>
    <row r="8067" spans="1:9" x14ac:dyDescent="0.35">
      <c r="A8067" s="3">
        <v>42562</v>
      </c>
      <c r="B8067" s="1" t="s">
        <v>2010</v>
      </c>
      <c r="C8067" s="1" t="s">
        <v>197</v>
      </c>
      <c r="D8067" s="1" t="s">
        <v>136</v>
      </c>
      <c r="E8067" s="1" t="s">
        <v>26</v>
      </c>
      <c r="F8067" s="2" t="s">
        <v>109</v>
      </c>
      <c r="G8067" s="1">
        <v>116.82</v>
      </c>
      <c r="H8067" s="1">
        <v>3</v>
      </c>
      <c r="I8067" s="1">
        <v>5.8410000000000002</v>
      </c>
    </row>
    <row r="8068" spans="1:9" x14ac:dyDescent="0.35">
      <c r="A8068" s="3">
        <v>42562</v>
      </c>
      <c r="B8068" s="1" t="s">
        <v>2010</v>
      </c>
      <c r="C8068" s="1" t="s">
        <v>197</v>
      </c>
      <c r="D8068" s="1" t="s">
        <v>136</v>
      </c>
      <c r="E8068" s="1" t="s">
        <v>35</v>
      </c>
      <c r="F8068" s="2" t="s">
        <v>2650</v>
      </c>
      <c r="G8068" s="1">
        <v>276.78399999999999</v>
      </c>
      <c r="H8068" s="1">
        <v>2</v>
      </c>
      <c r="I8068" s="1">
        <v>89.954800000000006</v>
      </c>
    </row>
    <row r="8069" spans="1:9" x14ac:dyDescent="0.35">
      <c r="A8069" s="3" t="s">
        <v>3809</v>
      </c>
      <c r="B8069" s="1" t="s">
        <v>1351</v>
      </c>
      <c r="C8069" s="1" t="s">
        <v>64</v>
      </c>
      <c r="D8069" s="1" t="s">
        <v>18</v>
      </c>
      <c r="E8069" s="1" t="s">
        <v>81</v>
      </c>
      <c r="F8069" s="2" t="s">
        <v>777</v>
      </c>
      <c r="G8069" s="1">
        <v>239.97</v>
      </c>
      <c r="H8069" s="1">
        <v>3</v>
      </c>
      <c r="I8069" s="1">
        <v>86.389200000000002</v>
      </c>
    </row>
    <row r="8070" spans="1:9" x14ac:dyDescent="0.35">
      <c r="A8070" s="3" t="s">
        <v>3809</v>
      </c>
      <c r="B8070" s="1" t="s">
        <v>1351</v>
      </c>
      <c r="C8070" s="1" t="s">
        <v>64</v>
      </c>
      <c r="D8070" s="1" t="s">
        <v>18</v>
      </c>
      <c r="E8070" s="1" t="s">
        <v>29</v>
      </c>
      <c r="F8070" s="2" t="s">
        <v>2609</v>
      </c>
      <c r="G8070" s="1">
        <v>16.02</v>
      </c>
      <c r="H8070" s="1">
        <v>6</v>
      </c>
      <c r="I8070" s="1">
        <v>6.0876000000000001</v>
      </c>
    </row>
    <row r="8071" spans="1:9" x14ac:dyDescent="0.35">
      <c r="A8071" s="3">
        <v>42736</v>
      </c>
      <c r="B8071" s="1" t="s">
        <v>233</v>
      </c>
      <c r="C8071" s="1" t="s">
        <v>785</v>
      </c>
      <c r="D8071" s="1" t="s">
        <v>52</v>
      </c>
      <c r="E8071" s="1" t="s">
        <v>26</v>
      </c>
      <c r="F8071" s="2" t="s">
        <v>763</v>
      </c>
      <c r="G8071" s="1">
        <v>454.56</v>
      </c>
      <c r="H8071" s="1">
        <v>5</v>
      </c>
      <c r="I8071" s="1">
        <v>-107.958</v>
      </c>
    </row>
    <row r="8072" spans="1:9" x14ac:dyDescent="0.35">
      <c r="A8072" s="3">
        <v>42736</v>
      </c>
      <c r="B8072" s="1" t="s">
        <v>233</v>
      </c>
      <c r="C8072" s="1" t="s">
        <v>785</v>
      </c>
      <c r="D8072" s="1" t="s">
        <v>52</v>
      </c>
      <c r="E8072" s="1" t="s">
        <v>29</v>
      </c>
      <c r="F8072" s="2" t="s">
        <v>2414</v>
      </c>
      <c r="G8072" s="1">
        <v>141.41999999999999</v>
      </c>
      <c r="H8072" s="1">
        <v>5</v>
      </c>
      <c r="I8072" s="1">
        <v>-187.38149999999999</v>
      </c>
    </row>
    <row r="8073" spans="1:9" x14ac:dyDescent="0.35">
      <c r="A8073" s="3">
        <v>42736</v>
      </c>
      <c r="B8073" s="1" t="s">
        <v>233</v>
      </c>
      <c r="C8073" s="1" t="s">
        <v>785</v>
      </c>
      <c r="D8073" s="1" t="s">
        <v>52</v>
      </c>
      <c r="E8073" s="1" t="s">
        <v>14</v>
      </c>
      <c r="F8073" s="2" t="s">
        <v>1119</v>
      </c>
      <c r="G8073" s="1">
        <v>310.74400000000003</v>
      </c>
      <c r="H8073" s="1">
        <v>4</v>
      </c>
      <c r="I8073" s="1">
        <v>-26.635200000000001</v>
      </c>
    </row>
    <row r="8074" spans="1:9" x14ac:dyDescent="0.35">
      <c r="A8074" s="3">
        <v>42736</v>
      </c>
      <c r="B8074" s="1" t="s">
        <v>233</v>
      </c>
      <c r="C8074" s="1" t="s">
        <v>785</v>
      </c>
      <c r="D8074" s="1" t="s">
        <v>52</v>
      </c>
      <c r="E8074" s="1" t="s">
        <v>31</v>
      </c>
      <c r="F8074" s="2" t="s">
        <v>1220</v>
      </c>
      <c r="G8074" s="1">
        <v>12.736000000000001</v>
      </c>
      <c r="H8074" s="1">
        <v>4</v>
      </c>
      <c r="I8074" s="1">
        <v>2.2288000000000001</v>
      </c>
    </row>
    <row r="8075" spans="1:9" x14ac:dyDescent="0.35">
      <c r="A8075" s="3">
        <v>42736</v>
      </c>
      <c r="B8075" s="1" t="s">
        <v>233</v>
      </c>
      <c r="C8075" s="1" t="s">
        <v>785</v>
      </c>
      <c r="D8075" s="1" t="s">
        <v>52</v>
      </c>
      <c r="E8075" s="1" t="s">
        <v>35</v>
      </c>
      <c r="F8075" s="2" t="s">
        <v>1103</v>
      </c>
      <c r="G8075" s="1">
        <v>6.47</v>
      </c>
      <c r="H8075" s="1">
        <v>5</v>
      </c>
      <c r="I8075" s="1">
        <v>-9.7050000000000001</v>
      </c>
    </row>
    <row r="8076" spans="1:9" x14ac:dyDescent="0.35">
      <c r="A8076" s="3">
        <v>42736</v>
      </c>
      <c r="B8076" s="1" t="s">
        <v>233</v>
      </c>
      <c r="C8076" s="1" t="s">
        <v>785</v>
      </c>
      <c r="D8076" s="1" t="s">
        <v>52</v>
      </c>
      <c r="E8076" s="1" t="s">
        <v>35</v>
      </c>
      <c r="F8076" s="2" t="s">
        <v>390</v>
      </c>
      <c r="G8076" s="1">
        <v>13.747999999999999</v>
      </c>
      <c r="H8076" s="1">
        <v>14</v>
      </c>
      <c r="I8076" s="1">
        <v>-22.684200000000001</v>
      </c>
    </row>
    <row r="8077" spans="1:9" x14ac:dyDescent="0.35">
      <c r="A8077" s="3">
        <v>42736</v>
      </c>
      <c r="B8077" s="1" t="s">
        <v>233</v>
      </c>
      <c r="C8077" s="1" t="s">
        <v>785</v>
      </c>
      <c r="D8077" s="1" t="s">
        <v>52</v>
      </c>
      <c r="E8077" s="1" t="s">
        <v>37</v>
      </c>
      <c r="F8077" s="2" t="s">
        <v>917</v>
      </c>
      <c r="G8077" s="1">
        <v>15.224</v>
      </c>
      <c r="H8077" s="1">
        <v>2</v>
      </c>
      <c r="I8077" s="1">
        <v>-38.821199999999997</v>
      </c>
    </row>
    <row r="8078" spans="1:9" x14ac:dyDescent="0.35">
      <c r="A8078" s="3" t="s">
        <v>3742</v>
      </c>
      <c r="B8078" s="1" t="s">
        <v>2067</v>
      </c>
      <c r="C8078" s="1" t="s">
        <v>3076</v>
      </c>
      <c r="D8078" s="1" t="s">
        <v>604</v>
      </c>
      <c r="E8078" s="1" t="s">
        <v>29</v>
      </c>
      <c r="F8078" s="2" t="s">
        <v>1135</v>
      </c>
      <c r="G8078" s="1">
        <v>27.42</v>
      </c>
      <c r="H8078" s="1">
        <v>3</v>
      </c>
      <c r="I8078" s="1">
        <v>9.3228000000000009</v>
      </c>
    </row>
    <row r="8079" spans="1:9" x14ac:dyDescent="0.35">
      <c r="A8079" s="3" t="s">
        <v>3742</v>
      </c>
      <c r="B8079" s="1" t="s">
        <v>2067</v>
      </c>
      <c r="C8079" s="1" t="s">
        <v>3076</v>
      </c>
      <c r="D8079" s="1" t="s">
        <v>604</v>
      </c>
      <c r="E8079" s="1" t="s">
        <v>35</v>
      </c>
      <c r="F8079" s="2" t="s">
        <v>1505</v>
      </c>
      <c r="G8079" s="1">
        <v>165.98</v>
      </c>
      <c r="H8079" s="1">
        <v>1</v>
      </c>
      <c r="I8079" s="1">
        <v>74.691000000000003</v>
      </c>
    </row>
    <row r="8080" spans="1:9" x14ac:dyDescent="0.35">
      <c r="A8080" s="3" t="s">
        <v>3742</v>
      </c>
      <c r="B8080" s="1" t="s">
        <v>2067</v>
      </c>
      <c r="C8080" s="1" t="s">
        <v>3076</v>
      </c>
      <c r="D8080" s="1" t="s">
        <v>604</v>
      </c>
      <c r="E8080" s="1" t="s">
        <v>81</v>
      </c>
      <c r="F8080" s="2" t="s">
        <v>2269</v>
      </c>
      <c r="G8080" s="1">
        <v>75</v>
      </c>
      <c r="H8080" s="1">
        <v>3</v>
      </c>
      <c r="I8080" s="1">
        <v>18</v>
      </c>
    </row>
    <row r="8081" spans="1:9" x14ac:dyDescent="0.35">
      <c r="A8081" s="3" t="s">
        <v>3251</v>
      </c>
      <c r="B8081" s="1" t="s">
        <v>1465</v>
      </c>
      <c r="C8081" s="1" t="s">
        <v>135</v>
      </c>
      <c r="D8081" s="1" t="s">
        <v>136</v>
      </c>
      <c r="E8081" s="1" t="s">
        <v>35</v>
      </c>
      <c r="F8081" s="2" t="s">
        <v>572</v>
      </c>
      <c r="G8081" s="1">
        <v>134.27199999999999</v>
      </c>
      <c r="H8081" s="1">
        <v>8</v>
      </c>
      <c r="I8081" s="1">
        <v>46.995199999999997</v>
      </c>
    </row>
    <row r="8082" spans="1:9" x14ac:dyDescent="0.35">
      <c r="A8082" s="3" t="s">
        <v>3617</v>
      </c>
      <c r="B8082" s="1" t="s">
        <v>488</v>
      </c>
      <c r="C8082" s="1" t="s">
        <v>162</v>
      </c>
      <c r="D8082" s="1" t="s">
        <v>212</v>
      </c>
      <c r="E8082" s="1" t="s">
        <v>19</v>
      </c>
      <c r="F8082" s="2" t="s">
        <v>1562</v>
      </c>
      <c r="G8082" s="1">
        <v>146.54400000000001</v>
      </c>
      <c r="H8082" s="1">
        <v>6</v>
      </c>
      <c r="I8082" s="1">
        <v>47.626800000000003</v>
      </c>
    </row>
    <row r="8083" spans="1:9" x14ac:dyDescent="0.35">
      <c r="A8083" s="3" t="s">
        <v>3617</v>
      </c>
      <c r="B8083" s="1" t="s">
        <v>488</v>
      </c>
      <c r="C8083" s="1" t="s">
        <v>162</v>
      </c>
      <c r="D8083" s="1" t="s">
        <v>212</v>
      </c>
      <c r="E8083" s="1" t="s">
        <v>44</v>
      </c>
      <c r="F8083" s="2" t="s">
        <v>2952</v>
      </c>
      <c r="G8083" s="1">
        <v>131.904</v>
      </c>
      <c r="H8083" s="1">
        <v>3</v>
      </c>
      <c r="I8083" s="1">
        <v>47.815199999999997</v>
      </c>
    </row>
    <row r="8084" spans="1:9" x14ac:dyDescent="0.35">
      <c r="A8084" s="3" t="s">
        <v>3617</v>
      </c>
      <c r="B8084" s="1" t="s">
        <v>488</v>
      </c>
      <c r="C8084" s="1" t="s">
        <v>162</v>
      </c>
      <c r="D8084" s="1" t="s">
        <v>212</v>
      </c>
      <c r="E8084" s="1" t="s">
        <v>37</v>
      </c>
      <c r="F8084" s="2" t="s">
        <v>963</v>
      </c>
      <c r="G8084" s="1">
        <v>203.88</v>
      </c>
      <c r="H8084" s="1">
        <v>5</v>
      </c>
      <c r="I8084" s="1">
        <v>20.388000000000002</v>
      </c>
    </row>
    <row r="8085" spans="1:9" x14ac:dyDescent="0.35">
      <c r="A8085" s="3" t="s">
        <v>3617</v>
      </c>
      <c r="B8085" s="1" t="s">
        <v>488</v>
      </c>
      <c r="C8085" s="1" t="s">
        <v>162</v>
      </c>
      <c r="D8085" s="1" t="s">
        <v>212</v>
      </c>
      <c r="E8085" s="1" t="s">
        <v>35</v>
      </c>
      <c r="F8085" s="2" t="s">
        <v>2127</v>
      </c>
      <c r="G8085" s="1">
        <v>14.301</v>
      </c>
      <c r="H8085" s="1">
        <v>7</v>
      </c>
      <c r="I8085" s="1">
        <v>-10.487399999999999</v>
      </c>
    </row>
    <row r="8086" spans="1:9" x14ac:dyDescent="0.35">
      <c r="A8086" s="3" t="s">
        <v>3617</v>
      </c>
      <c r="B8086" s="1" t="s">
        <v>488</v>
      </c>
      <c r="C8086" s="1" t="s">
        <v>162</v>
      </c>
      <c r="D8086" s="1" t="s">
        <v>212</v>
      </c>
      <c r="E8086" s="1" t="s">
        <v>26</v>
      </c>
      <c r="F8086" s="2" t="s">
        <v>789</v>
      </c>
      <c r="G8086" s="1">
        <v>718.64</v>
      </c>
      <c r="H8086" s="1">
        <v>10</v>
      </c>
      <c r="I8086" s="1">
        <v>-161.69399999999999</v>
      </c>
    </row>
    <row r="8087" spans="1:9" x14ac:dyDescent="0.35">
      <c r="A8087" s="3" t="s">
        <v>3705</v>
      </c>
      <c r="B8087" s="1" t="s">
        <v>3077</v>
      </c>
      <c r="C8087" s="1" t="s">
        <v>540</v>
      </c>
      <c r="D8087" s="1" t="s">
        <v>163</v>
      </c>
      <c r="E8087" s="1" t="s">
        <v>29</v>
      </c>
      <c r="F8087" s="2" t="s">
        <v>725</v>
      </c>
      <c r="G8087" s="1">
        <v>61.1</v>
      </c>
      <c r="H8087" s="1">
        <v>5</v>
      </c>
      <c r="I8087" s="1">
        <v>18.329999999999998</v>
      </c>
    </row>
    <row r="8088" spans="1:9" x14ac:dyDescent="0.35">
      <c r="A8088" s="3" t="s">
        <v>3651</v>
      </c>
      <c r="B8088" s="1" t="s">
        <v>2503</v>
      </c>
      <c r="C8088" s="1" t="s">
        <v>261</v>
      </c>
      <c r="D8088" s="1" t="s">
        <v>43</v>
      </c>
      <c r="E8088" s="1" t="s">
        <v>37</v>
      </c>
      <c r="F8088" s="2" t="s">
        <v>2098</v>
      </c>
      <c r="G8088" s="1">
        <v>28.08</v>
      </c>
      <c r="H8088" s="1">
        <v>3</v>
      </c>
      <c r="I8088" s="1">
        <v>5.2649999999999997</v>
      </c>
    </row>
    <row r="8089" spans="1:9" x14ac:dyDescent="0.35">
      <c r="A8089" s="3" t="s">
        <v>3405</v>
      </c>
      <c r="B8089" s="1" t="s">
        <v>2450</v>
      </c>
      <c r="C8089" s="1" t="s">
        <v>2833</v>
      </c>
      <c r="D8089" s="1" t="s">
        <v>158</v>
      </c>
      <c r="E8089" s="1" t="s">
        <v>31</v>
      </c>
      <c r="F8089" s="2" t="s">
        <v>1420</v>
      </c>
      <c r="G8089" s="1">
        <v>10.496</v>
      </c>
      <c r="H8089" s="1">
        <v>4</v>
      </c>
      <c r="I8089" s="1">
        <v>1.1808000000000001</v>
      </c>
    </row>
    <row r="8090" spans="1:9" x14ac:dyDescent="0.35">
      <c r="A8090" s="3">
        <v>42284</v>
      </c>
      <c r="B8090" s="1" t="s">
        <v>648</v>
      </c>
      <c r="C8090" s="1" t="s">
        <v>2018</v>
      </c>
      <c r="D8090" s="1" t="s">
        <v>18</v>
      </c>
      <c r="E8090" s="1" t="s">
        <v>35</v>
      </c>
      <c r="F8090" s="2" t="s">
        <v>1201</v>
      </c>
      <c r="G8090" s="1">
        <v>39.92</v>
      </c>
      <c r="H8090" s="1">
        <v>2</v>
      </c>
      <c r="I8090" s="1">
        <v>12.974</v>
      </c>
    </row>
    <row r="8091" spans="1:9" x14ac:dyDescent="0.35">
      <c r="A8091" s="3">
        <v>42193</v>
      </c>
      <c r="B8091" s="1" t="s">
        <v>1351</v>
      </c>
      <c r="C8091" s="1" t="s">
        <v>1875</v>
      </c>
      <c r="D8091" s="1" t="s">
        <v>1217</v>
      </c>
      <c r="E8091" s="1" t="s">
        <v>37</v>
      </c>
      <c r="F8091" s="2" t="s">
        <v>72</v>
      </c>
      <c r="G8091" s="1">
        <v>77.58</v>
      </c>
      <c r="H8091" s="1">
        <v>9</v>
      </c>
      <c r="I8091" s="1">
        <v>20.1708</v>
      </c>
    </row>
    <row r="8092" spans="1:9" x14ac:dyDescent="0.35">
      <c r="A8092" s="3">
        <v>41832</v>
      </c>
      <c r="B8092" s="1" t="s">
        <v>1298</v>
      </c>
      <c r="C8092" s="1" t="s">
        <v>47</v>
      </c>
      <c r="D8092" s="1" t="s">
        <v>48</v>
      </c>
      <c r="E8092" s="1" t="s">
        <v>26</v>
      </c>
      <c r="F8092" s="2" t="s">
        <v>2360</v>
      </c>
      <c r="G8092" s="1">
        <v>269.36</v>
      </c>
      <c r="H8092" s="1">
        <v>7</v>
      </c>
      <c r="I8092" s="1">
        <v>70.033600000000007</v>
      </c>
    </row>
    <row r="8093" spans="1:9" x14ac:dyDescent="0.35">
      <c r="A8093" s="3">
        <v>42289</v>
      </c>
      <c r="B8093" s="1" t="s">
        <v>1316</v>
      </c>
      <c r="C8093" s="1" t="s">
        <v>64</v>
      </c>
      <c r="D8093" s="1" t="s">
        <v>18</v>
      </c>
      <c r="E8093" s="1" t="s">
        <v>19</v>
      </c>
      <c r="F8093" s="2" t="s">
        <v>1287</v>
      </c>
      <c r="G8093" s="1">
        <v>5.76</v>
      </c>
      <c r="H8093" s="1">
        <v>2</v>
      </c>
      <c r="I8093" s="1">
        <v>2.8224</v>
      </c>
    </row>
    <row r="8094" spans="1:9" x14ac:dyDescent="0.35">
      <c r="A8094" s="3">
        <v>42958</v>
      </c>
      <c r="B8094" s="1" t="s">
        <v>2443</v>
      </c>
      <c r="C8094" s="1" t="s">
        <v>135</v>
      </c>
      <c r="D8094" s="1" t="s">
        <v>136</v>
      </c>
      <c r="E8094" s="1" t="s">
        <v>31</v>
      </c>
      <c r="F8094" s="2" t="s">
        <v>1579</v>
      </c>
      <c r="G8094" s="1">
        <v>109.9</v>
      </c>
      <c r="H8094" s="1">
        <v>5</v>
      </c>
      <c r="I8094" s="1">
        <v>32.97</v>
      </c>
    </row>
    <row r="8095" spans="1:9" x14ac:dyDescent="0.35">
      <c r="A8095" s="3" t="s">
        <v>3504</v>
      </c>
      <c r="B8095" s="1" t="s">
        <v>2113</v>
      </c>
      <c r="C8095" s="1" t="s">
        <v>47</v>
      </c>
      <c r="D8095" s="1" t="s">
        <v>48</v>
      </c>
      <c r="E8095" s="1" t="s">
        <v>29</v>
      </c>
      <c r="F8095" s="2" t="s">
        <v>449</v>
      </c>
      <c r="G8095" s="1">
        <v>23.88</v>
      </c>
      <c r="H8095" s="1">
        <v>3</v>
      </c>
      <c r="I8095" s="1">
        <v>10.507199999999999</v>
      </c>
    </row>
    <row r="8096" spans="1:9" x14ac:dyDescent="0.35">
      <c r="A8096" s="3" t="s">
        <v>3504</v>
      </c>
      <c r="B8096" s="1" t="s">
        <v>2113</v>
      </c>
      <c r="C8096" s="1" t="s">
        <v>47</v>
      </c>
      <c r="D8096" s="1" t="s">
        <v>48</v>
      </c>
      <c r="E8096" s="1" t="s">
        <v>44</v>
      </c>
      <c r="F8096" s="2" t="s">
        <v>2070</v>
      </c>
      <c r="G8096" s="1">
        <v>26.2</v>
      </c>
      <c r="H8096" s="1">
        <v>4</v>
      </c>
      <c r="I8096" s="1">
        <v>12.052</v>
      </c>
    </row>
    <row r="8097" spans="1:9" x14ac:dyDescent="0.35">
      <c r="A8097" s="3" t="s">
        <v>3504</v>
      </c>
      <c r="B8097" s="1" t="s">
        <v>2113</v>
      </c>
      <c r="C8097" s="1" t="s">
        <v>47</v>
      </c>
      <c r="D8097" s="1" t="s">
        <v>48</v>
      </c>
      <c r="E8097" s="1" t="s">
        <v>44</v>
      </c>
      <c r="F8097" s="2" t="s">
        <v>2143</v>
      </c>
      <c r="G8097" s="1">
        <v>12.96</v>
      </c>
      <c r="H8097" s="1">
        <v>2</v>
      </c>
      <c r="I8097" s="1">
        <v>6.2207999999999997</v>
      </c>
    </row>
    <row r="8098" spans="1:9" x14ac:dyDescent="0.35">
      <c r="A8098" s="3" t="s">
        <v>3504</v>
      </c>
      <c r="B8098" s="1" t="s">
        <v>2113</v>
      </c>
      <c r="C8098" s="1" t="s">
        <v>47</v>
      </c>
      <c r="D8098" s="1" t="s">
        <v>48</v>
      </c>
      <c r="E8098" s="1" t="s">
        <v>81</v>
      </c>
      <c r="F8098" s="2" t="s">
        <v>792</v>
      </c>
      <c r="G8098" s="1">
        <v>234.95</v>
      </c>
      <c r="H8098" s="1">
        <v>5</v>
      </c>
      <c r="I8098" s="1">
        <v>32.893000000000001</v>
      </c>
    </row>
    <row r="8099" spans="1:9" x14ac:dyDescent="0.35">
      <c r="A8099" s="3" t="s">
        <v>3530</v>
      </c>
      <c r="B8099" s="1" t="s">
        <v>2158</v>
      </c>
      <c r="C8099" s="1" t="s">
        <v>2209</v>
      </c>
      <c r="D8099" s="1" t="s">
        <v>331</v>
      </c>
      <c r="E8099" s="1" t="s">
        <v>26</v>
      </c>
      <c r="F8099" s="2" t="s">
        <v>727</v>
      </c>
      <c r="G8099" s="1">
        <v>118.25</v>
      </c>
      <c r="H8099" s="1">
        <v>5</v>
      </c>
      <c r="I8099" s="1">
        <v>34.292499999999997</v>
      </c>
    </row>
    <row r="8100" spans="1:9" x14ac:dyDescent="0.35">
      <c r="A8100" s="3" t="s">
        <v>3530</v>
      </c>
      <c r="B8100" s="1" t="s">
        <v>2158</v>
      </c>
      <c r="C8100" s="1" t="s">
        <v>2209</v>
      </c>
      <c r="D8100" s="1" t="s">
        <v>331</v>
      </c>
      <c r="E8100" s="1" t="s">
        <v>44</v>
      </c>
      <c r="F8100" s="2" t="s">
        <v>2379</v>
      </c>
      <c r="G8100" s="1">
        <v>4.28</v>
      </c>
      <c r="H8100" s="1">
        <v>1</v>
      </c>
      <c r="I8100" s="1">
        <v>1.9259999999999999</v>
      </c>
    </row>
    <row r="8101" spans="1:9" x14ac:dyDescent="0.35">
      <c r="A8101" s="3">
        <v>42646</v>
      </c>
      <c r="B8101" s="1" t="s">
        <v>2019</v>
      </c>
      <c r="C8101" s="1" t="s">
        <v>17</v>
      </c>
      <c r="D8101" s="1" t="s">
        <v>18</v>
      </c>
      <c r="E8101" s="1" t="s">
        <v>81</v>
      </c>
      <c r="F8101" s="2" t="s">
        <v>1760</v>
      </c>
      <c r="G8101" s="1">
        <v>26.85</v>
      </c>
      <c r="H8101" s="1">
        <v>3</v>
      </c>
      <c r="I8101" s="1">
        <v>5.1014999999999997</v>
      </c>
    </row>
    <row r="8102" spans="1:9" x14ac:dyDescent="0.35">
      <c r="A8102" s="3">
        <v>42646</v>
      </c>
      <c r="B8102" s="1" t="s">
        <v>2019</v>
      </c>
      <c r="C8102" s="1" t="s">
        <v>17</v>
      </c>
      <c r="D8102" s="1" t="s">
        <v>18</v>
      </c>
      <c r="E8102" s="1" t="s">
        <v>338</v>
      </c>
      <c r="F8102" s="2" t="s">
        <v>3078</v>
      </c>
      <c r="G8102" s="1">
        <v>3357.6</v>
      </c>
      <c r="H8102" s="1">
        <v>3</v>
      </c>
      <c r="I8102" s="1">
        <v>377.73</v>
      </c>
    </row>
    <row r="8103" spans="1:9" x14ac:dyDescent="0.35">
      <c r="A8103" s="3" t="s">
        <v>3810</v>
      </c>
      <c r="B8103" s="1" t="s">
        <v>2924</v>
      </c>
      <c r="C8103" s="1" t="s">
        <v>17</v>
      </c>
      <c r="D8103" s="1" t="s">
        <v>18</v>
      </c>
      <c r="E8103" s="1" t="s">
        <v>19</v>
      </c>
      <c r="F8103" s="2" t="s">
        <v>1090</v>
      </c>
      <c r="G8103" s="1">
        <v>8.26</v>
      </c>
      <c r="H8103" s="1">
        <v>2</v>
      </c>
      <c r="I8103" s="1">
        <v>3.7995999999999999</v>
      </c>
    </row>
    <row r="8104" spans="1:9" x14ac:dyDescent="0.35">
      <c r="A8104" s="3" t="s">
        <v>3810</v>
      </c>
      <c r="B8104" s="1" t="s">
        <v>2924</v>
      </c>
      <c r="C8104" s="1" t="s">
        <v>17</v>
      </c>
      <c r="D8104" s="1" t="s">
        <v>18</v>
      </c>
      <c r="E8104" s="1" t="s">
        <v>338</v>
      </c>
      <c r="F8104" s="2" t="s">
        <v>1166</v>
      </c>
      <c r="G8104" s="1">
        <v>2973.32</v>
      </c>
      <c r="H8104" s="1">
        <v>7</v>
      </c>
      <c r="I8104" s="1">
        <v>334.49849999999998</v>
      </c>
    </row>
    <row r="8105" spans="1:9" x14ac:dyDescent="0.35">
      <c r="A8105" s="3" t="s">
        <v>3810</v>
      </c>
      <c r="B8105" s="1" t="s">
        <v>2924</v>
      </c>
      <c r="C8105" s="1" t="s">
        <v>17</v>
      </c>
      <c r="D8105" s="1" t="s">
        <v>18</v>
      </c>
      <c r="E8105" s="1" t="s">
        <v>26</v>
      </c>
      <c r="F8105" s="2" t="s">
        <v>615</v>
      </c>
      <c r="G8105" s="1">
        <v>104.79</v>
      </c>
      <c r="H8105" s="1">
        <v>7</v>
      </c>
      <c r="I8105" s="1">
        <v>29.341200000000001</v>
      </c>
    </row>
    <row r="8106" spans="1:9" x14ac:dyDescent="0.35">
      <c r="A8106" s="3" t="s">
        <v>3810</v>
      </c>
      <c r="B8106" s="1" t="s">
        <v>2924</v>
      </c>
      <c r="C8106" s="1" t="s">
        <v>17</v>
      </c>
      <c r="D8106" s="1" t="s">
        <v>18</v>
      </c>
      <c r="E8106" s="1" t="s">
        <v>33</v>
      </c>
      <c r="F8106" s="2" t="s">
        <v>568</v>
      </c>
      <c r="G8106" s="1">
        <v>775.72799999999995</v>
      </c>
      <c r="H8106" s="1">
        <v>6</v>
      </c>
      <c r="I8106" s="1">
        <v>58.179600000000001</v>
      </c>
    </row>
    <row r="8107" spans="1:9" x14ac:dyDescent="0.35">
      <c r="A8107" s="3" t="s">
        <v>3463</v>
      </c>
      <c r="B8107" s="1" t="s">
        <v>2717</v>
      </c>
      <c r="C8107" s="1" t="s">
        <v>93</v>
      </c>
      <c r="D8107" s="1" t="s">
        <v>52</v>
      </c>
      <c r="E8107" s="1" t="s">
        <v>12</v>
      </c>
      <c r="F8107" s="2" t="s">
        <v>764</v>
      </c>
      <c r="G8107" s="1">
        <v>89.066400000000002</v>
      </c>
      <c r="H8107" s="1">
        <v>1</v>
      </c>
      <c r="I8107" s="1">
        <v>-17.0274</v>
      </c>
    </row>
    <row r="8108" spans="1:9" x14ac:dyDescent="0.35">
      <c r="A8108" s="3" t="s">
        <v>3463</v>
      </c>
      <c r="B8108" s="1" t="s">
        <v>2717</v>
      </c>
      <c r="C8108" s="1" t="s">
        <v>93</v>
      </c>
      <c r="D8108" s="1" t="s">
        <v>52</v>
      </c>
      <c r="E8108" s="1" t="s">
        <v>31</v>
      </c>
      <c r="F8108" s="2" t="s">
        <v>3079</v>
      </c>
      <c r="G8108" s="1">
        <v>175.44</v>
      </c>
      <c r="H8108" s="1">
        <v>6</v>
      </c>
      <c r="I8108" s="1">
        <v>52.631999999999998</v>
      </c>
    </row>
    <row r="8109" spans="1:9" x14ac:dyDescent="0.35">
      <c r="A8109" s="3" t="s">
        <v>3463</v>
      </c>
      <c r="B8109" s="1" t="s">
        <v>2717</v>
      </c>
      <c r="C8109" s="1" t="s">
        <v>93</v>
      </c>
      <c r="D8109" s="1" t="s">
        <v>52</v>
      </c>
      <c r="E8109" s="1" t="s">
        <v>33</v>
      </c>
      <c r="F8109" s="2" t="s">
        <v>1804</v>
      </c>
      <c r="G8109" s="1">
        <v>438.33600000000001</v>
      </c>
      <c r="H8109" s="1">
        <v>4</v>
      </c>
      <c r="I8109" s="1">
        <v>-87.667199999999994</v>
      </c>
    </row>
    <row r="8110" spans="1:9" x14ac:dyDescent="0.35">
      <c r="A8110" s="3">
        <v>42959</v>
      </c>
      <c r="B8110" s="1" t="s">
        <v>1060</v>
      </c>
      <c r="C8110" s="1" t="s">
        <v>74</v>
      </c>
      <c r="D8110" s="1" t="s">
        <v>75</v>
      </c>
      <c r="E8110" s="1" t="s">
        <v>14</v>
      </c>
      <c r="F8110" s="2" t="s">
        <v>724</v>
      </c>
      <c r="G8110" s="1">
        <v>215.54400000000001</v>
      </c>
      <c r="H8110" s="1">
        <v>4</v>
      </c>
      <c r="I8110" s="1">
        <v>-58.504800000000003</v>
      </c>
    </row>
    <row r="8111" spans="1:9" x14ac:dyDescent="0.35">
      <c r="A8111" s="3" t="s">
        <v>3303</v>
      </c>
      <c r="B8111" s="1" t="s">
        <v>2576</v>
      </c>
      <c r="C8111" s="1" t="s">
        <v>154</v>
      </c>
      <c r="D8111" s="1" t="s">
        <v>106</v>
      </c>
      <c r="E8111" s="1" t="s">
        <v>87</v>
      </c>
      <c r="F8111" s="2" t="s">
        <v>2874</v>
      </c>
      <c r="G8111" s="1">
        <v>55.584000000000003</v>
      </c>
      <c r="H8111" s="1">
        <v>6</v>
      </c>
      <c r="I8111" s="1">
        <v>20.844000000000001</v>
      </c>
    </row>
    <row r="8112" spans="1:9" x14ac:dyDescent="0.35">
      <c r="A8112" s="3" t="s">
        <v>3303</v>
      </c>
      <c r="B8112" s="1" t="s">
        <v>2576</v>
      </c>
      <c r="C8112" s="1" t="s">
        <v>154</v>
      </c>
      <c r="D8112" s="1" t="s">
        <v>106</v>
      </c>
      <c r="E8112" s="1" t="s">
        <v>14</v>
      </c>
      <c r="F8112" s="2" t="s">
        <v>2417</v>
      </c>
      <c r="G8112" s="1">
        <v>127.386</v>
      </c>
      <c r="H8112" s="1">
        <v>2</v>
      </c>
      <c r="I8112" s="1">
        <v>-25.4772</v>
      </c>
    </row>
    <row r="8113" spans="1:9" x14ac:dyDescent="0.35">
      <c r="A8113" s="3">
        <v>42381</v>
      </c>
      <c r="B8113" s="1" t="s">
        <v>2244</v>
      </c>
      <c r="C8113" s="1" t="s">
        <v>2089</v>
      </c>
      <c r="D8113" s="1" t="s">
        <v>52</v>
      </c>
      <c r="E8113" s="1" t="s">
        <v>14</v>
      </c>
      <c r="F8113" s="2" t="s">
        <v>856</v>
      </c>
      <c r="G8113" s="1">
        <v>248.43</v>
      </c>
      <c r="H8113" s="1">
        <v>5</v>
      </c>
      <c r="I8113" s="1">
        <v>-17.745000000000001</v>
      </c>
    </row>
    <row r="8114" spans="1:9" x14ac:dyDescent="0.35">
      <c r="A8114" s="3">
        <v>42381</v>
      </c>
      <c r="B8114" s="1" t="s">
        <v>2244</v>
      </c>
      <c r="C8114" s="1" t="s">
        <v>2089</v>
      </c>
      <c r="D8114" s="1" t="s">
        <v>52</v>
      </c>
      <c r="E8114" s="1" t="s">
        <v>37</v>
      </c>
      <c r="F8114" s="2" t="s">
        <v>1572</v>
      </c>
      <c r="G8114" s="1">
        <v>11.648</v>
      </c>
      <c r="H8114" s="1">
        <v>4</v>
      </c>
      <c r="I8114" s="1">
        <v>-30.8672</v>
      </c>
    </row>
    <row r="8115" spans="1:9" x14ac:dyDescent="0.35">
      <c r="A8115" s="3">
        <v>42381</v>
      </c>
      <c r="B8115" s="1" t="s">
        <v>2244</v>
      </c>
      <c r="C8115" s="1" t="s">
        <v>2089</v>
      </c>
      <c r="D8115" s="1" t="s">
        <v>52</v>
      </c>
      <c r="E8115" s="1" t="s">
        <v>14</v>
      </c>
      <c r="F8115" s="2" t="s">
        <v>435</v>
      </c>
      <c r="G8115" s="1">
        <v>85.245999999999995</v>
      </c>
      <c r="H8115" s="1">
        <v>2</v>
      </c>
      <c r="I8115" s="1">
        <v>-1.2178</v>
      </c>
    </row>
    <row r="8116" spans="1:9" x14ac:dyDescent="0.35">
      <c r="A8116" s="3">
        <v>42804</v>
      </c>
      <c r="B8116" s="1" t="s">
        <v>1567</v>
      </c>
      <c r="C8116" s="1" t="s">
        <v>301</v>
      </c>
      <c r="D8116" s="1" t="s">
        <v>52</v>
      </c>
      <c r="E8116" s="1" t="s">
        <v>31</v>
      </c>
      <c r="F8116" s="2" t="s">
        <v>1545</v>
      </c>
      <c r="G8116" s="1">
        <v>20.64</v>
      </c>
      <c r="H8116" s="1">
        <v>5</v>
      </c>
      <c r="I8116" s="1">
        <v>2.3220000000000001</v>
      </c>
    </row>
    <row r="8117" spans="1:9" x14ac:dyDescent="0.35">
      <c r="A8117" s="3" t="s">
        <v>3521</v>
      </c>
      <c r="B8117" s="1" t="s">
        <v>1648</v>
      </c>
      <c r="C8117" s="1" t="s">
        <v>17</v>
      </c>
      <c r="D8117" s="1" t="s">
        <v>18</v>
      </c>
      <c r="E8117" s="1" t="s">
        <v>29</v>
      </c>
      <c r="F8117" s="2" t="s">
        <v>3050</v>
      </c>
      <c r="G8117" s="1">
        <v>148.02000000000001</v>
      </c>
      <c r="H8117" s="1">
        <v>3</v>
      </c>
      <c r="I8117" s="1">
        <v>41.445599999999999</v>
      </c>
    </row>
    <row r="8118" spans="1:9" x14ac:dyDescent="0.35">
      <c r="A8118" s="3" t="s">
        <v>3207</v>
      </c>
      <c r="B8118" s="1" t="s">
        <v>1496</v>
      </c>
      <c r="C8118" s="1" t="s">
        <v>3054</v>
      </c>
      <c r="D8118" s="1" t="s">
        <v>1891</v>
      </c>
      <c r="E8118" s="1" t="s">
        <v>26</v>
      </c>
      <c r="F8118" s="2" t="s">
        <v>2144</v>
      </c>
      <c r="G8118" s="1">
        <v>33.29</v>
      </c>
      <c r="H8118" s="1">
        <v>1</v>
      </c>
      <c r="I8118" s="1">
        <v>7.9896000000000003</v>
      </c>
    </row>
    <row r="8119" spans="1:9" x14ac:dyDescent="0.35">
      <c r="A8119" s="3" t="s">
        <v>3206</v>
      </c>
      <c r="B8119" s="1" t="s">
        <v>2258</v>
      </c>
      <c r="C8119" s="1" t="s">
        <v>17</v>
      </c>
      <c r="D8119" s="1" t="s">
        <v>18</v>
      </c>
      <c r="E8119" s="1" t="s">
        <v>44</v>
      </c>
      <c r="F8119" s="2" t="s">
        <v>1879</v>
      </c>
      <c r="G8119" s="1">
        <v>204.95</v>
      </c>
      <c r="H8119" s="1">
        <v>5</v>
      </c>
      <c r="I8119" s="1">
        <v>100.4255</v>
      </c>
    </row>
    <row r="8120" spans="1:9" x14ac:dyDescent="0.35">
      <c r="A8120" s="3" t="s">
        <v>3349</v>
      </c>
      <c r="B8120" s="1" t="s">
        <v>1833</v>
      </c>
      <c r="C8120" s="1" t="s">
        <v>154</v>
      </c>
      <c r="D8120" s="1" t="s">
        <v>106</v>
      </c>
      <c r="E8120" s="1" t="s">
        <v>14</v>
      </c>
      <c r="F8120" s="2" t="s">
        <v>891</v>
      </c>
      <c r="G8120" s="1">
        <v>526.34400000000005</v>
      </c>
      <c r="H8120" s="1">
        <v>4</v>
      </c>
      <c r="I8120" s="1">
        <v>-75.191999999999993</v>
      </c>
    </row>
    <row r="8121" spans="1:9" x14ac:dyDescent="0.35">
      <c r="A8121" s="3">
        <v>42685</v>
      </c>
      <c r="B8121" s="1" t="s">
        <v>879</v>
      </c>
      <c r="C8121" s="1" t="s">
        <v>64</v>
      </c>
      <c r="D8121" s="1" t="s">
        <v>18</v>
      </c>
      <c r="E8121" s="1" t="s">
        <v>29</v>
      </c>
      <c r="F8121" s="2" t="s">
        <v>242</v>
      </c>
      <c r="G8121" s="1">
        <v>41.96</v>
      </c>
      <c r="H8121" s="1">
        <v>2</v>
      </c>
      <c r="I8121" s="1">
        <v>10.909599999999999</v>
      </c>
    </row>
    <row r="8122" spans="1:9" x14ac:dyDescent="0.35">
      <c r="A8122" s="3">
        <v>42685</v>
      </c>
      <c r="B8122" s="1" t="s">
        <v>879</v>
      </c>
      <c r="C8122" s="1" t="s">
        <v>64</v>
      </c>
      <c r="D8122" s="1" t="s">
        <v>18</v>
      </c>
      <c r="E8122" s="1" t="s">
        <v>14</v>
      </c>
      <c r="F8122" s="2" t="s">
        <v>891</v>
      </c>
      <c r="G8122" s="1">
        <v>451.15199999999999</v>
      </c>
      <c r="H8122" s="1">
        <v>3</v>
      </c>
      <c r="I8122" s="1">
        <v>0</v>
      </c>
    </row>
    <row r="8123" spans="1:9" x14ac:dyDescent="0.35">
      <c r="A8123" s="3">
        <v>42685</v>
      </c>
      <c r="B8123" s="1" t="s">
        <v>879</v>
      </c>
      <c r="C8123" s="1" t="s">
        <v>64</v>
      </c>
      <c r="D8123" s="1" t="s">
        <v>18</v>
      </c>
      <c r="E8123" s="1" t="s">
        <v>35</v>
      </c>
      <c r="F8123" s="2" t="s">
        <v>369</v>
      </c>
      <c r="G8123" s="1">
        <v>31.504000000000001</v>
      </c>
      <c r="H8123" s="1">
        <v>11</v>
      </c>
      <c r="I8123" s="1">
        <v>11.026400000000001</v>
      </c>
    </row>
    <row r="8124" spans="1:9" x14ac:dyDescent="0.35">
      <c r="A8124" s="3">
        <v>41894</v>
      </c>
      <c r="B8124" s="1" t="s">
        <v>885</v>
      </c>
      <c r="C8124" s="1" t="s">
        <v>74</v>
      </c>
      <c r="D8124" s="1" t="s">
        <v>75</v>
      </c>
      <c r="E8124" s="1" t="s">
        <v>87</v>
      </c>
      <c r="F8124" s="2" t="s">
        <v>264</v>
      </c>
      <c r="G8124" s="1">
        <v>30.672000000000001</v>
      </c>
      <c r="H8124" s="1">
        <v>3</v>
      </c>
      <c r="I8124" s="1">
        <v>9.5850000000000009</v>
      </c>
    </row>
    <row r="8125" spans="1:9" x14ac:dyDescent="0.35">
      <c r="A8125" s="3">
        <v>41894</v>
      </c>
      <c r="B8125" s="1" t="s">
        <v>885</v>
      </c>
      <c r="C8125" s="1" t="s">
        <v>74</v>
      </c>
      <c r="D8125" s="1" t="s">
        <v>75</v>
      </c>
      <c r="E8125" s="1" t="s">
        <v>579</v>
      </c>
      <c r="F8125" s="2" t="s">
        <v>1809</v>
      </c>
      <c r="G8125" s="1">
        <v>1079.9760000000001</v>
      </c>
      <c r="H8125" s="1">
        <v>4</v>
      </c>
      <c r="I8125" s="1">
        <v>125.99720000000001</v>
      </c>
    </row>
    <row r="8126" spans="1:9" x14ac:dyDescent="0.35">
      <c r="A8126" s="3">
        <v>42925</v>
      </c>
      <c r="B8126" s="1" t="s">
        <v>1279</v>
      </c>
      <c r="C8126" s="1" t="s">
        <v>3053</v>
      </c>
      <c r="D8126" s="1" t="s">
        <v>18</v>
      </c>
      <c r="E8126" s="1" t="s">
        <v>14</v>
      </c>
      <c r="F8126" s="2" t="s">
        <v>434</v>
      </c>
      <c r="G8126" s="1">
        <v>161.56800000000001</v>
      </c>
      <c r="H8126" s="1">
        <v>2</v>
      </c>
      <c r="I8126" s="1">
        <v>-28.2744</v>
      </c>
    </row>
    <row r="8127" spans="1:9" x14ac:dyDescent="0.35">
      <c r="A8127" s="3">
        <v>42157</v>
      </c>
      <c r="B8127" s="1" t="s">
        <v>2965</v>
      </c>
      <c r="C8127" s="1" t="s">
        <v>93</v>
      </c>
      <c r="D8127" s="1" t="s">
        <v>52</v>
      </c>
      <c r="E8127" s="1" t="s">
        <v>35</v>
      </c>
      <c r="F8127" s="2" t="s">
        <v>1317</v>
      </c>
      <c r="G8127" s="1">
        <v>2.9340000000000002</v>
      </c>
      <c r="H8127" s="1">
        <v>3</v>
      </c>
      <c r="I8127" s="1">
        <v>-4.9878</v>
      </c>
    </row>
    <row r="8128" spans="1:9" x14ac:dyDescent="0.35">
      <c r="A8128" s="3">
        <v>42157</v>
      </c>
      <c r="B8128" s="1" t="s">
        <v>2965</v>
      </c>
      <c r="C8128" s="1" t="s">
        <v>93</v>
      </c>
      <c r="D8128" s="1" t="s">
        <v>52</v>
      </c>
      <c r="E8128" s="1" t="s">
        <v>81</v>
      </c>
      <c r="F8128" s="2" t="s">
        <v>235</v>
      </c>
      <c r="G8128" s="1">
        <v>18.527999999999999</v>
      </c>
      <c r="H8128" s="1">
        <v>2</v>
      </c>
      <c r="I8128" s="1">
        <v>4.4004000000000003</v>
      </c>
    </row>
    <row r="8129" spans="1:9" x14ac:dyDescent="0.35">
      <c r="A8129" s="3">
        <v>42157</v>
      </c>
      <c r="B8129" s="1" t="s">
        <v>2965</v>
      </c>
      <c r="C8129" s="1" t="s">
        <v>93</v>
      </c>
      <c r="D8129" s="1" t="s">
        <v>52</v>
      </c>
      <c r="E8129" s="1" t="s">
        <v>26</v>
      </c>
      <c r="F8129" s="2" t="s">
        <v>2254</v>
      </c>
      <c r="G8129" s="1">
        <v>670.75199999999995</v>
      </c>
      <c r="H8129" s="1">
        <v>3</v>
      </c>
      <c r="I8129" s="1">
        <v>-125.76600000000001</v>
      </c>
    </row>
    <row r="8130" spans="1:9" x14ac:dyDescent="0.35">
      <c r="A8130" s="3" t="s">
        <v>3241</v>
      </c>
      <c r="B8130" s="1" t="s">
        <v>127</v>
      </c>
      <c r="C8130" s="1" t="s">
        <v>154</v>
      </c>
      <c r="D8130" s="1" t="s">
        <v>106</v>
      </c>
      <c r="E8130" s="1" t="s">
        <v>29</v>
      </c>
      <c r="F8130" s="2" t="s">
        <v>1053</v>
      </c>
      <c r="G8130" s="1">
        <v>64.959999999999994</v>
      </c>
      <c r="H8130" s="1">
        <v>5</v>
      </c>
      <c r="I8130" s="1">
        <v>-43.847999999999999</v>
      </c>
    </row>
    <row r="8131" spans="1:9" x14ac:dyDescent="0.35">
      <c r="A8131" s="3" t="s">
        <v>3331</v>
      </c>
      <c r="B8131" s="1" t="s">
        <v>291</v>
      </c>
      <c r="C8131" s="1" t="s">
        <v>1263</v>
      </c>
      <c r="D8131" s="1" t="s">
        <v>18</v>
      </c>
      <c r="E8131" s="1" t="s">
        <v>81</v>
      </c>
      <c r="F8131" s="2" t="s">
        <v>1537</v>
      </c>
      <c r="G8131" s="1">
        <v>41.94</v>
      </c>
      <c r="H8131" s="1">
        <v>2</v>
      </c>
      <c r="I8131" s="1">
        <v>15.0984</v>
      </c>
    </row>
    <row r="8132" spans="1:9" x14ac:dyDescent="0.35">
      <c r="A8132" s="3" t="s">
        <v>3331</v>
      </c>
      <c r="B8132" s="1" t="s">
        <v>291</v>
      </c>
      <c r="C8132" s="1" t="s">
        <v>1263</v>
      </c>
      <c r="D8132" s="1" t="s">
        <v>18</v>
      </c>
      <c r="E8132" s="1" t="s">
        <v>44</v>
      </c>
      <c r="F8132" s="2" t="s">
        <v>2151</v>
      </c>
      <c r="G8132" s="1">
        <v>11.96</v>
      </c>
      <c r="H8132" s="1">
        <v>2</v>
      </c>
      <c r="I8132" s="1">
        <v>5.8604000000000003</v>
      </c>
    </row>
    <row r="8133" spans="1:9" x14ac:dyDescent="0.35">
      <c r="A8133" s="3" t="s">
        <v>3331</v>
      </c>
      <c r="B8133" s="1" t="s">
        <v>291</v>
      </c>
      <c r="C8133" s="1" t="s">
        <v>1263</v>
      </c>
      <c r="D8133" s="1" t="s">
        <v>18</v>
      </c>
      <c r="E8133" s="1" t="s">
        <v>31</v>
      </c>
      <c r="F8133" s="2" t="s">
        <v>2677</v>
      </c>
      <c r="G8133" s="1">
        <v>13.12</v>
      </c>
      <c r="H8133" s="1">
        <v>4</v>
      </c>
      <c r="I8133" s="1">
        <v>3.8048000000000002</v>
      </c>
    </row>
    <row r="8134" spans="1:9" x14ac:dyDescent="0.35">
      <c r="A8134" s="3" t="s">
        <v>3331</v>
      </c>
      <c r="B8134" s="1" t="s">
        <v>291</v>
      </c>
      <c r="C8134" s="1" t="s">
        <v>1263</v>
      </c>
      <c r="D8134" s="1" t="s">
        <v>18</v>
      </c>
      <c r="E8134" s="1" t="s">
        <v>26</v>
      </c>
      <c r="F8134" s="2" t="s">
        <v>925</v>
      </c>
      <c r="G8134" s="1">
        <v>535.41</v>
      </c>
      <c r="H8134" s="1">
        <v>3</v>
      </c>
      <c r="I8134" s="1">
        <v>160.62299999999999</v>
      </c>
    </row>
    <row r="8135" spans="1:9" x14ac:dyDescent="0.35">
      <c r="A8135" s="3">
        <v>42226</v>
      </c>
      <c r="B8135" s="1" t="s">
        <v>95</v>
      </c>
      <c r="C8135" s="1" t="s">
        <v>399</v>
      </c>
      <c r="D8135" s="1" t="s">
        <v>52</v>
      </c>
      <c r="E8135" s="1" t="s">
        <v>29</v>
      </c>
      <c r="F8135" s="2" t="s">
        <v>173</v>
      </c>
      <c r="G8135" s="1">
        <v>72.78</v>
      </c>
      <c r="H8135" s="1">
        <v>3</v>
      </c>
      <c r="I8135" s="1">
        <v>-70.960499999999996</v>
      </c>
    </row>
    <row r="8136" spans="1:9" x14ac:dyDescent="0.35">
      <c r="A8136" s="3" t="s">
        <v>3744</v>
      </c>
      <c r="B8136" s="1" t="s">
        <v>1309</v>
      </c>
      <c r="C8136" s="1" t="s">
        <v>17</v>
      </c>
      <c r="D8136" s="1" t="s">
        <v>18</v>
      </c>
      <c r="E8136" s="1" t="s">
        <v>44</v>
      </c>
      <c r="F8136" s="2" t="s">
        <v>595</v>
      </c>
      <c r="G8136" s="1">
        <v>36.840000000000003</v>
      </c>
      <c r="H8136" s="1">
        <v>3</v>
      </c>
      <c r="I8136" s="1">
        <v>17.314800000000002</v>
      </c>
    </row>
    <row r="8137" spans="1:9" x14ac:dyDescent="0.35">
      <c r="A8137" s="3" t="s">
        <v>3744</v>
      </c>
      <c r="B8137" s="1" t="s">
        <v>1309</v>
      </c>
      <c r="C8137" s="1" t="s">
        <v>17</v>
      </c>
      <c r="D8137" s="1" t="s">
        <v>18</v>
      </c>
      <c r="E8137" s="1" t="s">
        <v>19</v>
      </c>
      <c r="F8137" s="2" t="s">
        <v>131</v>
      </c>
      <c r="G8137" s="1">
        <v>87.71</v>
      </c>
      <c r="H8137" s="1">
        <v>7</v>
      </c>
      <c r="I8137" s="1">
        <v>41.223700000000001</v>
      </c>
    </row>
    <row r="8138" spans="1:9" x14ac:dyDescent="0.35">
      <c r="A8138" s="3">
        <v>42712</v>
      </c>
      <c r="B8138" s="1" t="s">
        <v>2549</v>
      </c>
      <c r="C8138" s="1" t="s">
        <v>835</v>
      </c>
      <c r="D8138" s="1" t="s">
        <v>23</v>
      </c>
      <c r="E8138" s="1" t="s">
        <v>24</v>
      </c>
      <c r="F8138" s="2" t="s">
        <v>530</v>
      </c>
      <c r="G8138" s="1">
        <v>562.29250000000002</v>
      </c>
      <c r="H8138" s="1">
        <v>7</v>
      </c>
      <c r="I8138" s="1">
        <v>-255.58750000000001</v>
      </c>
    </row>
    <row r="8139" spans="1:9" x14ac:dyDescent="0.35">
      <c r="A8139" s="3">
        <v>41893</v>
      </c>
      <c r="B8139" s="1" t="s">
        <v>2466</v>
      </c>
      <c r="C8139" s="1" t="s">
        <v>135</v>
      </c>
      <c r="D8139" s="1" t="s">
        <v>136</v>
      </c>
      <c r="E8139" s="1" t="s">
        <v>29</v>
      </c>
      <c r="F8139" s="2" t="s">
        <v>1630</v>
      </c>
      <c r="G8139" s="1">
        <v>56.52</v>
      </c>
      <c r="H8139" s="1">
        <v>9</v>
      </c>
      <c r="I8139" s="1">
        <v>21.477599999999999</v>
      </c>
    </row>
    <row r="8140" spans="1:9" x14ac:dyDescent="0.35">
      <c r="A8140" s="3" t="s">
        <v>3428</v>
      </c>
      <c r="B8140" s="1" t="s">
        <v>318</v>
      </c>
      <c r="C8140" s="1" t="s">
        <v>74</v>
      </c>
      <c r="D8140" s="1" t="s">
        <v>75</v>
      </c>
      <c r="E8140" s="1" t="s">
        <v>31</v>
      </c>
      <c r="F8140" s="2" t="s">
        <v>1404</v>
      </c>
      <c r="G8140" s="1">
        <v>11.263999999999999</v>
      </c>
      <c r="H8140" s="1">
        <v>8</v>
      </c>
      <c r="I8140" s="1">
        <v>1.2672000000000001</v>
      </c>
    </row>
    <row r="8141" spans="1:9" x14ac:dyDescent="0.35">
      <c r="A8141" s="3" t="s">
        <v>3428</v>
      </c>
      <c r="B8141" s="1" t="s">
        <v>318</v>
      </c>
      <c r="C8141" s="1" t="s">
        <v>74</v>
      </c>
      <c r="D8141" s="1" t="s">
        <v>75</v>
      </c>
      <c r="E8141" s="1" t="s">
        <v>26</v>
      </c>
      <c r="F8141" s="2" t="s">
        <v>1425</v>
      </c>
      <c r="G8141" s="1">
        <v>284.08</v>
      </c>
      <c r="H8141" s="1">
        <v>10</v>
      </c>
      <c r="I8141" s="1">
        <v>24.856999999999999</v>
      </c>
    </row>
    <row r="8142" spans="1:9" x14ac:dyDescent="0.35">
      <c r="A8142" s="3" t="s">
        <v>3428</v>
      </c>
      <c r="B8142" s="1" t="s">
        <v>318</v>
      </c>
      <c r="C8142" s="1" t="s">
        <v>74</v>
      </c>
      <c r="D8142" s="1" t="s">
        <v>75</v>
      </c>
      <c r="E8142" s="1" t="s">
        <v>44</v>
      </c>
      <c r="F8142" s="2" t="s">
        <v>1074</v>
      </c>
      <c r="G8142" s="1">
        <v>18.495999999999999</v>
      </c>
      <c r="H8142" s="1">
        <v>4</v>
      </c>
      <c r="I8142" s="1">
        <v>6.7047999999999996</v>
      </c>
    </row>
    <row r="8143" spans="1:9" x14ac:dyDescent="0.35">
      <c r="A8143" s="3">
        <v>42492</v>
      </c>
      <c r="B8143" s="1" t="s">
        <v>2217</v>
      </c>
      <c r="C8143" s="1" t="s">
        <v>461</v>
      </c>
      <c r="D8143" s="1" t="s">
        <v>18</v>
      </c>
      <c r="E8143" s="1" t="s">
        <v>19</v>
      </c>
      <c r="F8143" s="2" t="s">
        <v>1071</v>
      </c>
      <c r="G8143" s="1">
        <v>14.73</v>
      </c>
      <c r="H8143" s="1">
        <v>3</v>
      </c>
      <c r="I8143" s="1">
        <v>7.2176999999999998</v>
      </c>
    </row>
    <row r="8144" spans="1:9" x14ac:dyDescent="0.35">
      <c r="A8144" s="3">
        <v>42492</v>
      </c>
      <c r="B8144" s="1" t="s">
        <v>2217</v>
      </c>
      <c r="C8144" s="1" t="s">
        <v>461</v>
      </c>
      <c r="D8144" s="1" t="s">
        <v>18</v>
      </c>
      <c r="E8144" s="1" t="s">
        <v>26</v>
      </c>
      <c r="F8144" s="2" t="s">
        <v>1400</v>
      </c>
      <c r="G8144" s="1">
        <v>186.54</v>
      </c>
      <c r="H8144" s="1">
        <v>3</v>
      </c>
      <c r="I8144" s="1">
        <v>50.3658</v>
      </c>
    </row>
    <row r="8145" spans="1:9" x14ac:dyDescent="0.35">
      <c r="A8145" s="3">
        <v>42492</v>
      </c>
      <c r="B8145" s="1" t="s">
        <v>2217</v>
      </c>
      <c r="C8145" s="1" t="s">
        <v>461</v>
      </c>
      <c r="D8145" s="1" t="s">
        <v>18</v>
      </c>
      <c r="E8145" s="1" t="s">
        <v>24</v>
      </c>
      <c r="F8145" s="2" t="s">
        <v>1086</v>
      </c>
      <c r="G8145" s="1">
        <v>557.72799999999995</v>
      </c>
      <c r="H8145" s="1">
        <v>4</v>
      </c>
      <c r="I8145" s="1">
        <v>6.9715999999999996</v>
      </c>
    </row>
    <row r="8146" spans="1:9" x14ac:dyDescent="0.35">
      <c r="A8146" s="3">
        <v>42492</v>
      </c>
      <c r="B8146" s="1" t="s">
        <v>2217</v>
      </c>
      <c r="C8146" s="1" t="s">
        <v>461</v>
      </c>
      <c r="D8146" s="1" t="s">
        <v>18</v>
      </c>
      <c r="E8146" s="1" t="s">
        <v>33</v>
      </c>
      <c r="F8146" s="2" t="s">
        <v>308</v>
      </c>
      <c r="G8146" s="1">
        <v>159.96799999999999</v>
      </c>
      <c r="H8146" s="1">
        <v>4</v>
      </c>
      <c r="I8146" s="1">
        <v>-31.993600000000001</v>
      </c>
    </row>
    <row r="8147" spans="1:9" x14ac:dyDescent="0.35">
      <c r="A8147" s="3" t="s">
        <v>3407</v>
      </c>
      <c r="B8147" s="1" t="s">
        <v>1704</v>
      </c>
      <c r="C8147" s="1" t="s">
        <v>2775</v>
      </c>
      <c r="D8147" s="1" t="s">
        <v>322</v>
      </c>
      <c r="E8147" s="1" t="s">
        <v>37</v>
      </c>
      <c r="F8147" s="2" t="s">
        <v>1922</v>
      </c>
      <c r="G8147" s="1">
        <v>471.9</v>
      </c>
      <c r="H8147" s="1">
        <v>6</v>
      </c>
      <c r="I8147" s="1">
        <v>155.727</v>
      </c>
    </row>
    <row r="8148" spans="1:9" x14ac:dyDescent="0.35">
      <c r="A8148" s="3" t="s">
        <v>3407</v>
      </c>
      <c r="B8148" s="1" t="s">
        <v>1704</v>
      </c>
      <c r="C8148" s="1" t="s">
        <v>2775</v>
      </c>
      <c r="D8148" s="1" t="s">
        <v>322</v>
      </c>
      <c r="E8148" s="1" t="s">
        <v>31</v>
      </c>
      <c r="F8148" s="2" t="s">
        <v>2111</v>
      </c>
      <c r="G8148" s="1">
        <v>3.52</v>
      </c>
      <c r="H8148" s="1">
        <v>2</v>
      </c>
      <c r="I8148" s="1">
        <v>1.6896</v>
      </c>
    </row>
    <row r="8149" spans="1:9" x14ac:dyDescent="0.35">
      <c r="A8149" s="3">
        <v>42984</v>
      </c>
      <c r="B8149" s="1" t="s">
        <v>667</v>
      </c>
      <c r="C8149" s="1" t="s">
        <v>909</v>
      </c>
      <c r="D8149" s="1" t="s">
        <v>163</v>
      </c>
      <c r="E8149" s="1" t="s">
        <v>44</v>
      </c>
      <c r="F8149" s="2" t="s">
        <v>94</v>
      </c>
      <c r="G8149" s="1">
        <v>49.12</v>
      </c>
      <c r="H8149" s="1">
        <v>4</v>
      </c>
      <c r="I8149" s="1">
        <v>23.086400000000001</v>
      </c>
    </row>
    <row r="8150" spans="1:9" x14ac:dyDescent="0.35">
      <c r="A8150" s="3" t="s">
        <v>3271</v>
      </c>
      <c r="B8150" s="1" t="s">
        <v>2421</v>
      </c>
      <c r="C8150" s="1" t="s">
        <v>1144</v>
      </c>
      <c r="D8150" s="1" t="s">
        <v>18</v>
      </c>
      <c r="E8150" s="1" t="s">
        <v>19</v>
      </c>
      <c r="F8150" s="2" t="s">
        <v>1287</v>
      </c>
      <c r="G8150" s="1">
        <v>20.16</v>
      </c>
      <c r="H8150" s="1">
        <v>7</v>
      </c>
      <c r="I8150" s="1">
        <v>9.8783999999999992</v>
      </c>
    </row>
    <row r="8151" spans="1:9" x14ac:dyDescent="0.35">
      <c r="A8151" s="3" t="s">
        <v>3205</v>
      </c>
      <c r="B8151" s="1" t="s">
        <v>2389</v>
      </c>
      <c r="C8151" s="1" t="s">
        <v>3080</v>
      </c>
      <c r="D8151" s="1" t="s">
        <v>2162</v>
      </c>
      <c r="E8151" s="1" t="s">
        <v>35</v>
      </c>
      <c r="F8151" s="2" t="s">
        <v>1598</v>
      </c>
      <c r="G8151" s="1">
        <v>10.68</v>
      </c>
      <c r="H8151" s="1">
        <v>2</v>
      </c>
      <c r="I8151" s="1">
        <v>5.0195999999999996</v>
      </c>
    </row>
    <row r="8152" spans="1:9" x14ac:dyDescent="0.35">
      <c r="A8152" s="3" t="s">
        <v>3205</v>
      </c>
      <c r="B8152" s="1" t="s">
        <v>2389</v>
      </c>
      <c r="C8152" s="1" t="s">
        <v>3080</v>
      </c>
      <c r="D8152" s="1" t="s">
        <v>2162</v>
      </c>
      <c r="E8152" s="1" t="s">
        <v>12</v>
      </c>
      <c r="F8152" s="2" t="s">
        <v>1111</v>
      </c>
      <c r="G8152" s="1">
        <v>141.96</v>
      </c>
      <c r="H8152" s="1">
        <v>2</v>
      </c>
      <c r="I8152" s="1">
        <v>39.748800000000003</v>
      </c>
    </row>
    <row r="8153" spans="1:9" x14ac:dyDescent="0.35">
      <c r="A8153" s="3" t="s">
        <v>3269</v>
      </c>
      <c r="B8153" s="1" t="s">
        <v>733</v>
      </c>
      <c r="C8153" s="1" t="s">
        <v>47</v>
      </c>
      <c r="D8153" s="1" t="s">
        <v>48</v>
      </c>
      <c r="E8153" s="1" t="s">
        <v>26</v>
      </c>
      <c r="F8153" s="2" t="s">
        <v>1246</v>
      </c>
      <c r="G8153" s="1">
        <v>32.479999999999997</v>
      </c>
      <c r="H8153" s="1">
        <v>2</v>
      </c>
      <c r="I8153" s="1">
        <v>4.8719999999999999</v>
      </c>
    </row>
    <row r="8154" spans="1:9" x14ac:dyDescent="0.35">
      <c r="A8154" s="3" t="s">
        <v>3269</v>
      </c>
      <c r="B8154" s="1" t="s">
        <v>733</v>
      </c>
      <c r="C8154" s="1" t="s">
        <v>47</v>
      </c>
      <c r="D8154" s="1" t="s">
        <v>48</v>
      </c>
      <c r="E8154" s="1" t="s">
        <v>44</v>
      </c>
      <c r="F8154" s="2" t="s">
        <v>865</v>
      </c>
      <c r="G8154" s="1">
        <v>20.04</v>
      </c>
      <c r="H8154" s="1">
        <v>3</v>
      </c>
      <c r="I8154" s="1">
        <v>9.6191999999999993</v>
      </c>
    </row>
    <row r="8155" spans="1:9" x14ac:dyDescent="0.35">
      <c r="A8155" s="3" t="s">
        <v>3269</v>
      </c>
      <c r="B8155" s="1" t="s">
        <v>733</v>
      </c>
      <c r="C8155" s="1" t="s">
        <v>47</v>
      </c>
      <c r="D8155" s="1" t="s">
        <v>48</v>
      </c>
      <c r="E8155" s="1" t="s">
        <v>579</v>
      </c>
      <c r="F8155" s="2" t="s">
        <v>2301</v>
      </c>
      <c r="G8155" s="1">
        <v>13999.96</v>
      </c>
      <c r="H8155" s="1">
        <v>4</v>
      </c>
      <c r="I8155" s="1">
        <v>6719.9808000000003</v>
      </c>
    </row>
    <row r="8156" spans="1:9" x14ac:dyDescent="0.35">
      <c r="A8156" s="3" t="s">
        <v>3811</v>
      </c>
      <c r="B8156" s="1" t="s">
        <v>2748</v>
      </c>
      <c r="C8156" s="1" t="s">
        <v>1584</v>
      </c>
      <c r="D8156" s="1" t="s">
        <v>368</v>
      </c>
      <c r="E8156" s="1" t="s">
        <v>81</v>
      </c>
      <c r="F8156" s="2" t="s">
        <v>1987</v>
      </c>
      <c r="G8156" s="1">
        <v>238</v>
      </c>
      <c r="H8156" s="1">
        <v>2</v>
      </c>
      <c r="I8156" s="1">
        <v>38.08</v>
      </c>
    </row>
    <row r="8157" spans="1:9" x14ac:dyDescent="0.35">
      <c r="A8157" s="3" t="s">
        <v>3811</v>
      </c>
      <c r="B8157" s="1" t="s">
        <v>2748</v>
      </c>
      <c r="C8157" s="1" t="s">
        <v>1584</v>
      </c>
      <c r="D8157" s="1" t="s">
        <v>368</v>
      </c>
      <c r="E8157" s="1" t="s">
        <v>44</v>
      </c>
      <c r="F8157" s="2" t="s">
        <v>1729</v>
      </c>
      <c r="G8157" s="1">
        <v>61.96</v>
      </c>
      <c r="H8157" s="1">
        <v>2</v>
      </c>
      <c r="I8157" s="1">
        <v>27.882000000000001</v>
      </c>
    </row>
    <row r="8158" spans="1:9" x14ac:dyDescent="0.35">
      <c r="A8158" s="3">
        <v>42470</v>
      </c>
      <c r="B8158" s="1" t="s">
        <v>913</v>
      </c>
      <c r="C8158" s="1" t="s">
        <v>1875</v>
      </c>
      <c r="D8158" s="1" t="s">
        <v>1217</v>
      </c>
      <c r="E8158" s="1" t="s">
        <v>24</v>
      </c>
      <c r="F8158" s="2" t="s">
        <v>1638</v>
      </c>
      <c r="G8158" s="1">
        <v>239.37200000000001</v>
      </c>
      <c r="H8158" s="1">
        <v>2</v>
      </c>
      <c r="I8158" s="1">
        <v>-23.937200000000001</v>
      </c>
    </row>
    <row r="8159" spans="1:9" x14ac:dyDescent="0.35">
      <c r="A8159" s="3" t="s">
        <v>3182</v>
      </c>
      <c r="B8159" s="1" t="s">
        <v>1155</v>
      </c>
      <c r="C8159" s="1" t="s">
        <v>461</v>
      </c>
      <c r="D8159" s="1" t="s">
        <v>18</v>
      </c>
      <c r="E8159" s="1" t="s">
        <v>81</v>
      </c>
      <c r="F8159" s="2" t="s">
        <v>1987</v>
      </c>
      <c r="G8159" s="1">
        <v>595</v>
      </c>
      <c r="H8159" s="1">
        <v>5</v>
      </c>
      <c r="I8159" s="1">
        <v>95.2</v>
      </c>
    </row>
    <row r="8160" spans="1:9" x14ac:dyDescent="0.35">
      <c r="A8160" s="3" t="s">
        <v>3451</v>
      </c>
      <c r="B8160" s="1" t="s">
        <v>841</v>
      </c>
      <c r="C8160" s="1" t="s">
        <v>2627</v>
      </c>
      <c r="D8160" s="1" t="s">
        <v>52</v>
      </c>
      <c r="E8160" s="1" t="s">
        <v>44</v>
      </c>
      <c r="F8160" s="2" t="s">
        <v>2130</v>
      </c>
      <c r="G8160" s="1">
        <v>16.032</v>
      </c>
      <c r="H8160" s="1">
        <v>3</v>
      </c>
      <c r="I8160" s="1">
        <v>5.6112000000000002</v>
      </c>
    </row>
    <row r="8161" spans="1:9" x14ac:dyDescent="0.35">
      <c r="A8161" s="3">
        <v>42616</v>
      </c>
      <c r="B8161" s="1" t="s">
        <v>221</v>
      </c>
      <c r="C8161" s="1" t="s">
        <v>2936</v>
      </c>
      <c r="D8161" s="1" t="s">
        <v>368</v>
      </c>
      <c r="E8161" s="1" t="s">
        <v>81</v>
      </c>
      <c r="F8161" s="2" t="s">
        <v>479</v>
      </c>
      <c r="G8161" s="1">
        <v>199.75</v>
      </c>
      <c r="H8161" s="1">
        <v>5</v>
      </c>
      <c r="I8161" s="1">
        <v>87.89</v>
      </c>
    </row>
    <row r="8162" spans="1:9" x14ac:dyDescent="0.35">
      <c r="A8162" s="3" t="s">
        <v>3812</v>
      </c>
      <c r="B8162" s="1" t="s">
        <v>1708</v>
      </c>
      <c r="C8162" s="1" t="s">
        <v>524</v>
      </c>
      <c r="D8162" s="1" t="s">
        <v>388</v>
      </c>
      <c r="E8162" s="1" t="s">
        <v>14</v>
      </c>
      <c r="F8162" s="2" t="s">
        <v>2929</v>
      </c>
      <c r="G8162" s="1">
        <v>227.96</v>
      </c>
      <c r="H8162" s="1">
        <v>2</v>
      </c>
      <c r="I8162" s="1">
        <v>36.473599999999998</v>
      </c>
    </row>
    <row r="8163" spans="1:9" x14ac:dyDescent="0.35">
      <c r="A8163" s="3" t="s">
        <v>3599</v>
      </c>
      <c r="B8163" s="1" t="s">
        <v>1343</v>
      </c>
      <c r="C8163" s="1" t="s">
        <v>135</v>
      </c>
      <c r="D8163" s="1" t="s">
        <v>136</v>
      </c>
      <c r="E8163" s="1" t="s">
        <v>37</v>
      </c>
      <c r="F8163" s="2" t="s">
        <v>754</v>
      </c>
      <c r="G8163" s="1">
        <v>293.52</v>
      </c>
      <c r="H8163" s="1">
        <v>6</v>
      </c>
      <c r="I8163" s="1">
        <v>76.315200000000004</v>
      </c>
    </row>
    <row r="8164" spans="1:9" x14ac:dyDescent="0.35">
      <c r="A8164" s="3" t="s">
        <v>3599</v>
      </c>
      <c r="B8164" s="1" t="s">
        <v>1343</v>
      </c>
      <c r="C8164" s="1" t="s">
        <v>135</v>
      </c>
      <c r="D8164" s="1" t="s">
        <v>136</v>
      </c>
      <c r="E8164" s="1" t="s">
        <v>33</v>
      </c>
      <c r="F8164" s="2" t="s">
        <v>652</v>
      </c>
      <c r="G8164" s="1">
        <v>307.98</v>
      </c>
      <c r="H8164" s="1">
        <v>2</v>
      </c>
      <c r="I8164" s="1">
        <v>89.3142</v>
      </c>
    </row>
    <row r="8165" spans="1:9" x14ac:dyDescent="0.35">
      <c r="A8165" s="3">
        <v>42046</v>
      </c>
      <c r="B8165" s="1" t="s">
        <v>1116</v>
      </c>
      <c r="C8165" s="1" t="s">
        <v>461</v>
      </c>
      <c r="D8165" s="1" t="s">
        <v>18</v>
      </c>
      <c r="E8165" s="1" t="s">
        <v>29</v>
      </c>
      <c r="F8165" s="2" t="s">
        <v>2270</v>
      </c>
      <c r="G8165" s="1">
        <v>96.96</v>
      </c>
      <c r="H8165" s="1">
        <v>6</v>
      </c>
      <c r="I8165" s="1">
        <v>33.936</v>
      </c>
    </row>
    <row r="8166" spans="1:9" x14ac:dyDescent="0.35">
      <c r="A8166" s="3">
        <v>42046</v>
      </c>
      <c r="B8166" s="1" t="s">
        <v>1116</v>
      </c>
      <c r="C8166" s="1" t="s">
        <v>461</v>
      </c>
      <c r="D8166" s="1" t="s">
        <v>18</v>
      </c>
      <c r="E8166" s="1" t="s">
        <v>35</v>
      </c>
      <c r="F8166" s="2" t="s">
        <v>572</v>
      </c>
      <c r="G8166" s="1">
        <v>117.488</v>
      </c>
      <c r="H8166" s="1">
        <v>7</v>
      </c>
      <c r="I8166" s="1">
        <v>41.120800000000003</v>
      </c>
    </row>
    <row r="8167" spans="1:9" x14ac:dyDescent="0.35">
      <c r="A8167" s="3">
        <v>42046</v>
      </c>
      <c r="B8167" s="1" t="s">
        <v>1116</v>
      </c>
      <c r="C8167" s="1" t="s">
        <v>461</v>
      </c>
      <c r="D8167" s="1" t="s">
        <v>18</v>
      </c>
      <c r="E8167" s="1" t="s">
        <v>35</v>
      </c>
      <c r="F8167" s="2" t="s">
        <v>1045</v>
      </c>
      <c r="G8167" s="1">
        <v>11.952</v>
      </c>
      <c r="H8167" s="1">
        <v>3</v>
      </c>
      <c r="I8167" s="1">
        <v>4.1832000000000003</v>
      </c>
    </row>
    <row r="8168" spans="1:9" x14ac:dyDescent="0.35">
      <c r="A8168" s="3">
        <v>42046</v>
      </c>
      <c r="B8168" s="1" t="s">
        <v>1116</v>
      </c>
      <c r="C8168" s="1" t="s">
        <v>461</v>
      </c>
      <c r="D8168" s="1" t="s">
        <v>18</v>
      </c>
      <c r="E8168" s="1" t="s">
        <v>12</v>
      </c>
      <c r="F8168" s="2" t="s">
        <v>2271</v>
      </c>
      <c r="G8168" s="1">
        <v>512.49900000000002</v>
      </c>
      <c r="H8168" s="1">
        <v>3</v>
      </c>
      <c r="I8168" s="1">
        <v>-30.146999999999998</v>
      </c>
    </row>
    <row r="8169" spans="1:9" x14ac:dyDescent="0.35">
      <c r="A8169" s="3" t="s">
        <v>3580</v>
      </c>
      <c r="B8169" s="1" t="s">
        <v>2562</v>
      </c>
      <c r="C8169" s="1" t="s">
        <v>64</v>
      </c>
      <c r="D8169" s="1" t="s">
        <v>18</v>
      </c>
      <c r="E8169" s="1" t="s">
        <v>24</v>
      </c>
      <c r="F8169" s="2" t="s">
        <v>1030</v>
      </c>
      <c r="G8169" s="1">
        <v>863.12800000000004</v>
      </c>
      <c r="H8169" s="1">
        <v>7</v>
      </c>
      <c r="I8169" s="1">
        <v>-32.3673</v>
      </c>
    </row>
    <row r="8170" spans="1:9" x14ac:dyDescent="0.35">
      <c r="A8170" s="3">
        <v>42897</v>
      </c>
      <c r="B8170" s="1" t="s">
        <v>594</v>
      </c>
      <c r="C8170" s="1" t="s">
        <v>47</v>
      </c>
      <c r="D8170" s="1" t="s">
        <v>48</v>
      </c>
      <c r="E8170" s="1" t="s">
        <v>24</v>
      </c>
      <c r="F8170" s="2" t="s">
        <v>584</v>
      </c>
      <c r="G8170" s="1">
        <v>2036.86</v>
      </c>
      <c r="H8170" s="1">
        <v>7</v>
      </c>
      <c r="I8170" s="1">
        <v>366.63479999999998</v>
      </c>
    </row>
    <row r="8171" spans="1:9" x14ac:dyDescent="0.35">
      <c r="A8171" s="3">
        <v>42897</v>
      </c>
      <c r="B8171" s="1" t="s">
        <v>594</v>
      </c>
      <c r="C8171" s="1" t="s">
        <v>47</v>
      </c>
      <c r="D8171" s="1" t="s">
        <v>48</v>
      </c>
      <c r="E8171" s="1" t="s">
        <v>14</v>
      </c>
      <c r="F8171" s="2" t="s">
        <v>570</v>
      </c>
      <c r="G8171" s="1">
        <v>449.56799999999998</v>
      </c>
      <c r="H8171" s="1">
        <v>2</v>
      </c>
      <c r="I8171" s="1">
        <v>-73.0548</v>
      </c>
    </row>
    <row r="8172" spans="1:9" x14ac:dyDescent="0.35">
      <c r="A8172" s="3">
        <v>42897</v>
      </c>
      <c r="B8172" s="1" t="s">
        <v>594</v>
      </c>
      <c r="C8172" s="1" t="s">
        <v>47</v>
      </c>
      <c r="D8172" s="1" t="s">
        <v>48</v>
      </c>
      <c r="E8172" s="1" t="s">
        <v>81</v>
      </c>
      <c r="F8172" s="2" t="s">
        <v>862</v>
      </c>
      <c r="G8172" s="1">
        <v>108.96</v>
      </c>
      <c r="H8172" s="1">
        <v>3</v>
      </c>
      <c r="I8172" s="1">
        <v>32.688000000000002</v>
      </c>
    </row>
    <row r="8173" spans="1:9" x14ac:dyDescent="0.35">
      <c r="A8173" s="3" t="s">
        <v>3794</v>
      </c>
      <c r="B8173" s="1" t="s">
        <v>954</v>
      </c>
      <c r="C8173" s="1" t="s">
        <v>167</v>
      </c>
      <c r="D8173" s="1" t="s">
        <v>704</v>
      </c>
      <c r="E8173" s="1" t="s">
        <v>31</v>
      </c>
      <c r="F8173" s="2" t="s">
        <v>1640</v>
      </c>
      <c r="G8173" s="1">
        <v>264.18</v>
      </c>
      <c r="H8173" s="1">
        <v>7</v>
      </c>
      <c r="I8173" s="1">
        <v>68.686800000000005</v>
      </c>
    </row>
    <row r="8174" spans="1:9" x14ac:dyDescent="0.35">
      <c r="A8174" s="3">
        <v>41889</v>
      </c>
      <c r="B8174" s="1" t="s">
        <v>2493</v>
      </c>
      <c r="C8174" s="1" t="s">
        <v>17</v>
      </c>
      <c r="D8174" s="1" t="s">
        <v>18</v>
      </c>
      <c r="E8174" s="1" t="s">
        <v>19</v>
      </c>
      <c r="F8174" s="2" t="s">
        <v>2256</v>
      </c>
      <c r="G8174" s="1">
        <v>2.88</v>
      </c>
      <c r="H8174" s="1">
        <v>1</v>
      </c>
      <c r="I8174" s="1">
        <v>1.4112</v>
      </c>
    </row>
    <row r="8175" spans="1:9" x14ac:dyDescent="0.35">
      <c r="A8175" s="3">
        <v>41889</v>
      </c>
      <c r="B8175" s="1" t="s">
        <v>2493</v>
      </c>
      <c r="C8175" s="1" t="s">
        <v>17</v>
      </c>
      <c r="D8175" s="1" t="s">
        <v>18</v>
      </c>
      <c r="E8175" s="1" t="s">
        <v>35</v>
      </c>
      <c r="F8175" s="2" t="s">
        <v>117</v>
      </c>
      <c r="G8175" s="1">
        <v>41.904000000000003</v>
      </c>
      <c r="H8175" s="1">
        <v>6</v>
      </c>
      <c r="I8175" s="1">
        <v>14.1426</v>
      </c>
    </row>
    <row r="8176" spans="1:9" x14ac:dyDescent="0.35">
      <c r="A8176" s="3">
        <v>41889</v>
      </c>
      <c r="B8176" s="1" t="s">
        <v>2493</v>
      </c>
      <c r="C8176" s="1" t="s">
        <v>17</v>
      </c>
      <c r="D8176" s="1" t="s">
        <v>18</v>
      </c>
      <c r="E8176" s="1" t="s">
        <v>26</v>
      </c>
      <c r="F8176" s="2" t="s">
        <v>1984</v>
      </c>
      <c r="G8176" s="1">
        <v>23.92</v>
      </c>
      <c r="H8176" s="1">
        <v>4</v>
      </c>
      <c r="I8176" s="1">
        <v>4.0663999999999998</v>
      </c>
    </row>
    <row r="8177" spans="1:9" x14ac:dyDescent="0.35">
      <c r="A8177" s="3" t="s">
        <v>3289</v>
      </c>
      <c r="B8177" s="1" t="s">
        <v>3081</v>
      </c>
      <c r="C8177" s="1" t="s">
        <v>154</v>
      </c>
      <c r="D8177" s="1" t="s">
        <v>106</v>
      </c>
      <c r="E8177" s="1" t="s">
        <v>44</v>
      </c>
      <c r="F8177" s="2" t="s">
        <v>151</v>
      </c>
      <c r="G8177" s="1">
        <v>156.512</v>
      </c>
      <c r="H8177" s="1">
        <v>4</v>
      </c>
      <c r="I8177" s="1">
        <v>52.822800000000001</v>
      </c>
    </row>
    <row r="8178" spans="1:9" x14ac:dyDescent="0.35">
      <c r="A8178" s="3" t="s">
        <v>3423</v>
      </c>
      <c r="B8178" s="1" t="s">
        <v>1613</v>
      </c>
      <c r="C8178" s="1" t="s">
        <v>135</v>
      </c>
      <c r="D8178" s="1" t="s">
        <v>136</v>
      </c>
      <c r="E8178" s="1" t="s">
        <v>26</v>
      </c>
      <c r="F8178" s="2" t="s">
        <v>187</v>
      </c>
      <c r="G8178" s="1">
        <v>128.34</v>
      </c>
      <c r="H8178" s="1">
        <v>6</v>
      </c>
      <c r="I8178" s="1">
        <v>37.218600000000002</v>
      </c>
    </row>
    <row r="8179" spans="1:9" x14ac:dyDescent="0.35">
      <c r="A8179" s="3" t="s">
        <v>3180</v>
      </c>
      <c r="B8179" s="1" t="s">
        <v>1587</v>
      </c>
      <c r="C8179" s="1" t="s">
        <v>17</v>
      </c>
      <c r="D8179" s="1" t="s">
        <v>18</v>
      </c>
      <c r="E8179" s="1" t="s">
        <v>81</v>
      </c>
      <c r="F8179" s="2" t="s">
        <v>2536</v>
      </c>
      <c r="G8179" s="1">
        <v>474.95</v>
      </c>
      <c r="H8179" s="1">
        <v>5</v>
      </c>
      <c r="I8179" s="1">
        <v>142.48500000000001</v>
      </c>
    </row>
    <row r="8180" spans="1:9" x14ac:dyDescent="0.35">
      <c r="A8180" s="3">
        <v>42409</v>
      </c>
      <c r="B8180" s="1" t="s">
        <v>2126</v>
      </c>
      <c r="C8180" s="1" t="s">
        <v>651</v>
      </c>
      <c r="D8180" s="1" t="s">
        <v>48</v>
      </c>
      <c r="E8180" s="1" t="s">
        <v>579</v>
      </c>
      <c r="F8180" s="2" t="s">
        <v>1085</v>
      </c>
      <c r="G8180" s="1">
        <v>999.98</v>
      </c>
      <c r="H8180" s="1">
        <v>2</v>
      </c>
      <c r="I8180" s="1">
        <v>449.99099999999999</v>
      </c>
    </row>
    <row r="8181" spans="1:9" x14ac:dyDescent="0.35">
      <c r="A8181" s="3">
        <v>42043</v>
      </c>
      <c r="B8181" s="1" t="s">
        <v>854</v>
      </c>
      <c r="C8181" s="1" t="s">
        <v>162</v>
      </c>
      <c r="D8181" s="1" t="s">
        <v>212</v>
      </c>
      <c r="E8181" s="1" t="s">
        <v>24</v>
      </c>
      <c r="F8181" s="2" t="s">
        <v>2637</v>
      </c>
      <c r="G8181" s="1">
        <v>277.5</v>
      </c>
      <c r="H8181" s="1">
        <v>4</v>
      </c>
      <c r="I8181" s="1">
        <v>-188.7</v>
      </c>
    </row>
    <row r="8182" spans="1:9" x14ac:dyDescent="0.35">
      <c r="A8182" s="3" t="s">
        <v>3383</v>
      </c>
      <c r="B8182" s="1" t="s">
        <v>2860</v>
      </c>
      <c r="C8182" s="1" t="s">
        <v>74</v>
      </c>
      <c r="D8182" s="1" t="s">
        <v>75</v>
      </c>
      <c r="E8182" s="1" t="s">
        <v>24</v>
      </c>
      <c r="F8182" s="2" t="s">
        <v>1633</v>
      </c>
      <c r="G8182" s="1">
        <v>1252.704</v>
      </c>
      <c r="H8182" s="1">
        <v>8</v>
      </c>
      <c r="I8182" s="1">
        <v>-480.20319999999998</v>
      </c>
    </row>
    <row r="8183" spans="1:9" x14ac:dyDescent="0.35">
      <c r="A8183" s="3" t="s">
        <v>3383</v>
      </c>
      <c r="B8183" s="1" t="s">
        <v>2860</v>
      </c>
      <c r="C8183" s="1" t="s">
        <v>74</v>
      </c>
      <c r="D8183" s="1" t="s">
        <v>75</v>
      </c>
      <c r="E8183" s="1" t="s">
        <v>33</v>
      </c>
      <c r="F8183" s="2" t="s">
        <v>1196</v>
      </c>
      <c r="G8183" s="1">
        <v>110.97</v>
      </c>
      <c r="H8183" s="1">
        <v>5</v>
      </c>
      <c r="I8183" s="1">
        <v>-24.043500000000002</v>
      </c>
    </row>
    <row r="8184" spans="1:9" x14ac:dyDescent="0.35">
      <c r="A8184" s="3" t="s">
        <v>3270</v>
      </c>
      <c r="B8184" s="1" t="s">
        <v>2165</v>
      </c>
      <c r="C8184" s="1" t="s">
        <v>154</v>
      </c>
      <c r="D8184" s="1" t="s">
        <v>106</v>
      </c>
      <c r="E8184" s="1" t="s">
        <v>29</v>
      </c>
      <c r="F8184" s="2" t="s">
        <v>1928</v>
      </c>
      <c r="G8184" s="1">
        <v>22.608000000000001</v>
      </c>
      <c r="H8184" s="1">
        <v>3</v>
      </c>
      <c r="I8184" s="1">
        <v>-10.1736</v>
      </c>
    </row>
    <row r="8185" spans="1:9" x14ac:dyDescent="0.35">
      <c r="A8185" s="3" t="s">
        <v>3270</v>
      </c>
      <c r="B8185" s="1" t="s">
        <v>2165</v>
      </c>
      <c r="C8185" s="1" t="s">
        <v>154</v>
      </c>
      <c r="D8185" s="1" t="s">
        <v>106</v>
      </c>
      <c r="E8185" s="1" t="s">
        <v>29</v>
      </c>
      <c r="F8185" s="2" t="s">
        <v>543</v>
      </c>
      <c r="G8185" s="1">
        <v>1.8919999999999999</v>
      </c>
      <c r="H8185" s="1">
        <v>1</v>
      </c>
      <c r="I8185" s="1">
        <v>-0.99329999999999996</v>
      </c>
    </row>
    <row r="8186" spans="1:9" x14ac:dyDescent="0.35">
      <c r="A8186" s="3" t="s">
        <v>3542</v>
      </c>
      <c r="B8186" s="1" t="s">
        <v>803</v>
      </c>
      <c r="C8186" s="1" t="s">
        <v>154</v>
      </c>
      <c r="D8186" s="1" t="s">
        <v>106</v>
      </c>
      <c r="E8186" s="1" t="s">
        <v>44</v>
      </c>
      <c r="F8186" s="2" t="s">
        <v>1603</v>
      </c>
      <c r="G8186" s="1">
        <v>63.311999999999998</v>
      </c>
      <c r="H8186" s="1">
        <v>3</v>
      </c>
      <c r="I8186" s="1">
        <v>20.5764</v>
      </c>
    </row>
    <row r="8187" spans="1:9" x14ac:dyDescent="0.35">
      <c r="A8187" s="3" t="s">
        <v>3620</v>
      </c>
      <c r="B8187" s="1" t="s">
        <v>620</v>
      </c>
      <c r="C8187" s="1" t="s">
        <v>154</v>
      </c>
      <c r="D8187" s="1" t="s">
        <v>106</v>
      </c>
      <c r="E8187" s="1" t="s">
        <v>87</v>
      </c>
      <c r="F8187" s="2" t="s">
        <v>332</v>
      </c>
      <c r="G8187" s="1">
        <v>7.8239999999999998</v>
      </c>
      <c r="H8187" s="1">
        <v>1</v>
      </c>
      <c r="I8187" s="1">
        <v>2.9340000000000002</v>
      </c>
    </row>
    <row r="8188" spans="1:9" x14ac:dyDescent="0.35">
      <c r="A8188" s="3" t="s">
        <v>3620</v>
      </c>
      <c r="B8188" s="1" t="s">
        <v>620</v>
      </c>
      <c r="C8188" s="1" t="s">
        <v>154</v>
      </c>
      <c r="D8188" s="1" t="s">
        <v>106</v>
      </c>
      <c r="E8188" s="1" t="s">
        <v>14</v>
      </c>
      <c r="F8188" s="2" t="s">
        <v>348</v>
      </c>
      <c r="G8188" s="1">
        <v>170.072</v>
      </c>
      <c r="H8188" s="1">
        <v>4</v>
      </c>
      <c r="I8188" s="1">
        <v>-12.148</v>
      </c>
    </row>
    <row r="8189" spans="1:9" x14ac:dyDescent="0.35">
      <c r="A8189" s="3">
        <v>42655</v>
      </c>
      <c r="B8189" s="1" t="s">
        <v>1146</v>
      </c>
      <c r="C8189" s="1" t="s">
        <v>135</v>
      </c>
      <c r="D8189" s="1" t="s">
        <v>136</v>
      </c>
      <c r="E8189" s="1" t="s">
        <v>44</v>
      </c>
      <c r="F8189" s="2" t="s">
        <v>346</v>
      </c>
      <c r="G8189" s="1">
        <v>62.82</v>
      </c>
      <c r="H8189" s="1">
        <v>9</v>
      </c>
      <c r="I8189" s="1">
        <v>29.525400000000001</v>
      </c>
    </row>
    <row r="8190" spans="1:9" x14ac:dyDescent="0.35">
      <c r="A8190" s="3">
        <v>42045</v>
      </c>
      <c r="B8190" s="1" t="s">
        <v>1755</v>
      </c>
      <c r="C8190" s="1" t="s">
        <v>1463</v>
      </c>
      <c r="D8190" s="1" t="s">
        <v>1217</v>
      </c>
      <c r="E8190" s="1" t="s">
        <v>44</v>
      </c>
      <c r="F8190" s="2" t="s">
        <v>1187</v>
      </c>
      <c r="G8190" s="1">
        <v>19.440000000000001</v>
      </c>
      <c r="H8190" s="1">
        <v>3</v>
      </c>
      <c r="I8190" s="1">
        <v>9.3312000000000008</v>
      </c>
    </row>
    <row r="8191" spans="1:9" x14ac:dyDescent="0.35">
      <c r="A8191" s="3">
        <v>42045</v>
      </c>
      <c r="B8191" s="1" t="s">
        <v>1755</v>
      </c>
      <c r="C8191" s="1" t="s">
        <v>1463</v>
      </c>
      <c r="D8191" s="1" t="s">
        <v>1217</v>
      </c>
      <c r="E8191" s="1" t="s">
        <v>35</v>
      </c>
      <c r="F8191" s="2" t="s">
        <v>1333</v>
      </c>
      <c r="G8191" s="1">
        <v>7.38</v>
      </c>
      <c r="H8191" s="1">
        <v>1</v>
      </c>
      <c r="I8191" s="1">
        <v>3.6162000000000001</v>
      </c>
    </row>
    <row r="8192" spans="1:9" x14ac:dyDescent="0.35">
      <c r="A8192" s="3" t="s">
        <v>3272</v>
      </c>
      <c r="B8192" s="1" t="s">
        <v>2396</v>
      </c>
      <c r="C8192" s="1" t="s">
        <v>135</v>
      </c>
      <c r="D8192" s="1" t="s">
        <v>136</v>
      </c>
      <c r="E8192" s="1" t="s">
        <v>44</v>
      </c>
      <c r="F8192" s="2" t="s">
        <v>1412</v>
      </c>
      <c r="G8192" s="1">
        <v>38.880000000000003</v>
      </c>
      <c r="H8192" s="1">
        <v>6</v>
      </c>
      <c r="I8192" s="1">
        <v>18.662400000000002</v>
      </c>
    </row>
    <row r="8193" spans="1:9" x14ac:dyDescent="0.35">
      <c r="A8193" s="3" t="s">
        <v>3272</v>
      </c>
      <c r="B8193" s="1" t="s">
        <v>2396</v>
      </c>
      <c r="C8193" s="1" t="s">
        <v>135</v>
      </c>
      <c r="D8193" s="1" t="s">
        <v>136</v>
      </c>
      <c r="E8193" s="1" t="s">
        <v>29</v>
      </c>
      <c r="F8193" s="2" t="s">
        <v>519</v>
      </c>
      <c r="G8193" s="1">
        <v>187.76</v>
      </c>
      <c r="H8193" s="1">
        <v>4</v>
      </c>
      <c r="I8193" s="1">
        <v>76.9816</v>
      </c>
    </row>
    <row r="8194" spans="1:9" x14ac:dyDescent="0.35">
      <c r="A8194" s="3" t="s">
        <v>3301</v>
      </c>
      <c r="B8194" s="1" t="s">
        <v>916</v>
      </c>
      <c r="C8194" s="1" t="s">
        <v>189</v>
      </c>
      <c r="D8194" s="1" t="s">
        <v>43</v>
      </c>
      <c r="E8194" s="1" t="s">
        <v>35</v>
      </c>
      <c r="F8194" s="2" t="s">
        <v>1083</v>
      </c>
      <c r="G8194" s="1">
        <v>6.048</v>
      </c>
      <c r="H8194" s="1">
        <v>7</v>
      </c>
      <c r="I8194" s="1">
        <v>-4.2336</v>
      </c>
    </row>
    <row r="8195" spans="1:9" x14ac:dyDescent="0.35">
      <c r="A8195" s="3" t="s">
        <v>3301</v>
      </c>
      <c r="B8195" s="1" t="s">
        <v>916</v>
      </c>
      <c r="C8195" s="1" t="s">
        <v>189</v>
      </c>
      <c r="D8195" s="1" t="s">
        <v>43</v>
      </c>
      <c r="E8195" s="1" t="s">
        <v>37</v>
      </c>
      <c r="F8195" s="2" t="s">
        <v>2252</v>
      </c>
      <c r="G8195" s="1">
        <v>98.352000000000004</v>
      </c>
      <c r="H8195" s="1">
        <v>3</v>
      </c>
      <c r="I8195" s="1">
        <v>9.8352000000000004</v>
      </c>
    </row>
    <row r="8196" spans="1:9" x14ac:dyDescent="0.35">
      <c r="A8196" s="3" t="s">
        <v>3301</v>
      </c>
      <c r="B8196" s="1" t="s">
        <v>916</v>
      </c>
      <c r="C8196" s="1" t="s">
        <v>189</v>
      </c>
      <c r="D8196" s="1" t="s">
        <v>43</v>
      </c>
      <c r="E8196" s="1" t="s">
        <v>29</v>
      </c>
      <c r="F8196" s="2" t="s">
        <v>448</v>
      </c>
      <c r="G8196" s="1">
        <v>335.74400000000003</v>
      </c>
      <c r="H8196" s="1">
        <v>2</v>
      </c>
      <c r="I8196" s="1">
        <v>25.180800000000001</v>
      </c>
    </row>
    <row r="8197" spans="1:9" x14ac:dyDescent="0.35">
      <c r="A8197" s="3">
        <v>42167</v>
      </c>
      <c r="B8197" s="1" t="s">
        <v>443</v>
      </c>
      <c r="C8197" s="1" t="s">
        <v>2912</v>
      </c>
      <c r="D8197" s="1" t="s">
        <v>18</v>
      </c>
      <c r="E8197" s="1" t="s">
        <v>44</v>
      </c>
      <c r="F8197" s="2" t="s">
        <v>1776</v>
      </c>
      <c r="G8197" s="1">
        <v>8.9600000000000009</v>
      </c>
      <c r="H8197" s="1">
        <v>2</v>
      </c>
      <c r="I8197" s="1">
        <v>4.3903999999999996</v>
      </c>
    </row>
    <row r="8198" spans="1:9" x14ac:dyDescent="0.35">
      <c r="A8198" s="3">
        <v>42864</v>
      </c>
      <c r="B8198" s="1" t="s">
        <v>1570</v>
      </c>
      <c r="C8198" s="1" t="s">
        <v>2099</v>
      </c>
      <c r="D8198" s="1" t="s">
        <v>171</v>
      </c>
      <c r="E8198" s="1" t="s">
        <v>81</v>
      </c>
      <c r="F8198" s="2" t="s">
        <v>1885</v>
      </c>
      <c r="G8198" s="1">
        <v>89.567999999999998</v>
      </c>
      <c r="H8198" s="1">
        <v>4</v>
      </c>
      <c r="I8198" s="1">
        <v>-1.1195999999999999</v>
      </c>
    </row>
    <row r="8199" spans="1:9" x14ac:dyDescent="0.35">
      <c r="A8199" s="3">
        <v>42864</v>
      </c>
      <c r="B8199" s="1" t="s">
        <v>1570</v>
      </c>
      <c r="C8199" s="1" t="s">
        <v>2099</v>
      </c>
      <c r="D8199" s="1" t="s">
        <v>171</v>
      </c>
      <c r="E8199" s="1" t="s">
        <v>31</v>
      </c>
      <c r="F8199" s="2" t="s">
        <v>1136</v>
      </c>
      <c r="G8199" s="1">
        <v>71.959999999999994</v>
      </c>
      <c r="H8199" s="1">
        <v>5</v>
      </c>
      <c r="I8199" s="1">
        <v>7.1959999999999997</v>
      </c>
    </row>
    <row r="8200" spans="1:9" x14ac:dyDescent="0.35">
      <c r="A8200" s="3">
        <v>42864</v>
      </c>
      <c r="B8200" s="1" t="s">
        <v>1570</v>
      </c>
      <c r="C8200" s="1" t="s">
        <v>2099</v>
      </c>
      <c r="D8200" s="1" t="s">
        <v>171</v>
      </c>
      <c r="E8200" s="1" t="s">
        <v>44</v>
      </c>
      <c r="F8200" s="2" t="s">
        <v>1033</v>
      </c>
      <c r="G8200" s="1">
        <v>15.552</v>
      </c>
      <c r="H8200" s="1">
        <v>3</v>
      </c>
      <c r="I8200" s="1">
        <v>5.4432</v>
      </c>
    </row>
    <row r="8201" spans="1:9" x14ac:dyDescent="0.35">
      <c r="A8201" s="3" t="s">
        <v>3427</v>
      </c>
      <c r="B8201" s="1" t="s">
        <v>2079</v>
      </c>
      <c r="C8201" s="1" t="s">
        <v>154</v>
      </c>
      <c r="D8201" s="1" t="s">
        <v>106</v>
      </c>
      <c r="E8201" s="1" t="s">
        <v>35</v>
      </c>
      <c r="F8201" s="2" t="s">
        <v>1876</v>
      </c>
      <c r="G8201" s="1">
        <v>10.43</v>
      </c>
      <c r="H8201" s="1">
        <v>5</v>
      </c>
      <c r="I8201" s="1">
        <v>-18.252500000000001</v>
      </c>
    </row>
    <row r="8202" spans="1:9" x14ac:dyDescent="0.35">
      <c r="A8202" s="3" t="s">
        <v>3427</v>
      </c>
      <c r="B8202" s="1" t="s">
        <v>2079</v>
      </c>
      <c r="C8202" s="1" t="s">
        <v>154</v>
      </c>
      <c r="D8202" s="1" t="s">
        <v>106</v>
      </c>
      <c r="E8202" s="1" t="s">
        <v>26</v>
      </c>
      <c r="F8202" s="2" t="s">
        <v>174</v>
      </c>
      <c r="G8202" s="1">
        <v>72.784000000000006</v>
      </c>
      <c r="H8202" s="1">
        <v>1</v>
      </c>
      <c r="I8202" s="1">
        <v>-18.196000000000002</v>
      </c>
    </row>
    <row r="8203" spans="1:9" x14ac:dyDescent="0.35">
      <c r="A8203" s="3">
        <v>42227</v>
      </c>
      <c r="B8203" s="1" t="s">
        <v>1681</v>
      </c>
      <c r="C8203" s="1" t="s">
        <v>135</v>
      </c>
      <c r="D8203" s="1" t="s">
        <v>136</v>
      </c>
      <c r="E8203" s="1" t="s">
        <v>26</v>
      </c>
      <c r="F8203" s="2" t="s">
        <v>2793</v>
      </c>
      <c r="G8203" s="1">
        <v>67.150000000000006</v>
      </c>
      <c r="H8203" s="1">
        <v>5</v>
      </c>
      <c r="I8203" s="1">
        <v>16.787500000000001</v>
      </c>
    </row>
    <row r="8204" spans="1:9" x14ac:dyDescent="0.35">
      <c r="A8204" s="3">
        <v>42227</v>
      </c>
      <c r="B8204" s="1" t="s">
        <v>1681</v>
      </c>
      <c r="C8204" s="1" t="s">
        <v>135</v>
      </c>
      <c r="D8204" s="1" t="s">
        <v>136</v>
      </c>
      <c r="E8204" s="1" t="s">
        <v>33</v>
      </c>
      <c r="F8204" s="2" t="s">
        <v>1515</v>
      </c>
      <c r="G8204" s="1">
        <v>549.98</v>
      </c>
      <c r="H8204" s="1">
        <v>2</v>
      </c>
      <c r="I8204" s="1">
        <v>142.9948</v>
      </c>
    </row>
    <row r="8205" spans="1:9" x14ac:dyDescent="0.35">
      <c r="A8205" s="3">
        <v>42227</v>
      </c>
      <c r="B8205" s="1" t="s">
        <v>1681</v>
      </c>
      <c r="C8205" s="1" t="s">
        <v>135</v>
      </c>
      <c r="D8205" s="1" t="s">
        <v>136</v>
      </c>
      <c r="E8205" s="1" t="s">
        <v>29</v>
      </c>
      <c r="F8205" s="2" t="s">
        <v>3024</v>
      </c>
      <c r="G8205" s="1">
        <v>11.82</v>
      </c>
      <c r="H8205" s="1">
        <v>3</v>
      </c>
      <c r="I8205" s="1">
        <v>4.7279999999999998</v>
      </c>
    </row>
    <row r="8206" spans="1:9" x14ac:dyDescent="0.35">
      <c r="A8206" s="3">
        <v>42227</v>
      </c>
      <c r="B8206" s="1" t="s">
        <v>1681</v>
      </c>
      <c r="C8206" s="1" t="s">
        <v>135</v>
      </c>
      <c r="D8206" s="1" t="s">
        <v>136</v>
      </c>
      <c r="E8206" s="1" t="s">
        <v>338</v>
      </c>
      <c r="F8206" s="2" t="s">
        <v>2855</v>
      </c>
      <c r="G8206" s="1">
        <v>4643.8</v>
      </c>
      <c r="H8206" s="1">
        <v>4</v>
      </c>
      <c r="I8206" s="1">
        <v>2229.0239999999999</v>
      </c>
    </row>
    <row r="8207" spans="1:9" x14ac:dyDescent="0.35">
      <c r="A8207" s="3">
        <v>42227</v>
      </c>
      <c r="B8207" s="1" t="s">
        <v>1681</v>
      </c>
      <c r="C8207" s="1" t="s">
        <v>135</v>
      </c>
      <c r="D8207" s="1" t="s">
        <v>136</v>
      </c>
      <c r="E8207" s="1" t="s">
        <v>14</v>
      </c>
      <c r="F8207" s="2" t="s">
        <v>1100</v>
      </c>
      <c r="G8207" s="1">
        <v>577.76400000000001</v>
      </c>
      <c r="H8207" s="1">
        <v>2</v>
      </c>
      <c r="I8207" s="1">
        <v>115.5528</v>
      </c>
    </row>
    <row r="8208" spans="1:9" x14ac:dyDescent="0.35">
      <c r="A8208" s="3" t="s">
        <v>3163</v>
      </c>
      <c r="B8208" s="1" t="s">
        <v>782</v>
      </c>
      <c r="C8208" s="1" t="s">
        <v>2749</v>
      </c>
      <c r="D8208" s="1" t="s">
        <v>23</v>
      </c>
      <c r="E8208" s="1" t="s">
        <v>24</v>
      </c>
      <c r="F8208" s="2" t="s">
        <v>25</v>
      </c>
      <c r="G8208" s="1">
        <v>191.5155</v>
      </c>
      <c r="H8208" s="1">
        <v>1</v>
      </c>
      <c r="I8208" s="1">
        <v>-76.606200000000001</v>
      </c>
    </row>
    <row r="8209" spans="1:9" x14ac:dyDescent="0.35">
      <c r="A8209" s="3" t="s">
        <v>3163</v>
      </c>
      <c r="B8209" s="1" t="s">
        <v>782</v>
      </c>
      <c r="C8209" s="1" t="s">
        <v>2749</v>
      </c>
      <c r="D8209" s="1" t="s">
        <v>23</v>
      </c>
      <c r="E8209" s="1" t="s">
        <v>31</v>
      </c>
      <c r="F8209" s="2" t="s">
        <v>647</v>
      </c>
      <c r="G8209" s="1">
        <v>2.6240000000000001</v>
      </c>
      <c r="H8209" s="1">
        <v>1</v>
      </c>
      <c r="I8209" s="1">
        <v>0.4264</v>
      </c>
    </row>
    <row r="8210" spans="1:9" x14ac:dyDescent="0.35">
      <c r="A8210" s="3" t="s">
        <v>3808</v>
      </c>
      <c r="B8210" s="1" t="s">
        <v>2927</v>
      </c>
      <c r="C8210" s="1" t="s">
        <v>2272</v>
      </c>
      <c r="D8210" s="1" t="s">
        <v>171</v>
      </c>
      <c r="E8210" s="1" t="s">
        <v>35</v>
      </c>
      <c r="F8210" s="2" t="s">
        <v>1202</v>
      </c>
      <c r="G8210" s="1">
        <v>1369.7639999999999</v>
      </c>
      <c r="H8210" s="1">
        <v>6</v>
      </c>
      <c r="I8210" s="1">
        <v>-913.17600000000004</v>
      </c>
    </row>
    <row r="8211" spans="1:9" x14ac:dyDescent="0.35">
      <c r="A8211" s="3" t="s">
        <v>3808</v>
      </c>
      <c r="B8211" s="1" t="s">
        <v>2927</v>
      </c>
      <c r="C8211" s="1" t="s">
        <v>2272</v>
      </c>
      <c r="D8211" s="1" t="s">
        <v>171</v>
      </c>
      <c r="E8211" s="1" t="s">
        <v>26</v>
      </c>
      <c r="F8211" s="2" t="s">
        <v>410</v>
      </c>
      <c r="G8211" s="1">
        <v>294.36799999999999</v>
      </c>
      <c r="H8211" s="1">
        <v>4</v>
      </c>
      <c r="I8211" s="1">
        <v>-58.873600000000003</v>
      </c>
    </row>
    <row r="8212" spans="1:9" x14ac:dyDescent="0.35">
      <c r="A8212" s="3">
        <v>42925</v>
      </c>
      <c r="B8212" s="1" t="s">
        <v>2450</v>
      </c>
      <c r="C8212" s="1" t="s">
        <v>2272</v>
      </c>
      <c r="D8212" s="1" t="s">
        <v>171</v>
      </c>
      <c r="E8212" s="1" t="s">
        <v>37</v>
      </c>
      <c r="F8212" s="2" t="s">
        <v>855</v>
      </c>
      <c r="G8212" s="1">
        <v>81.567999999999998</v>
      </c>
      <c r="H8212" s="1">
        <v>2</v>
      </c>
      <c r="I8212" s="1">
        <v>7.1372</v>
      </c>
    </row>
    <row r="8213" spans="1:9" x14ac:dyDescent="0.35">
      <c r="A8213" s="3">
        <v>42562</v>
      </c>
      <c r="B8213" s="1" t="s">
        <v>1012</v>
      </c>
      <c r="C8213" s="1" t="s">
        <v>399</v>
      </c>
      <c r="D8213" s="1" t="s">
        <v>52</v>
      </c>
      <c r="E8213" s="1" t="s">
        <v>29</v>
      </c>
      <c r="F8213" s="2" t="s">
        <v>3082</v>
      </c>
      <c r="G8213" s="1">
        <v>44.46</v>
      </c>
      <c r="H8213" s="1">
        <v>5</v>
      </c>
      <c r="I8213" s="1">
        <v>-17.783999999999999</v>
      </c>
    </row>
    <row r="8214" spans="1:9" x14ac:dyDescent="0.35">
      <c r="A8214" s="3">
        <v>42562</v>
      </c>
      <c r="B8214" s="1" t="s">
        <v>1012</v>
      </c>
      <c r="C8214" s="1" t="s">
        <v>399</v>
      </c>
      <c r="D8214" s="1" t="s">
        <v>52</v>
      </c>
      <c r="E8214" s="1" t="s">
        <v>26</v>
      </c>
      <c r="F8214" s="2" t="s">
        <v>948</v>
      </c>
      <c r="G8214" s="1">
        <v>314.08800000000002</v>
      </c>
      <c r="H8214" s="1">
        <v>3</v>
      </c>
      <c r="I8214" s="1">
        <v>19.630500000000001</v>
      </c>
    </row>
    <row r="8215" spans="1:9" x14ac:dyDescent="0.35">
      <c r="A8215" s="3" t="s">
        <v>3149</v>
      </c>
      <c r="B8215" s="1" t="s">
        <v>1787</v>
      </c>
      <c r="C8215" s="1" t="s">
        <v>565</v>
      </c>
      <c r="D8215" s="1" t="s">
        <v>171</v>
      </c>
      <c r="E8215" s="1" t="s">
        <v>35</v>
      </c>
      <c r="F8215" s="2" t="s">
        <v>1819</v>
      </c>
      <c r="G8215" s="1">
        <v>6.3360000000000003</v>
      </c>
      <c r="H8215" s="1">
        <v>4</v>
      </c>
      <c r="I8215" s="1">
        <v>-4.6463999999999999</v>
      </c>
    </row>
    <row r="8216" spans="1:9" x14ac:dyDescent="0.35">
      <c r="A8216" s="3" t="s">
        <v>3149</v>
      </c>
      <c r="B8216" s="1" t="s">
        <v>1787</v>
      </c>
      <c r="C8216" s="1" t="s">
        <v>565</v>
      </c>
      <c r="D8216" s="1" t="s">
        <v>171</v>
      </c>
      <c r="E8216" s="1" t="s">
        <v>44</v>
      </c>
      <c r="F8216" s="2" t="s">
        <v>2324</v>
      </c>
      <c r="G8216" s="1">
        <v>10.48</v>
      </c>
      <c r="H8216" s="1">
        <v>1</v>
      </c>
      <c r="I8216" s="1">
        <v>3.7989999999999999</v>
      </c>
    </row>
    <row r="8217" spans="1:9" x14ac:dyDescent="0.35">
      <c r="A8217" s="3" t="s">
        <v>3149</v>
      </c>
      <c r="B8217" s="1" t="s">
        <v>1787</v>
      </c>
      <c r="C8217" s="1" t="s">
        <v>565</v>
      </c>
      <c r="D8217" s="1" t="s">
        <v>171</v>
      </c>
      <c r="E8217" s="1" t="s">
        <v>35</v>
      </c>
      <c r="F8217" s="2" t="s">
        <v>2091</v>
      </c>
      <c r="G8217" s="1">
        <v>2.4689999999999999</v>
      </c>
      <c r="H8217" s="1">
        <v>1</v>
      </c>
      <c r="I8217" s="1">
        <v>-1.8106</v>
      </c>
    </row>
    <row r="8218" spans="1:9" x14ac:dyDescent="0.35">
      <c r="A8218" s="3" t="s">
        <v>3149</v>
      </c>
      <c r="B8218" s="1" t="s">
        <v>1787</v>
      </c>
      <c r="C8218" s="1" t="s">
        <v>565</v>
      </c>
      <c r="D8218" s="1" t="s">
        <v>171</v>
      </c>
      <c r="E8218" s="1" t="s">
        <v>35</v>
      </c>
      <c r="F8218" s="2" t="s">
        <v>576</v>
      </c>
      <c r="G8218" s="1">
        <v>3.2639999999999998</v>
      </c>
      <c r="H8218" s="1">
        <v>2</v>
      </c>
      <c r="I8218" s="1">
        <v>-2.2848000000000002</v>
      </c>
    </row>
    <row r="8219" spans="1:9" x14ac:dyDescent="0.35">
      <c r="A8219" s="3">
        <v>41708</v>
      </c>
      <c r="B8219" s="1" t="s">
        <v>2576</v>
      </c>
      <c r="C8219" s="1" t="s">
        <v>399</v>
      </c>
      <c r="D8219" s="1" t="s">
        <v>52</v>
      </c>
      <c r="E8219" s="1" t="s">
        <v>137</v>
      </c>
      <c r="F8219" s="2" t="s">
        <v>1825</v>
      </c>
      <c r="G8219" s="1">
        <v>4.3440000000000003</v>
      </c>
      <c r="H8219" s="1">
        <v>3</v>
      </c>
      <c r="I8219" s="1">
        <v>0.86880000000000002</v>
      </c>
    </row>
    <row r="8220" spans="1:9" x14ac:dyDescent="0.35">
      <c r="A8220" s="3">
        <v>41708</v>
      </c>
      <c r="B8220" s="1" t="s">
        <v>2576</v>
      </c>
      <c r="C8220" s="1" t="s">
        <v>399</v>
      </c>
      <c r="D8220" s="1" t="s">
        <v>52</v>
      </c>
      <c r="E8220" s="1" t="s">
        <v>29</v>
      </c>
      <c r="F8220" s="2" t="s">
        <v>1834</v>
      </c>
      <c r="G8220" s="1">
        <v>31.776</v>
      </c>
      <c r="H8220" s="1">
        <v>3</v>
      </c>
      <c r="I8220" s="1">
        <v>-19.0656</v>
      </c>
    </row>
    <row r="8221" spans="1:9" x14ac:dyDescent="0.35">
      <c r="A8221" s="3">
        <v>41708</v>
      </c>
      <c r="B8221" s="1" t="s">
        <v>2576</v>
      </c>
      <c r="C8221" s="1" t="s">
        <v>399</v>
      </c>
      <c r="D8221" s="1" t="s">
        <v>52</v>
      </c>
      <c r="E8221" s="1" t="s">
        <v>19</v>
      </c>
      <c r="F8221" s="2" t="s">
        <v>1127</v>
      </c>
      <c r="G8221" s="1">
        <v>4.9279999999999999</v>
      </c>
      <c r="H8221" s="1">
        <v>2</v>
      </c>
      <c r="I8221" s="1">
        <v>1.7248000000000001</v>
      </c>
    </row>
    <row r="8222" spans="1:9" x14ac:dyDescent="0.35">
      <c r="A8222" s="3">
        <v>41708</v>
      </c>
      <c r="B8222" s="1" t="s">
        <v>2576</v>
      </c>
      <c r="C8222" s="1" t="s">
        <v>399</v>
      </c>
      <c r="D8222" s="1" t="s">
        <v>52</v>
      </c>
      <c r="E8222" s="1" t="s">
        <v>35</v>
      </c>
      <c r="F8222" s="2" t="s">
        <v>224</v>
      </c>
      <c r="G8222" s="1">
        <v>1.788</v>
      </c>
      <c r="H8222" s="1">
        <v>3</v>
      </c>
      <c r="I8222" s="1">
        <v>-3.0396000000000001</v>
      </c>
    </row>
    <row r="8223" spans="1:9" x14ac:dyDescent="0.35">
      <c r="A8223" s="3">
        <v>41708</v>
      </c>
      <c r="B8223" s="1" t="s">
        <v>2576</v>
      </c>
      <c r="C8223" s="1" t="s">
        <v>399</v>
      </c>
      <c r="D8223" s="1" t="s">
        <v>52</v>
      </c>
      <c r="E8223" s="1" t="s">
        <v>137</v>
      </c>
      <c r="F8223" s="2" t="s">
        <v>3083</v>
      </c>
      <c r="G8223" s="1">
        <v>15.071999999999999</v>
      </c>
      <c r="H8223" s="1">
        <v>4</v>
      </c>
      <c r="I8223" s="1">
        <v>-3.7679999999999998</v>
      </c>
    </row>
    <row r="8224" spans="1:9" x14ac:dyDescent="0.35">
      <c r="A8224" s="3" t="s">
        <v>3693</v>
      </c>
      <c r="B8224" s="1" t="s">
        <v>2852</v>
      </c>
      <c r="C8224" s="1" t="s">
        <v>540</v>
      </c>
      <c r="D8224" s="1" t="s">
        <v>52</v>
      </c>
      <c r="E8224" s="1" t="s">
        <v>26</v>
      </c>
      <c r="F8224" s="2" t="s">
        <v>2592</v>
      </c>
      <c r="G8224" s="1">
        <v>12.624000000000001</v>
      </c>
      <c r="H8224" s="1">
        <v>2</v>
      </c>
      <c r="I8224" s="1">
        <v>-2.5247999999999999</v>
      </c>
    </row>
    <row r="8225" spans="1:9" x14ac:dyDescent="0.35">
      <c r="A8225" s="3">
        <v>42710</v>
      </c>
      <c r="B8225" s="1" t="s">
        <v>436</v>
      </c>
      <c r="C8225" s="1" t="s">
        <v>301</v>
      </c>
      <c r="D8225" s="1" t="s">
        <v>18</v>
      </c>
      <c r="E8225" s="1" t="s">
        <v>44</v>
      </c>
      <c r="F8225" s="2" t="s">
        <v>1951</v>
      </c>
      <c r="G8225" s="1">
        <v>185.88</v>
      </c>
      <c r="H8225" s="1">
        <v>6</v>
      </c>
      <c r="I8225" s="1">
        <v>83.646000000000001</v>
      </c>
    </row>
    <row r="8226" spans="1:9" x14ac:dyDescent="0.35">
      <c r="A8226" s="3">
        <v>42710</v>
      </c>
      <c r="B8226" s="1" t="s">
        <v>436</v>
      </c>
      <c r="C8226" s="1" t="s">
        <v>301</v>
      </c>
      <c r="D8226" s="1" t="s">
        <v>18</v>
      </c>
      <c r="E8226" s="1" t="s">
        <v>44</v>
      </c>
      <c r="F8226" s="2" t="s">
        <v>2381</v>
      </c>
      <c r="G8226" s="1">
        <v>12.96</v>
      </c>
      <c r="H8226" s="1">
        <v>2</v>
      </c>
      <c r="I8226" s="1">
        <v>6.2207999999999997</v>
      </c>
    </row>
    <row r="8227" spans="1:9" x14ac:dyDescent="0.35">
      <c r="A8227" s="3">
        <v>42746</v>
      </c>
      <c r="B8227" s="1" t="s">
        <v>73</v>
      </c>
      <c r="C8227" s="1" t="s">
        <v>1739</v>
      </c>
      <c r="D8227" s="1" t="s">
        <v>592</v>
      </c>
      <c r="E8227" s="1" t="s">
        <v>44</v>
      </c>
      <c r="F8227" s="2" t="s">
        <v>527</v>
      </c>
      <c r="G8227" s="1">
        <v>189.7</v>
      </c>
      <c r="H8227" s="1">
        <v>10</v>
      </c>
      <c r="I8227" s="1">
        <v>91.055999999999997</v>
      </c>
    </row>
    <row r="8228" spans="1:9" x14ac:dyDescent="0.35">
      <c r="A8228" s="3">
        <v>42746</v>
      </c>
      <c r="B8228" s="1" t="s">
        <v>73</v>
      </c>
      <c r="C8228" s="1" t="s">
        <v>1739</v>
      </c>
      <c r="D8228" s="1" t="s">
        <v>592</v>
      </c>
      <c r="E8228" s="1" t="s">
        <v>44</v>
      </c>
      <c r="F8228" s="2" t="s">
        <v>2535</v>
      </c>
      <c r="G8228" s="1">
        <v>40.99</v>
      </c>
      <c r="H8228" s="1">
        <v>1</v>
      </c>
      <c r="I8228" s="1">
        <v>20.085100000000001</v>
      </c>
    </row>
    <row r="8229" spans="1:9" x14ac:dyDescent="0.35">
      <c r="A8229" s="3">
        <v>42464</v>
      </c>
      <c r="B8229" s="1" t="s">
        <v>2159</v>
      </c>
      <c r="C8229" s="1" t="s">
        <v>141</v>
      </c>
      <c r="D8229" s="1" t="s">
        <v>136</v>
      </c>
      <c r="E8229" s="1" t="s">
        <v>29</v>
      </c>
      <c r="F8229" s="2" t="s">
        <v>863</v>
      </c>
      <c r="G8229" s="1">
        <v>82.64</v>
      </c>
      <c r="H8229" s="1">
        <v>2</v>
      </c>
      <c r="I8229" s="1">
        <v>7.4375999999999998</v>
      </c>
    </row>
    <row r="8230" spans="1:9" x14ac:dyDescent="0.35">
      <c r="A8230" s="3">
        <v>42464</v>
      </c>
      <c r="B8230" s="1" t="s">
        <v>2159</v>
      </c>
      <c r="C8230" s="1" t="s">
        <v>141</v>
      </c>
      <c r="D8230" s="1" t="s">
        <v>136</v>
      </c>
      <c r="E8230" s="1" t="s">
        <v>26</v>
      </c>
      <c r="F8230" s="2" t="s">
        <v>359</v>
      </c>
      <c r="G8230" s="1">
        <v>31.02</v>
      </c>
      <c r="H8230" s="1">
        <v>2</v>
      </c>
      <c r="I8230" s="1">
        <v>8.0652000000000008</v>
      </c>
    </row>
    <row r="8231" spans="1:9" x14ac:dyDescent="0.35">
      <c r="A8231" s="3">
        <v>42464</v>
      </c>
      <c r="B8231" s="1" t="s">
        <v>2159</v>
      </c>
      <c r="C8231" s="1" t="s">
        <v>141</v>
      </c>
      <c r="D8231" s="1" t="s">
        <v>136</v>
      </c>
      <c r="E8231" s="1" t="s">
        <v>81</v>
      </c>
      <c r="F8231" s="2" t="s">
        <v>1703</v>
      </c>
      <c r="G8231" s="1">
        <v>89.97</v>
      </c>
      <c r="H8231" s="1">
        <v>3</v>
      </c>
      <c r="I8231" s="1">
        <v>37.787399999999998</v>
      </c>
    </row>
    <row r="8232" spans="1:9" x14ac:dyDescent="0.35">
      <c r="A8232" s="3" t="s">
        <v>3813</v>
      </c>
      <c r="B8232" s="1" t="s">
        <v>268</v>
      </c>
      <c r="C8232" s="1" t="s">
        <v>2765</v>
      </c>
      <c r="D8232" s="1" t="s">
        <v>604</v>
      </c>
      <c r="E8232" s="1" t="s">
        <v>31</v>
      </c>
      <c r="F8232" s="2" t="s">
        <v>690</v>
      </c>
      <c r="G8232" s="1">
        <v>35.97</v>
      </c>
      <c r="H8232" s="1">
        <v>3</v>
      </c>
      <c r="I8232" s="1">
        <v>9.7119</v>
      </c>
    </row>
    <row r="8233" spans="1:9" x14ac:dyDescent="0.35">
      <c r="A8233" s="3" t="s">
        <v>3813</v>
      </c>
      <c r="B8233" s="1" t="s">
        <v>268</v>
      </c>
      <c r="C8233" s="1" t="s">
        <v>2765</v>
      </c>
      <c r="D8233" s="1" t="s">
        <v>604</v>
      </c>
      <c r="E8233" s="1" t="s">
        <v>12</v>
      </c>
      <c r="F8233" s="2" t="s">
        <v>416</v>
      </c>
      <c r="G8233" s="1">
        <v>1266.8599999999999</v>
      </c>
      <c r="H8233" s="1">
        <v>7</v>
      </c>
      <c r="I8233" s="1">
        <v>291.37779999999998</v>
      </c>
    </row>
    <row r="8234" spans="1:9" x14ac:dyDescent="0.35">
      <c r="A8234" s="3" t="s">
        <v>3672</v>
      </c>
      <c r="B8234" s="1" t="s">
        <v>1248</v>
      </c>
      <c r="C8234" s="1" t="s">
        <v>314</v>
      </c>
      <c r="D8234" s="1" t="s">
        <v>18</v>
      </c>
      <c r="E8234" s="1" t="s">
        <v>26</v>
      </c>
      <c r="F8234" s="2" t="s">
        <v>569</v>
      </c>
      <c r="G8234" s="1">
        <v>169.45</v>
      </c>
      <c r="H8234" s="1">
        <v>5</v>
      </c>
      <c r="I8234" s="1">
        <v>42.362499999999997</v>
      </c>
    </row>
    <row r="8235" spans="1:9" x14ac:dyDescent="0.35">
      <c r="A8235" s="3" t="s">
        <v>3672</v>
      </c>
      <c r="B8235" s="1" t="s">
        <v>1248</v>
      </c>
      <c r="C8235" s="1" t="s">
        <v>314</v>
      </c>
      <c r="D8235" s="1" t="s">
        <v>18</v>
      </c>
      <c r="E8235" s="1" t="s">
        <v>26</v>
      </c>
      <c r="F8235" s="2" t="s">
        <v>2513</v>
      </c>
      <c r="G8235" s="1">
        <v>40.68</v>
      </c>
      <c r="H8235" s="1">
        <v>2</v>
      </c>
      <c r="I8235" s="1">
        <v>0.40679999999999999</v>
      </c>
    </row>
    <row r="8236" spans="1:9" x14ac:dyDescent="0.35">
      <c r="A8236" s="3">
        <v>42740</v>
      </c>
      <c r="B8236" s="1" t="s">
        <v>688</v>
      </c>
      <c r="C8236" s="1" t="s">
        <v>719</v>
      </c>
      <c r="D8236" s="1" t="s">
        <v>23</v>
      </c>
      <c r="E8236" s="1" t="s">
        <v>289</v>
      </c>
      <c r="F8236" s="2" t="s">
        <v>2823</v>
      </c>
      <c r="G8236" s="1">
        <v>3.3279999999999998</v>
      </c>
      <c r="H8236" s="1">
        <v>2</v>
      </c>
      <c r="I8236" s="1">
        <v>0.41599999999999998</v>
      </c>
    </row>
    <row r="8237" spans="1:9" x14ac:dyDescent="0.35">
      <c r="A8237" s="3">
        <v>42740</v>
      </c>
      <c r="B8237" s="1" t="s">
        <v>688</v>
      </c>
      <c r="C8237" s="1" t="s">
        <v>719</v>
      </c>
      <c r="D8237" s="1" t="s">
        <v>23</v>
      </c>
      <c r="E8237" s="1" t="s">
        <v>24</v>
      </c>
      <c r="F8237" s="2" t="s">
        <v>751</v>
      </c>
      <c r="G8237" s="1">
        <v>933.26199999999994</v>
      </c>
      <c r="H8237" s="1">
        <v>4</v>
      </c>
      <c r="I8237" s="1">
        <v>-458.14679999999998</v>
      </c>
    </row>
    <row r="8238" spans="1:9" x14ac:dyDescent="0.35">
      <c r="A8238" s="3">
        <v>42740</v>
      </c>
      <c r="B8238" s="1" t="s">
        <v>688</v>
      </c>
      <c r="C8238" s="1" t="s">
        <v>719</v>
      </c>
      <c r="D8238" s="1" t="s">
        <v>23</v>
      </c>
      <c r="E8238" s="1" t="s">
        <v>14</v>
      </c>
      <c r="F8238" s="2" t="s">
        <v>867</v>
      </c>
      <c r="G8238" s="1">
        <v>2803.92</v>
      </c>
      <c r="H8238" s="1">
        <v>5</v>
      </c>
      <c r="I8238" s="1">
        <v>0</v>
      </c>
    </row>
    <row r="8239" spans="1:9" x14ac:dyDescent="0.35">
      <c r="A8239" s="3" t="s">
        <v>3259</v>
      </c>
      <c r="B8239" s="1" t="s">
        <v>2494</v>
      </c>
      <c r="C8239" s="1" t="s">
        <v>719</v>
      </c>
      <c r="D8239" s="1" t="s">
        <v>23</v>
      </c>
      <c r="E8239" s="1" t="s">
        <v>26</v>
      </c>
      <c r="F8239" s="2" t="s">
        <v>716</v>
      </c>
      <c r="G8239" s="1">
        <v>4.7679999999999998</v>
      </c>
      <c r="H8239" s="1">
        <v>2</v>
      </c>
      <c r="I8239" s="1">
        <v>-0.77480000000000004</v>
      </c>
    </row>
    <row r="8240" spans="1:9" x14ac:dyDescent="0.35">
      <c r="A8240" s="3" t="s">
        <v>3259</v>
      </c>
      <c r="B8240" s="1" t="s">
        <v>2494</v>
      </c>
      <c r="C8240" s="1" t="s">
        <v>719</v>
      </c>
      <c r="D8240" s="1" t="s">
        <v>23</v>
      </c>
      <c r="E8240" s="1" t="s">
        <v>44</v>
      </c>
      <c r="F8240" s="2" t="s">
        <v>2170</v>
      </c>
      <c r="G8240" s="1">
        <v>6.6719999999999997</v>
      </c>
      <c r="H8240" s="1">
        <v>1</v>
      </c>
      <c r="I8240" s="1">
        <v>2.5019999999999998</v>
      </c>
    </row>
    <row r="8241" spans="1:9" x14ac:dyDescent="0.35">
      <c r="A8241" s="3" t="s">
        <v>3259</v>
      </c>
      <c r="B8241" s="1" t="s">
        <v>2494</v>
      </c>
      <c r="C8241" s="1" t="s">
        <v>719</v>
      </c>
      <c r="D8241" s="1" t="s">
        <v>23</v>
      </c>
      <c r="E8241" s="1" t="s">
        <v>31</v>
      </c>
      <c r="F8241" s="2" t="s">
        <v>1782</v>
      </c>
      <c r="G8241" s="1">
        <v>4.4480000000000004</v>
      </c>
      <c r="H8241" s="1">
        <v>2</v>
      </c>
      <c r="I8241" s="1">
        <v>1.1120000000000001</v>
      </c>
    </row>
    <row r="8242" spans="1:9" x14ac:dyDescent="0.35">
      <c r="A8242" s="3" t="s">
        <v>3259</v>
      </c>
      <c r="B8242" s="1" t="s">
        <v>2494</v>
      </c>
      <c r="C8242" s="1" t="s">
        <v>719</v>
      </c>
      <c r="D8242" s="1" t="s">
        <v>23</v>
      </c>
      <c r="E8242" s="1" t="s">
        <v>29</v>
      </c>
      <c r="F8242" s="2" t="s">
        <v>2746</v>
      </c>
      <c r="G8242" s="1">
        <v>43.936</v>
      </c>
      <c r="H8242" s="1">
        <v>4</v>
      </c>
      <c r="I8242" s="1">
        <v>6.0411999999999999</v>
      </c>
    </row>
    <row r="8243" spans="1:9" x14ac:dyDescent="0.35">
      <c r="A8243" s="3">
        <v>41648</v>
      </c>
      <c r="B8243" s="1" t="s">
        <v>122</v>
      </c>
      <c r="C8243" s="1" t="s">
        <v>135</v>
      </c>
      <c r="D8243" s="1" t="s">
        <v>136</v>
      </c>
      <c r="E8243" s="1" t="s">
        <v>35</v>
      </c>
      <c r="F8243" s="2" t="s">
        <v>1229</v>
      </c>
      <c r="G8243" s="1">
        <v>23.744</v>
      </c>
      <c r="H8243" s="1">
        <v>2</v>
      </c>
      <c r="I8243" s="1">
        <v>8.3103999999999996</v>
      </c>
    </row>
    <row r="8244" spans="1:9" x14ac:dyDescent="0.35">
      <c r="A8244" s="3">
        <v>41648</v>
      </c>
      <c r="B8244" s="1" t="s">
        <v>122</v>
      </c>
      <c r="C8244" s="1" t="s">
        <v>135</v>
      </c>
      <c r="D8244" s="1" t="s">
        <v>136</v>
      </c>
      <c r="E8244" s="1" t="s">
        <v>81</v>
      </c>
      <c r="F8244" s="2" t="s">
        <v>1987</v>
      </c>
      <c r="G8244" s="1">
        <v>357</v>
      </c>
      <c r="H8244" s="1">
        <v>3</v>
      </c>
      <c r="I8244" s="1">
        <v>57.12</v>
      </c>
    </row>
    <row r="8245" spans="1:9" x14ac:dyDescent="0.35">
      <c r="A8245" s="3">
        <v>41981</v>
      </c>
      <c r="B8245" s="1" t="s">
        <v>2054</v>
      </c>
      <c r="C8245" s="1" t="s">
        <v>64</v>
      </c>
      <c r="D8245" s="1" t="s">
        <v>18</v>
      </c>
      <c r="E8245" s="1" t="s">
        <v>33</v>
      </c>
      <c r="F8245" s="2" t="s">
        <v>2350</v>
      </c>
      <c r="G8245" s="1">
        <v>806.33600000000001</v>
      </c>
      <c r="H8245" s="1">
        <v>8</v>
      </c>
      <c r="I8245" s="1">
        <v>50.396000000000001</v>
      </c>
    </row>
    <row r="8246" spans="1:9" x14ac:dyDescent="0.35">
      <c r="A8246" s="3">
        <v>41981</v>
      </c>
      <c r="B8246" s="1" t="s">
        <v>2054</v>
      </c>
      <c r="C8246" s="1" t="s">
        <v>64</v>
      </c>
      <c r="D8246" s="1" t="s">
        <v>18</v>
      </c>
      <c r="E8246" s="1" t="s">
        <v>29</v>
      </c>
      <c r="F8246" s="2" t="s">
        <v>1911</v>
      </c>
      <c r="G8246" s="1">
        <v>85.44</v>
      </c>
      <c r="H8246" s="1">
        <v>3</v>
      </c>
      <c r="I8246" s="1">
        <v>31.6128</v>
      </c>
    </row>
    <row r="8247" spans="1:9" x14ac:dyDescent="0.35">
      <c r="A8247" s="3" t="s">
        <v>3500</v>
      </c>
      <c r="B8247" s="1" t="s">
        <v>2737</v>
      </c>
      <c r="C8247" s="1" t="s">
        <v>249</v>
      </c>
      <c r="D8247" s="1" t="s">
        <v>604</v>
      </c>
      <c r="E8247" s="1" t="s">
        <v>26</v>
      </c>
      <c r="F8247" s="2" t="s">
        <v>340</v>
      </c>
      <c r="G8247" s="1">
        <v>344.91</v>
      </c>
      <c r="H8247" s="1">
        <v>3</v>
      </c>
      <c r="I8247" s="1">
        <v>10.347300000000001</v>
      </c>
    </row>
    <row r="8248" spans="1:9" x14ac:dyDescent="0.35">
      <c r="A8248" s="3">
        <v>42282</v>
      </c>
      <c r="B8248" s="1" t="s">
        <v>1777</v>
      </c>
      <c r="C8248" s="1" t="s">
        <v>228</v>
      </c>
      <c r="D8248" s="1" t="s">
        <v>106</v>
      </c>
      <c r="E8248" s="1" t="s">
        <v>37</v>
      </c>
      <c r="F8248" s="2" t="s">
        <v>984</v>
      </c>
      <c r="G8248" s="1">
        <v>70.97</v>
      </c>
      <c r="H8248" s="1">
        <v>5</v>
      </c>
      <c r="I8248" s="1">
        <v>-191.619</v>
      </c>
    </row>
    <row r="8249" spans="1:9" x14ac:dyDescent="0.35">
      <c r="A8249" s="3">
        <v>42282</v>
      </c>
      <c r="B8249" s="1" t="s">
        <v>1777</v>
      </c>
      <c r="C8249" s="1" t="s">
        <v>228</v>
      </c>
      <c r="D8249" s="1" t="s">
        <v>106</v>
      </c>
      <c r="E8249" s="1" t="s">
        <v>31</v>
      </c>
      <c r="F8249" s="2" t="s">
        <v>2050</v>
      </c>
      <c r="G8249" s="1">
        <v>36.783999999999999</v>
      </c>
      <c r="H8249" s="1">
        <v>2</v>
      </c>
      <c r="I8249" s="1">
        <v>3.6783999999999999</v>
      </c>
    </row>
    <row r="8250" spans="1:9" x14ac:dyDescent="0.35">
      <c r="A8250" s="3">
        <v>42648</v>
      </c>
      <c r="B8250" s="1" t="s">
        <v>191</v>
      </c>
      <c r="C8250" s="1" t="s">
        <v>74</v>
      </c>
      <c r="D8250" s="1" t="s">
        <v>75</v>
      </c>
      <c r="E8250" s="1" t="s">
        <v>33</v>
      </c>
      <c r="F8250" s="2" t="s">
        <v>1137</v>
      </c>
      <c r="G8250" s="1">
        <v>743.98800000000006</v>
      </c>
      <c r="H8250" s="1">
        <v>2</v>
      </c>
      <c r="I8250" s="1">
        <v>-123.998</v>
      </c>
    </row>
    <row r="8251" spans="1:9" x14ac:dyDescent="0.35">
      <c r="A8251" s="3">
        <v>42127</v>
      </c>
      <c r="B8251" s="1" t="s">
        <v>1225</v>
      </c>
      <c r="C8251" s="1" t="s">
        <v>154</v>
      </c>
      <c r="D8251" s="1" t="s">
        <v>106</v>
      </c>
      <c r="E8251" s="1" t="s">
        <v>35</v>
      </c>
      <c r="F8251" s="2" t="s">
        <v>1530</v>
      </c>
      <c r="G8251" s="1">
        <v>11.212</v>
      </c>
      <c r="H8251" s="1">
        <v>2</v>
      </c>
      <c r="I8251" s="1">
        <v>-16.818000000000001</v>
      </c>
    </row>
    <row r="8252" spans="1:9" x14ac:dyDescent="0.35">
      <c r="A8252" s="3">
        <v>42127</v>
      </c>
      <c r="B8252" s="1" t="s">
        <v>1225</v>
      </c>
      <c r="C8252" s="1" t="s">
        <v>154</v>
      </c>
      <c r="D8252" s="1" t="s">
        <v>106</v>
      </c>
      <c r="E8252" s="1" t="s">
        <v>29</v>
      </c>
      <c r="F8252" s="2" t="s">
        <v>609</v>
      </c>
      <c r="G8252" s="1">
        <v>4.7119999999999997</v>
      </c>
      <c r="H8252" s="1">
        <v>2</v>
      </c>
      <c r="I8252" s="1">
        <v>-1.8848</v>
      </c>
    </row>
    <row r="8253" spans="1:9" x14ac:dyDescent="0.35">
      <c r="A8253" s="3">
        <v>42127</v>
      </c>
      <c r="B8253" s="1" t="s">
        <v>1225</v>
      </c>
      <c r="C8253" s="1" t="s">
        <v>154</v>
      </c>
      <c r="D8253" s="1" t="s">
        <v>106</v>
      </c>
      <c r="E8253" s="1" t="s">
        <v>37</v>
      </c>
      <c r="F8253" s="2" t="s">
        <v>1852</v>
      </c>
      <c r="G8253" s="1">
        <v>180.98</v>
      </c>
      <c r="H8253" s="1">
        <v>5</v>
      </c>
      <c r="I8253" s="1">
        <v>-470.548</v>
      </c>
    </row>
    <row r="8254" spans="1:9" x14ac:dyDescent="0.35">
      <c r="A8254" s="3">
        <v>42127</v>
      </c>
      <c r="B8254" s="1" t="s">
        <v>1225</v>
      </c>
      <c r="C8254" s="1" t="s">
        <v>154</v>
      </c>
      <c r="D8254" s="1" t="s">
        <v>106</v>
      </c>
      <c r="E8254" s="1" t="s">
        <v>26</v>
      </c>
      <c r="F8254" s="2" t="s">
        <v>263</v>
      </c>
      <c r="G8254" s="1">
        <v>60.415999999999997</v>
      </c>
      <c r="H8254" s="1">
        <v>2</v>
      </c>
      <c r="I8254" s="1">
        <v>6.0415999999999999</v>
      </c>
    </row>
    <row r="8255" spans="1:9" x14ac:dyDescent="0.35">
      <c r="A8255" s="3">
        <v>43077</v>
      </c>
      <c r="B8255" s="1" t="s">
        <v>2685</v>
      </c>
      <c r="C8255" s="1" t="s">
        <v>47</v>
      </c>
      <c r="D8255" s="1" t="s">
        <v>48</v>
      </c>
      <c r="E8255" s="1" t="s">
        <v>579</v>
      </c>
      <c r="F8255" s="2" t="s">
        <v>2197</v>
      </c>
      <c r="G8255" s="1">
        <v>299.99</v>
      </c>
      <c r="H8255" s="1">
        <v>1</v>
      </c>
      <c r="I8255" s="1">
        <v>89.997</v>
      </c>
    </row>
    <row r="8256" spans="1:9" x14ac:dyDescent="0.35">
      <c r="A8256" s="3">
        <v>43077</v>
      </c>
      <c r="B8256" s="1" t="s">
        <v>2685</v>
      </c>
      <c r="C8256" s="1" t="s">
        <v>47</v>
      </c>
      <c r="D8256" s="1" t="s">
        <v>48</v>
      </c>
      <c r="E8256" s="1" t="s">
        <v>44</v>
      </c>
      <c r="F8256" s="2" t="s">
        <v>2803</v>
      </c>
      <c r="G8256" s="1">
        <v>192.16</v>
      </c>
      <c r="H8256" s="1">
        <v>4</v>
      </c>
      <c r="I8256" s="1">
        <v>92.236800000000002</v>
      </c>
    </row>
    <row r="8257" spans="1:9" x14ac:dyDescent="0.35">
      <c r="A8257" s="3">
        <v>43077</v>
      </c>
      <c r="B8257" s="1" t="s">
        <v>2685</v>
      </c>
      <c r="C8257" s="1" t="s">
        <v>47</v>
      </c>
      <c r="D8257" s="1" t="s">
        <v>48</v>
      </c>
      <c r="E8257" s="1" t="s">
        <v>33</v>
      </c>
      <c r="F8257" s="2" t="s">
        <v>941</v>
      </c>
      <c r="G8257" s="1">
        <v>242.624</v>
      </c>
      <c r="H8257" s="1">
        <v>8</v>
      </c>
      <c r="I8257" s="1">
        <v>27.295200000000001</v>
      </c>
    </row>
    <row r="8258" spans="1:9" x14ac:dyDescent="0.35">
      <c r="A8258" s="3">
        <v>43077</v>
      </c>
      <c r="B8258" s="1" t="s">
        <v>2685</v>
      </c>
      <c r="C8258" s="1" t="s">
        <v>47</v>
      </c>
      <c r="D8258" s="1" t="s">
        <v>48</v>
      </c>
      <c r="E8258" s="1" t="s">
        <v>26</v>
      </c>
      <c r="F8258" s="2" t="s">
        <v>814</v>
      </c>
      <c r="G8258" s="1">
        <v>46.74</v>
      </c>
      <c r="H8258" s="1">
        <v>3</v>
      </c>
      <c r="I8258" s="1">
        <v>11.685</v>
      </c>
    </row>
    <row r="8259" spans="1:9" x14ac:dyDescent="0.35">
      <c r="A8259" s="3">
        <v>43077</v>
      </c>
      <c r="B8259" s="1" t="s">
        <v>2685</v>
      </c>
      <c r="C8259" s="1" t="s">
        <v>47</v>
      </c>
      <c r="D8259" s="1" t="s">
        <v>48</v>
      </c>
      <c r="E8259" s="1" t="s">
        <v>81</v>
      </c>
      <c r="F8259" s="2" t="s">
        <v>2465</v>
      </c>
      <c r="G8259" s="1">
        <v>174.95</v>
      </c>
      <c r="H8259" s="1">
        <v>5</v>
      </c>
      <c r="I8259" s="1">
        <v>12.246499999999999</v>
      </c>
    </row>
    <row r="8260" spans="1:9" x14ac:dyDescent="0.35">
      <c r="A8260" s="3">
        <v>43077</v>
      </c>
      <c r="B8260" s="1" t="s">
        <v>2685</v>
      </c>
      <c r="C8260" s="1" t="s">
        <v>47</v>
      </c>
      <c r="D8260" s="1" t="s">
        <v>48</v>
      </c>
      <c r="E8260" s="1" t="s">
        <v>35</v>
      </c>
      <c r="F8260" s="2" t="s">
        <v>2998</v>
      </c>
      <c r="G8260" s="1">
        <v>100.70399999999999</v>
      </c>
      <c r="H8260" s="1">
        <v>6</v>
      </c>
      <c r="I8260" s="1">
        <v>37.764000000000003</v>
      </c>
    </row>
    <row r="8261" spans="1:9" x14ac:dyDescent="0.35">
      <c r="A8261" s="3" t="s">
        <v>3479</v>
      </c>
      <c r="B8261" s="1" t="s">
        <v>1374</v>
      </c>
      <c r="C8261" s="1" t="s">
        <v>283</v>
      </c>
      <c r="D8261" s="1" t="s">
        <v>120</v>
      </c>
      <c r="E8261" s="1" t="s">
        <v>44</v>
      </c>
      <c r="F8261" s="2" t="s">
        <v>809</v>
      </c>
      <c r="G8261" s="1">
        <v>368.91</v>
      </c>
      <c r="H8261" s="1">
        <v>9</v>
      </c>
      <c r="I8261" s="1">
        <v>180.76589999999999</v>
      </c>
    </row>
    <row r="8262" spans="1:9" x14ac:dyDescent="0.35">
      <c r="A8262" s="3" t="s">
        <v>3479</v>
      </c>
      <c r="B8262" s="1" t="s">
        <v>1374</v>
      </c>
      <c r="C8262" s="1" t="s">
        <v>283</v>
      </c>
      <c r="D8262" s="1" t="s">
        <v>120</v>
      </c>
      <c r="E8262" s="1" t="s">
        <v>35</v>
      </c>
      <c r="F8262" s="2" t="s">
        <v>720</v>
      </c>
      <c r="G8262" s="1">
        <v>8.02</v>
      </c>
      <c r="H8262" s="1">
        <v>1</v>
      </c>
      <c r="I8262" s="1">
        <v>3.7694000000000001</v>
      </c>
    </row>
    <row r="8263" spans="1:9" x14ac:dyDescent="0.35">
      <c r="A8263" s="3" t="s">
        <v>3479</v>
      </c>
      <c r="B8263" s="1" t="s">
        <v>1374</v>
      </c>
      <c r="C8263" s="1" t="s">
        <v>283</v>
      </c>
      <c r="D8263" s="1" t="s">
        <v>120</v>
      </c>
      <c r="E8263" s="1" t="s">
        <v>26</v>
      </c>
      <c r="F8263" s="2" t="s">
        <v>2239</v>
      </c>
      <c r="G8263" s="1">
        <v>171.04</v>
      </c>
      <c r="H8263" s="1">
        <v>4</v>
      </c>
      <c r="I8263" s="1">
        <v>44.470399999999998</v>
      </c>
    </row>
    <row r="8264" spans="1:9" x14ac:dyDescent="0.35">
      <c r="A8264" s="3" t="s">
        <v>3718</v>
      </c>
      <c r="B8264" s="1" t="s">
        <v>2457</v>
      </c>
      <c r="C8264" s="1" t="s">
        <v>796</v>
      </c>
      <c r="D8264" s="1" t="s">
        <v>797</v>
      </c>
      <c r="E8264" s="1" t="s">
        <v>44</v>
      </c>
      <c r="F8264" s="2" t="s">
        <v>665</v>
      </c>
      <c r="G8264" s="1">
        <v>19.440000000000001</v>
      </c>
      <c r="H8264" s="1">
        <v>3</v>
      </c>
      <c r="I8264" s="1">
        <v>9.3312000000000008</v>
      </c>
    </row>
    <row r="8265" spans="1:9" x14ac:dyDescent="0.35">
      <c r="A8265" s="3" t="s">
        <v>3620</v>
      </c>
      <c r="B8265" s="1" t="s">
        <v>2016</v>
      </c>
      <c r="C8265" s="1" t="s">
        <v>719</v>
      </c>
      <c r="D8265" s="1" t="s">
        <v>43</v>
      </c>
      <c r="E8265" s="1" t="s">
        <v>35</v>
      </c>
      <c r="F8265" s="2" t="s">
        <v>1115</v>
      </c>
      <c r="G8265" s="1">
        <v>13.092000000000001</v>
      </c>
      <c r="H8265" s="1">
        <v>4</v>
      </c>
      <c r="I8265" s="1">
        <v>-10.0372</v>
      </c>
    </row>
    <row r="8266" spans="1:9" x14ac:dyDescent="0.35">
      <c r="A8266" s="3" t="s">
        <v>3369</v>
      </c>
      <c r="B8266" s="1" t="s">
        <v>788</v>
      </c>
      <c r="C8266" s="1" t="s">
        <v>135</v>
      </c>
      <c r="D8266" s="1" t="s">
        <v>136</v>
      </c>
      <c r="E8266" s="1" t="s">
        <v>37</v>
      </c>
      <c r="F8266" s="2" t="s">
        <v>3084</v>
      </c>
      <c r="G8266" s="1">
        <v>122.94</v>
      </c>
      <c r="H8266" s="1">
        <v>3</v>
      </c>
      <c r="I8266" s="1">
        <v>30.734999999999999</v>
      </c>
    </row>
    <row r="8267" spans="1:9" x14ac:dyDescent="0.35">
      <c r="A8267" s="3" t="s">
        <v>3369</v>
      </c>
      <c r="B8267" s="1" t="s">
        <v>788</v>
      </c>
      <c r="C8267" s="1" t="s">
        <v>135</v>
      </c>
      <c r="D8267" s="1" t="s">
        <v>136</v>
      </c>
      <c r="E8267" s="1" t="s">
        <v>35</v>
      </c>
      <c r="F8267" s="2" t="s">
        <v>1452</v>
      </c>
      <c r="G8267" s="1">
        <v>35.448</v>
      </c>
      <c r="H8267" s="1">
        <v>7</v>
      </c>
      <c r="I8267" s="1">
        <v>12.8499</v>
      </c>
    </row>
    <row r="8268" spans="1:9" x14ac:dyDescent="0.35">
      <c r="A8268" s="3" t="s">
        <v>3292</v>
      </c>
      <c r="B8268" s="1" t="s">
        <v>1275</v>
      </c>
      <c r="C8268" s="1" t="s">
        <v>123</v>
      </c>
      <c r="D8268" s="1" t="s">
        <v>124</v>
      </c>
      <c r="E8268" s="1" t="s">
        <v>33</v>
      </c>
      <c r="F8268" s="2" t="s">
        <v>786</v>
      </c>
      <c r="G8268" s="1">
        <v>19.98</v>
      </c>
      <c r="H8268" s="1">
        <v>2</v>
      </c>
      <c r="I8268" s="1">
        <v>5.1947999999999999</v>
      </c>
    </row>
    <row r="8269" spans="1:9" x14ac:dyDescent="0.35">
      <c r="A8269" s="3" t="s">
        <v>3300</v>
      </c>
      <c r="B8269" s="1" t="s">
        <v>1570</v>
      </c>
      <c r="C8269" s="1" t="s">
        <v>228</v>
      </c>
      <c r="D8269" s="1" t="s">
        <v>106</v>
      </c>
      <c r="E8269" s="1" t="s">
        <v>24</v>
      </c>
      <c r="F8269" s="2" t="s">
        <v>2637</v>
      </c>
      <c r="G8269" s="1">
        <v>69.375</v>
      </c>
      <c r="H8269" s="1">
        <v>1</v>
      </c>
      <c r="I8269" s="1">
        <v>-47.174999999999997</v>
      </c>
    </row>
    <row r="8270" spans="1:9" x14ac:dyDescent="0.35">
      <c r="A8270" s="3" t="s">
        <v>3300</v>
      </c>
      <c r="B8270" s="1" t="s">
        <v>1570</v>
      </c>
      <c r="C8270" s="1" t="s">
        <v>228</v>
      </c>
      <c r="D8270" s="1" t="s">
        <v>106</v>
      </c>
      <c r="E8270" s="1" t="s">
        <v>289</v>
      </c>
      <c r="F8270" s="2" t="s">
        <v>991</v>
      </c>
      <c r="G8270" s="1">
        <v>31.68</v>
      </c>
      <c r="H8270" s="1">
        <v>4</v>
      </c>
      <c r="I8270" s="1">
        <v>2.7719999999999998</v>
      </c>
    </row>
    <row r="8271" spans="1:9" x14ac:dyDescent="0.35">
      <c r="A8271" s="3" t="s">
        <v>3300</v>
      </c>
      <c r="B8271" s="1" t="s">
        <v>1570</v>
      </c>
      <c r="C8271" s="1" t="s">
        <v>228</v>
      </c>
      <c r="D8271" s="1" t="s">
        <v>106</v>
      </c>
      <c r="E8271" s="1" t="s">
        <v>33</v>
      </c>
      <c r="F8271" s="2" t="s">
        <v>2859</v>
      </c>
      <c r="G8271" s="1">
        <v>2003.1679999999999</v>
      </c>
      <c r="H8271" s="1">
        <v>4</v>
      </c>
      <c r="I8271" s="1">
        <v>250.39599999999999</v>
      </c>
    </row>
    <row r="8272" spans="1:9" x14ac:dyDescent="0.35">
      <c r="A8272" s="3" t="s">
        <v>3300</v>
      </c>
      <c r="B8272" s="1" t="s">
        <v>1570</v>
      </c>
      <c r="C8272" s="1" t="s">
        <v>228</v>
      </c>
      <c r="D8272" s="1" t="s">
        <v>106</v>
      </c>
      <c r="E8272" s="1" t="s">
        <v>31</v>
      </c>
      <c r="F8272" s="2" t="s">
        <v>481</v>
      </c>
      <c r="G8272" s="1">
        <v>9.3439999999999994</v>
      </c>
      <c r="H8272" s="1">
        <v>2</v>
      </c>
      <c r="I8272" s="1">
        <v>3.1536</v>
      </c>
    </row>
    <row r="8273" spans="1:9" x14ac:dyDescent="0.35">
      <c r="A8273" s="3" t="s">
        <v>3636</v>
      </c>
      <c r="B8273" s="1" t="s">
        <v>1981</v>
      </c>
      <c r="C8273" s="1" t="s">
        <v>135</v>
      </c>
      <c r="D8273" s="1" t="s">
        <v>136</v>
      </c>
      <c r="E8273" s="1" t="s">
        <v>14</v>
      </c>
      <c r="F8273" s="2" t="s">
        <v>746</v>
      </c>
      <c r="G8273" s="1">
        <v>2563.056</v>
      </c>
      <c r="H8273" s="1">
        <v>8</v>
      </c>
      <c r="I8273" s="1">
        <v>313.26240000000001</v>
      </c>
    </row>
    <row r="8274" spans="1:9" x14ac:dyDescent="0.35">
      <c r="A8274" s="3" t="s">
        <v>3705</v>
      </c>
      <c r="B8274" s="1" t="s">
        <v>1774</v>
      </c>
      <c r="C8274" s="1" t="s">
        <v>3028</v>
      </c>
      <c r="D8274" s="1" t="s">
        <v>18</v>
      </c>
      <c r="E8274" s="1" t="s">
        <v>14</v>
      </c>
      <c r="F8274" s="2" t="s">
        <v>2844</v>
      </c>
      <c r="G8274" s="1">
        <v>387.13600000000002</v>
      </c>
      <c r="H8274" s="1">
        <v>4</v>
      </c>
      <c r="I8274" s="1">
        <v>4.8391999999999999</v>
      </c>
    </row>
    <row r="8275" spans="1:9" x14ac:dyDescent="0.35">
      <c r="A8275" s="3" t="s">
        <v>3435</v>
      </c>
      <c r="B8275" s="1" t="s">
        <v>2901</v>
      </c>
      <c r="C8275" s="1" t="s">
        <v>162</v>
      </c>
      <c r="D8275" s="1" t="s">
        <v>250</v>
      </c>
      <c r="E8275" s="1" t="s">
        <v>31</v>
      </c>
      <c r="F8275" s="2" t="s">
        <v>1685</v>
      </c>
      <c r="G8275" s="1">
        <v>3.4239999999999999</v>
      </c>
      <c r="H8275" s="1">
        <v>1</v>
      </c>
      <c r="I8275" s="1">
        <v>0.29959999999999998</v>
      </c>
    </row>
    <row r="8276" spans="1:9" x14ac:dyDescent="0.35">
      <c r="A8276" s="3" t="s">
        <v>3206</v>
      </c>
      <c r="B8276" s="1" t="s">
        <v>1914</v>
      </c>
      <c r="C8276" s="1" t="s">
        <v>1042</v>
      </c>
      <c r="D8276" s="1" t="s">
        <v>136</v>
      </c>
      <c r="E8276" s="1" t="s">
        <v>26</v>
      </c>
      <c r="F8276" s="2" t="s">
        <v>2408</v>
      </c>
      <c r="G8276" s="1">
        <v>1085.42</v>
      </c>
      <c r="H8276" s="1">
        <v>7</v>
      </c>
      <c r="I8276" s="1">
        <v>282.20920000000001</v>
      </c>
    </row>
    <row r="8277" spans="1:9" x14ac:dyDescent="0.35">
      <c r="A8277" s="3" t="s">
        <v>3760</v>
      </c>
      <c r="B8277" s="1" t="s">
        <v>2808</v>
      </c>
      <c r="C8277" s="1" t="s">
        <v>536</v>
      </c>
      <c r="D8277" s="1" t="s">
        <v>250</v>
      </c>
      <c r="E8277" s="1" t="s">
        <v>44</v>
      </c>
      <c r="F8277" s="2" t="s">
        <v>226</v>
      </c>
      <c r="G8277" s="1">
        <v>43.055999999999997</v>
      </c>
      <c r="H8277" s="1">
        <v>9</v>
      </c>
      <c r="I8277" s="1">
        <v>15.607799999999999</v>
      </c>
    </row>
    <row r="8278" spans="1:9" x14ac:dyDescent="0.35">
      <c r="A8278" s="3" t="s">
        <v>3313</v>
      </c>
      <c r="B8278" s="1" t="s">
        <v>3077</v>
      </c>
      <c r="C8278" s="1" t="s">
        <v>438</v>
      </c>
      <c r="D8278" s="1" t="s">
        <v>23</v>
      </c>
      <c r="E8278" s="1" t="s">
        <v>35</v>
      </c>
      <c r="F8278" s="2" t="s">
        <v>1379</v>
      </c>
      <c r="G8278" s="1">
        <v>3.762</v>
      </c>
      <c r="H8278" s="1">
        <v>3</v>
      </c>
      <c r="I8278" s="1">
        <v>-2.7587999999999999</v>
      </c>
    </row>
    <row r="8279" spans="1:9" x14ac:dyDescent="0.35">
      <c r="A8279" s="3" t="s">
        <v>3313</v>
      </c>
      <c r="B8279" s="1" t="s">
        <v>3077</v>
      </c>
      <c r="C8279" s="1" t="s">
        <v>438</v>
      </c>
      <c r="D8279" s="1" t="s">
        <v>23</v>
      </c>
      <c r="E8279" s="1" t="s">
        <v>35</v>
      </c>
      <c r="F8279" s="2" t="s">
        <v>1540</v>
      </c>
      <c r="G8279" s="1">
        <v>34.86</v>
      </c>
      <c r="H8279" s="1">
        <v>2</v>
      </c>
      <c r="I8279" s="1">
        <v>-26.725999999999999</v>
      </c>
    </row>
    <row r="8280" spans="1:9" x14ac:dyDescent="0.35">
      <c r="A8280" s="3" t="s">
        <v>3313</v>
      </c>
      <c r="B8280" s="1" t="s">
        <v>3077</v>
      </c>
      <c r="C8280" s="1" t="s">
        <v>438</v>
      </c>
      <c r="D8280" s="1" t="s">
        <v>23</v>
      </c>
      <c r="E8280" s="1" t="s">
        <v>26</v>
      </c>
      <c r="F8280" s="2" t="s">
        <v>1269</v>
      </c>
      <c r="G8280" s="1">
        <v>432.45600000000002</v>
      </c>
      <c r="H8280" s="1">
        <v>3</v>
      </c>
      <c r="I8280" s="1">
        <v>32.434199999999997</v>
      </c>
    </row>
    <row r="8281" spans="1:9" x14ac:dyDescent="0.35">
      <c r="A8281" s="3" t="s">
        <v>3320</v>
      </c>
      <c r="B8281" s="1" t="s">
        <v>906</v>
      </c>
      <c r="C8281" s="1" t="s">
        <v>249</v>
      </c>
      <c r="D8281" s="1" t="s">
        <v>604</v>
      </c>
      <c r="E8281" s="1" t="s">
        <v>26</v>
      </c>
      <c r="F8281" s="2" t="s">
        <v>1519</v>
      </c>
      <c r="G8281" s="1">
        <v>675.06</v>
      </c>
      <c r="H8281" s="1">
        <v>3</v>
      </c>
      <c r="I8281" s="1">
        <v>87.757800000000003</v>
      </c>
    </row>
    <row r="8282" spans="1:9" x14ac:dyDescent="0.35">
      <c r="A8282" s="3">
        <v>42983</v>
      </c>
      <c r="B8282" s="1" t="s">
        <v>831</v>
      </c>
      <c r="C8282" s="1" t="s">
        <v>719</v>
      </c>
      <c r="D8282" s="1" t="s">
        <v>43</v>
      </c>
      <c r="E8282" s="1" t="s">
        <v>87</v>
      </c>
      <c r="F8282" s="2" t="s">
        <v>254</v>
      </c>
      <c r="G8282" s="1">
        <v>65.231999999999999</v>
      </c>
      <c r="H8282" s="1">
        <v>3</v>
      </c>
      <c r="I8282" s="1">
        <v>22.015799999999999</v>
      </c>
    </row>
    <row r="8283" spans="1:9" x14ac:dyDescent="0.35">
      <c r="A8283" s="3">
        <v>42983</v>
      </c>
      <c r="B8283" s="1" t="s">
        <v>831</v>
      </c>
      <c r="C8283" s="1" t="s">
        <v>719</v>
      </c>
      <c r="D8283" s="1" t="s">
        <v>43</v>
      </c>
      <c r="E8283" s="1" t="s">
        <v>14</v>
      </c>
      <c r="F8283" s="2" t="s">
        <v>1464</v>
      </c>
      <c r="G8283" s="1">
        <v>207</v>
      </c>
      <c r="H8283" s="1">
        <v>3</v>
      </c>
      <c r="I8283" s="1">
        <v>25.875</v>
      </c>
    </row>
    <row r="8284" spans="1:9" x14ac:dyDescent="0.35">
      <c r="A8284" s="3" t="s">
        <v>3253</v>
      </c>
      <c r="B8284" s="1" t="s">
        <v>1613</v>
      </c>
      <c r="C8284" s="1" t="s">
        <v>3044</v>
      </c>
      <c r="D8284" s="1" t="s">
        <v>106</v>
      </c>
      <c r="E8284" s="1" t="s">
        <v>338</v>
      </c>
      <c r="F8284" s="2" t="s">
        <v>1431</v>
      </c>
      <c r="G8284" s="1">
        <v>600.53</v>
      </c>
      <c r="H8284" s="1">
        <v>2</v>
      </c>
      <c r="I8284" s="1">
        <v>137.26400000000001</v>
      </c>
    </row>
    <row r="8285" spans="1:9" x14ac:dyDescent="0.35">
      <c r="A8285" s="3" t="s">
        <v>3253</v>
      </c>
      <c r="B8285" s="1" t="s">
        <v>1613</v>
      </c>
      <c r="C8285" s="1" t="s">
        <v>3044</v>
      </c>
      <c r="D8285" s="1" t="s">
        <v>106</v>
      </c>
      <c r="E8285" s="1" t="s">
        <v>31</v>
      </c>
      <c r="F8285" s="2" t="s">
        <v>1257</v>
      </c>
      <c r="G8285" s="1">
        <v>59.904000000000003</v>
      </c>
      <c r="H8285" s="1">
        <v>2</v>
      </c>
      <c r="I8285" s="1">
        <v>14.2272</v>
      </c>
    </row>
    <row r="8286" spans="1:9" x14ac:dyDescent="0.35">
      <c r="A8286" s="3" t="s">
        <v>3253</v>
      </c>
      <c r="B8286" s="1" t="s">
        <v>1613</v>
      </c>
      <c r="C8286" s="1" t="s">
        <v>3044</v>
      </c>
      <c r="D8286" s="1" t="s">
        <v>106</v>
      </c>
      <c r="E8286" s="1" t="s">
        <v>81</v>
      </c>
      <c r="F8286" s="2" t="s">
        <v>1323</v>
      </c>
      <c r="G8286" s="1">
        <v>637.44000000000005</v>
      </c>
      <c r="H8286" s="1">
        <v>8</v>
      </c>
      <c r="I8286" s="1">
        <v>135.45599999999999</v>
      </c>
    </row>
    <row r="8287" spans="1:9" x14ac:dyDescent="0.35">
      <c r="A8287" s="3" t="s">
        <v>3253</v>
      </c>
      <c r="B8287" s="1" t="s">
        <v>1613</v>
      </c>
      <c r="C8287" s="1" t="s">
        <v>3044</v>
      </c>
      <c r="D8287" s="1" t="s">
        <v>106</v>
      </c>
      <c r="E8287" s="1" t="s">
        <v>29</v>
      </c>
      <c r="F8287" s="2" t="s">
        <v>868</v>
      </c>
      <c r="G8287" s="1">
        <v>51.756</v>
      </c>
      <c r="H8287" s="1">
        <v>3</v>
      </c>
      <c r="I8287" s="1">
        <v>-33.641399999999997</v>
      </c>
    </row>
    <row r="8288" spans="1:9" x14ac:dyDescent="0.35">
      <c r="A8288" s="3">
        <v>41981</v>
      </c>
      <c r="B8288" s="1" t="s">
        <v>2651</v>
      </c>
      <c r="C8288" s="1" t="s">
        <v>672</v>
      </c>
      <c r="D8288" s="1" t="s">
        <v>23</v>
      </c>
      <c r="E8288" s="1" t="s">
        <v>44</v>
      </c>
      <c r="F8288" s="2" t="s">
        <v>3021</v>
      </c>
      <c r="G8288" s="1">
        <v>31.103999999999999</v>
      </c>
      <c r="H8288" s="1">
        <v>6</v>
      </c>
      <c r="I8288" s="1">
        <v>10.8864</v>
      </c>
    </row>
    <row r="8289" spans="1:9" x14ac:dyDescent="0.35">
      <c r="A8289" s="3">
        <v>41981</v>
      </c>
      <c r="B8289" s="1" t="s">
        <v>2651</v>
      </c>
      <c r="C8289" s="1" t="s">
        <v>672</v>
      </c>
      <c r="D8289" s="1" t="s">
        <v>23</v>
      </c>
      <c r="E8289" s="1" t="s">
        <v>31</v>
      </c>
      <c r="F8289" s="2" t="s">
        <v>690</v>
      </c>
      <c r="G8289" s="1">
        <v>47.96</v>
      </c>
      <c r="H8289" s="1">
        <v>5</v>
      </c>
      <c r="I8289" s="1">
        <v>4.1965000000000003</v>
      </c>
    </row>
    <row r="8290" spans="1:9" x14ac:dyDescent="0.35">
      <c r="A8290" s="3">
        <v>41981</v>
      </c>
      <c r="B8290" s="1" t="s">
        <v>2651</v>
      </c>
      <c r="C8290" s="1" t="s">
        <v>672</v>
      </c>
      <c r="D8290" s="1" t="s">
        <v>23</v>
      </c>
      <c r="E8290" s="1" t="s">
        <v>81</v>
      </c>
      <c r="F8290" s="2" t="s">
        <v>1249</v>
      </c>
      <c r="G8290" s="1">
        <v>158.928</v>
      </c>
      <c r="H8290" s="1">
        <v>7</v>
      </c>
      <c r="I8290" s="1">
        <v>41.718600000000002</v>
      </c>
    </row>
    <row r="8291" spans="1:9" x14ac:dyDescent="0.35">
      <c r="A8291" s="3">
        <v>41981</v>
      </c>
      <c r="B8291" s="1" t="s">
        <v>2651</v>
      </c>
      <c r="C8291" s="1" t="s">
        <v>672</v>
      </c>
      <c r="D8291" s="1" t="s">
        <v>23</v>
      </c>
      <c r="E8291" s="1" t="s">
        <v>37</v>
      </c>
      <c r="F8291" s="2" t="s">
        <v>2195</v>
      </c>
      <c r="G8291" s="1">
        <v>211.24799999999999</v>
      </c>
      <c r="H8291" s="1">
        <v>6</v>
      </c>
      <c r="I8291" s="1">
        <v>15.8436</v>
      </c>
    </row>
    <row r="8292" spans="1:9" x14ac:dyDescent="0.35">
      <c r="A8292" s="3">
        <v>41981</v>
      </c>
      <c r="B8292" s="1" t="s">
        <v>2651</v>
      </c>
      <c r="C8292" s="1" t="s">
        <v>672</v>
      </c>
      <c r="D8292" s="1" t="s">
        <v>23</v>
      </c>
      <c r="E8292" s="1" t="s">
        <v>289</v>
      </c>
      <c r="F8292" s="2" t="s">
        <v>2611</v>
      </c>
      <c r="G8292" s="1">
        <v>5.5519999999999996</v>
      </c>
      <c r="H8292" s="1">
        <v>2</v>
      </c>
      <c r="I8292" s="1">
        <v>-1.0409999999999999</v>
      </c>
    </row>
    <row r="8293" spans="1:9" x14ac:dyDescent="0.35">
      <c r="A8293" s="3">
        <v>41981</v>
      </c>
      <c r="B8293" s="1" t="s">
        <v>2651</v>
      </c>
      <c r="C8293" s="1" t="s">
        <v>672</v>
      </c>
      <c r="D8293" s="1" t="s">
        <v>23</v>
      </c>
      <c r="E8293" s="1" t="s">
        <v>19</v>
      </c>
      <c r="F8293" s="2" t="s">
        <v>1902</v>
      </c>
      <c r="G8293" s="1">
        <v>2.952</v>
      </c>
      <c r="H8293" s="1">
        <v>1</v>
      </c>
      <c r="I8293" s="1">
        <v>0.99629999999999996</v>
      </c>
    </row>
    <row r="8294" spans="1:9" x14ac:dyDescent="0.35">
      <c r="A8294" s="3">
        <v>42320</v>
      </c>
      <c r="B8294" s="1" t="s">
        <v>282</v>
      </c>
      <c r="C8294" s="1" t="s">
        <v>141</v>
      </c>
      <c r="D8294" s="1" t="s">
        <v>250</v>
      </c>
      <c r="E8294" s="1" t="s">
        <v>35</v>
      </c>
      <c r="F8294" s="2" t="s">
        <v>2365</v>
      </c>
      <c r="G8294" s="1">
        <v>10.332000000000001</v>
      </c>
      <c r="H8294" s="1">
        <v>3</v>
      </c>
      <c r="I8294" s="1">
        <v>-7.5768000000000004</v>
      </c>
    </row>
    <row r="8295" spans="1:9" x14ac:dyDescent="0.35">
      <c r="A8295" s="3">
        <v>42805</v>
      </c>
      <c r="B8295" s="1" t="s">
        <v>2561</v>
      </c>
      <c r="C8295" s="1" t="s">
        <v>47</v>
      </c>
      <c r="D8295" s="1" t="s">
        <v>48</v>
      </c>
      <c r="E8295" s="1" t="s">
        <v>35</v>
      </c>
      <c r="F8295" s="2" t="s">
        <v>2002</v>
      </c>
      <c r="G8295" s="1">
        <v>18.367999999999999</v>
      </c>
      <c r="H8295" s="1">
        <v>4</v>
      </c>
      <c r="I8295" s="1">
        <v>5.9695999999999998</v>
      </c>
    </row>
    <row r="8296" spans="1:9" x14ac:dyDescent="0.35">
      <c r="A8296" s="3" t="s">
        <v>3328</v>
      </c>
      <c r="B8296" s="1" t="s">
        <v>1316</v>
      </c>
      <c r="C8296" s="1" t="s">
        <v>135</v>
      </c>
      <c r="D8296" s="1" t="s">
        <v>136</v>
      </c>
      <c r="E8296" s="1" t="s">
        <v>33</v>
      </c>
      <c r="F8296" s="2" t="s">
        <v>1969</v>
      </c>
      <c r="G8296" s="1">
        <v>299.89999999999998</v>
      </c>
      <c r="H8296" s="1">
        <v>2</v>
      </c>
      <c r="I8296" s="1">
        <v>74.974999999999994</v>
      </c>
    </row>
    <row r="8297" spans="1:9" x14ac:dyDescent="0.35">
      <c r="A8297" s="3" t="s">
        <v>3633</v>
      </c>
      <c r="B8297" s="1" t="s">
        <v>1753</v>
      </c>
      <c r="C8297" s="1" t="s">
        <v>540</v>
      </c>
      <c r="D8297" s="1" t="s">
        <v>163</v>
      </c>
      <c r="E8297" s="1" t="s">
        <v>87</v>
      </c>
      <c r="F8297" s="2" t="s">
        <v>252</v>
      </c>
      <c r="G8297" s="1">
        <v>26.55</v>
      </c>
      <c r="H8297" s="1">
        <v>9</v>
      </c>
      <c r="I8297" s="1">
        <v>12.744</v>
      </c>
    </row>
    <row r="8298" spans="1:9" x14ac:dyDescent="0.35">
      <c r="A8298" s="3" t="s">
        <v>3633</v>
      </c>
      <c r="B8298" s="1" t="s">
        <v>1753</v>
      </c>
      <c r="C8298" s="1" t="s">
        <v>540</v>
      </c>
      <c r="D8298" s="1" t="s">
        <v>163</v>
      </c>
      <c r="E8298" s="1" t="s">
        <v>81</v>
      </c>
      <c r="F8298" s="2" t="s">
        <v>418</v>
      </c>
      <c r="G8298" s="1">
        <v>111.98</v>
      </c>
      <c r="H8298" s="1">
        <v>2</v>
      </c>
      <c r="I8298" s="1">
        <v>26.8752</v>
      </c>
    </row>
    <row r="8299" spans="1:9" x14ac:dyDescent="0.35">
      <c r="A8299" s="3">
        <v>42131</v>
      </c>
      <c r="B8299" s="1" t="s">
        <v>1041</v>
      </c>
      <c r="C8299" s="1" t="s">
        <v>234</v>
      </c>
      <c r="D8299" s="1" t="s">
        <v>43</v>
      </c>
      <c r="E8299" s="1" t="s">
        <v>29</v>
      </c>
      <c r="F8299" s="2" t="s">
        <v>2306</v>
      </c>
      <c r="G8299" s="1">
        <v>4.9279999999999999</v>
      </c>
      <c r="H8299" s="1">
        <v>2</v>
      </c>
      <c r="I8299" s="1">
        <v>0.73919999999999997</v>
      </c>
    </row>
    <row r="8300" spans="1:9" x14ac:dyDescent="0.35">
      <c r="A8300" s="3">
        <v>42131</v>
      </c>
      <c r="B8300" s="1" t="s">
        <v>1041</v>
      </c>
      <c r="C8300" s="1" t="s">
        <v>234</v>
      </c>
      <c r="D8300" s="1" t="s">
        <v>43</v>
      </c>
      <c r="E8300" s="1" t="s">
        <v>19</v>
      </c>
      <c r="F8300" s="2" t="s">
        <v>1071</v>
      </c>
      <c r="G8300" s="1">
        <v>11.784000000000001</v>
      </c>
      <c r="H8300" s="1">
        <v>3</v>
      </c>
      <c r="I8300" s="1">
        <v>4.2717000000000001</v>
      </c>
    </row>
    <row r="8301" spans="1:9" x14ac:dyDescent="0.35">
      <c r="A8301" s="3">
        <v>41946</v>
      </c>
      <c r="B8301" s="1" t="s">
        <v>2081</v>
      </c>
      <c r="C8301" s="1" t="s">
        <v>283</v>
      </c>
      <c r="D8301" s="1" t="s">
        <v>18</v>
      </c>
      <c r="E8301" s="1" t="s">
        <v>31</v>
      </c>
      <c r="F8301" s="2" t="s">
        <v>2657</v>
      </c>
      <c r="G8301" s="1">
        <v>7.98</v>
      </c>
      <c r="H8301" s="1">
        <v>3</v>
      </c>
      <c r="I8301" s="1">
        <v>2.0748000000000002</v>
      </c>
    </row>
    <row r="8302" spans="1:9" x14ac:dyDescent="0.35">
      <c r="A8302" s="3" t="s">
        <v>3701</v>
      </c>
      <c r="B8302" s="1" t="s">
        <v>875</v>
      </c>
      <c r="C8302" s="1" t="s">
        <v>429</v>
      </c>
      <c r="D8302" s="1" t="s">
        <v>120</v>
      </c>
      <c r="E8302" s="1" t="s">
        <v>87</v>
      </c>
      <c r="F8302" s="2" t="s">
        <v>465</v>
      </c>
      <c r="G8302" s="1">
        <v>180.96</v>
      </c>
      <c r="H8302" s="1">
        <v>2</v>
      </c>
      <c r="I8302" s="1">
        <v>81.432000000000002</v>
      </c>
    </row>
    <row r="8303" spans="1:9" x14ac:dyDescent="0.35">
      <c r="A8303" s="3" t="s">
        <v>3814</v>
      </c>
      <c r="B8303" s="1" t="s">
        <v>1575</v>
      </c>
      <c r="C8303" s="1" t="s">
        <v>17</v>
      </c>
      <c r="D8303" s="1" t="s">
        <v>18</v>
      </c>
      <c r="E8303" s="1" t="s">
        <v>81</v>
      </c>
      <c r="F8303" s="2" t="s">
        <v>2899</v>
      </c>
      <c r="G8303" s="1">
        <v>1649.95</v>
      </c>
      <c r="H8303" s="1">
        <v>5</v>
      </c>
      <c r="I8303" s="1">
        <v>659.98</v>
      </c>
    </row>
    <row r="8304" spans="1:9" x14ac:dyDescent="0.35">
      <c r="A8304" s="3" t="s">
        <v>3814</v>
      </c>
      <c r="B8304" s="1" t="s">
        <v>1575</v>
      </c>
      <c r="C8304" s="1" t="s">
        <v>17</v>
      </c>
      <c r="D8304" s="1" t="s">
        <v>18</v>
      </c>
      <c r="E8304" s="1" t="s">
        <v>14</v>
      </c>
      <c r="F8304" s="2" t="s">
        <v>1161</v>
      </c>
      <c r="G8304" s="1">
        <v>362.35199999999998</v>
      </c>
      <c r="H8304" s="1">
        <v>3</v>
      </c>
      <c r="I8304" s="1">
        <v>45.293999999999997</v>
      </c>
    </row>
    <row r="8305" spans="1:9" x14ac:dyDescent="0.35">
      <c r="A8305" s="3" t="s">
        <v>3516</v>
      </c>
      <c r="B8305" s="1" t="s">
        <v>2321</v>
      </c>
      <c r="C8305" s="1" t="s">
        <v>64</v>
      </c>
      <c r="D8305" s="1" t="s">
        <v>18</v>
      </c>
      <c r="E8305" s="1" t="s">
        <v>33</v>
      </c>
      <c r="F8305" s="2" t="s">
        <v>929</v>
      </c>
      <c r="G8305" s="1">
        <v>73.584000000000003</v>
      </c>
      <c r="H8305" s="1">
        <v>2</v>
      </c>
      <c r="I8305" s="1">
        <v>8.2782</v>
      </c>
    </row>
    <row r="8306" spans="1:9" x14ac:dyDescent="0.35">
      <c r="A8306" s="3">
        <v>42805</v>
      </c>
      <c r="B8306" s="1" t="s">
        <v>2521</v>
      </c>
      <c r="C8306" s="1" t="s">
        <v>2371</v>
      </c>
      <c r="D8306" s="1" t="s">
        <v>18</v>
      </c>
      <c r="E8306" s="1" t="s">
        <v>24</v>
      </c>
      <c r="F8306" s="2" t="s">
        <v>2916</v>
      </c>
      <c r="G8306" s="1">
        <v>486.36799999999999</v>
      </c>
      <c r="H8306" s="1">
        <v>4</v>
      </c>
      <c r="I8306" s="1">
        <v>36.477600000000002</v>
      </c>
    </row>
    <row r="8307" spans="1:9" x14ac:dyDescent="0.35">
      <c r="A8307" s="3">
        <v>42682</v>
      </c>
      <c r="B8307" s="1" t="s">
        <v>778</v>
      </c>
      <c r="C8307" s="1" t="s">
        <v>1897</v>
      </c>
      <c r="D8307" s="1" t="s">
        <v>322</v>
      </c>
      <c r="E8307" s="1" t="s">
        <v>44</v>
      </c>
      <c r="F8307" s="2" t="s">
        <v>1187</v>
      </c>
      <c r="G8307" s="1">
        <v>32.4</v>
      </c>
      <c r="H8307" s="1">
        <v>5</v>
      </c>
      <c r="I8307" s="1">
        <v>15.552</v>
      </c>
    </row>
    <row r="8308" spans="1:9" x14ac:dyDescent="0.35">
      <c r="A8308" s="3">
        <v>42682</v>
      </c>
      <c r="B8308" s="1" t="s">
        <v>778</v>
      </c>
      <c r="C8308" s="1" t="s">
        <v>1897</v>
      </c>
      <c r="D8308" s="1" t="s">
        <v>322</v>
      </c>
      <c r="E8308" s="1" t="s">
        <v>35</v>
      </c>
      <c r="F8308" s="2" t="s">
        <v>1008</v>
      </c>
      <c r="G8308" s="1">
        <v>41.86</v>
      </c>
      <c r="H8308" s="1">
        <v>7</v>
      </c>
      <c r="I8308" s="1">
        <v>19.255600000000001</v>
      </c>
    </row>
    <row r="8309" spans="1:9" x14ac:dyDescent="0.35">
      <c r="A8309" s="3">
        <v>42682</v>
      </c>
      <c r="B8309" s="1" t="s">
        <v>778</v>
      </c>
      <c r="C8309" s="1" t="s">
        <v>1897</v>
      </c>
      <c r="D8309" s="1" t="s">
        <v>322</v>
      </c>
      <c r="E8309" s="1" t="s">
        <v>35</v>
      </c>
      <c r="F8309" s="2" t="s">
        <v>2603</v>
      </c>
      <c r="G8309" s="1">
        <v>77.56</v>
      </c>
      <c r="H8309" s="1">
        <v>2</v>
      </c>
      <c r="I8309" s="1">
        <v>35.677599999999998</v>
      </c>
    </row>
    <row r="8310" spans="1:9" x14ac:dyDescent="0.35">
      <c r="A8310" s="3" t="s">
        <v>3317</v>
      </c>
      <c r="B8310" s="1" t="s">
        <v>2159</v>
      </c>
      <c r="C8310" s="1" t="s">
        <v>64</v>
      </c>
      <c r="D8310" s="1" t="s">
        <v>18</v>
      </c>
      <c r="E8310" s="1" t="s">
        <v>31</v>
      </c>
      <c r="F8310" s="2" t="s">
        <v>1722</v>
      </c>
      <c r="G8310" s="1">
        <v>37.17</v>
      </c>
      <c r="H8310" s="1">
        <v>9</v>
      </c>
      <c r="I8310" s="1">
        <v>11.151</v>
      </c>
    </row>
    <row r="8311" spans="1:9" x14ac:dyDescent="0.35">
      <c r="A8311" s="3">
        <v>41642</v>
      </c>
      <c r="B8311" s="1" t="s">
        <v>1927</v>
      </c>
      <c r="C8311" s="1" t="s">
        <v>93</v>
      </c>
      <c r="D8311" s="1" t="s">
        <v>52</v>
      </c>
      <c r="E8311" s="1" t="s">
        <v>26</v>
      </c>
      <c r="F8311" s="2" t="s">
        <v>2120</v>
      </c>
      <c r="G8311" s="1">
        <v>137.352</v>
      </c>
      <c r="H8311" s="1">
        <v>3</v>
      </c>
      <c r="I8311" s="1">
        <v>8.5845000000000002</v>
      </c>
    </row>
    <row r="8312" spans="1:9" x14ac:dyDescent="0.35">
      <c r="A8312" s="3">
        <v>41642</v>
      </c>
      <c r="B8312" s="1" t="s">
        <v>1927</v>
      </c>
      <c r="C8312" s="1" t="s">
        <v>93</v>
      </c>
      <c r="D8312" s="1" t="s">
        <v>52</v>
      </c>
      <c r="E8312" s="1" t="s">
        <v>24</v>
      </c>
      <c r="F8312" s="2" t="s">
        <v>2147</v>
      </c>
      <c r="G8312" s="1">
        <v>376.50900000000001</v>
      </c>
      <c r="H8312" s="1">
        <v>3</v>
      </c>
      <c r="I8312" s="1">
        <v>-43.029600000000002</v>
      </c>
    </row>
    <row r="8313" spans="1:9" x14ac:dyDescent="0.35">
      <c r="A8313" s="3" t="s">
        <v>3266</v>
      </c>
      <c r="B8313" s="1" t="s">
        <v>857</v>
      </c>
      <c r="C8313" s="1" t="s">
        <v>249</v>
      </c>
      <c r="D8313" s="1" t="s">
        <v>604</v>
      </c>
      <c r="E8313" s="1" t="s">
        <v>29</v>
      </c>
      <c r="F8313" s="2" t="s">
        <v>262</v>
      </c>
      <c r="G8313" s="1">
        <v>62.72</v>
      </c>
      <c r="H8313" s="1">
        <v>4</v>
      </c>
      <c r="I8313" s="1">
        <v>24.460799999999999</v>
      </c>
    </row>
    <row r="8314" spans="1:9" x14ac:dyDescent="0.35">
      <c r="A8314" s="3" t="s">
        <v>3266</v>
      </c>
      <c r="B8314" s="1" t="s">
        <v>857</v>
      </c>
      <c r="C8314" s="1" t="s">
        <v>249</v>
      </c>
      <c r="D8314" s="1" t="s">
        <v>604</v>
      </c>
      <c r="E8314" s="1" t="s">
        <v>33</v>
      </c>
      <c r="F8314" s="2" t="s">
        <v>2424</v>
      </c>
      <c r="G8314" s="1">
        <v>2939.93</v>
      </c>
      <c r="H8314" s="1">
        <v>7</v>
      </c>
      <c r="I8314" s="1">
        <v>764.3818</v>
      </c>
    </row>
    <row r="8315" spans="1:9" x14ac:dyDescent="0.35">
      <c r="A8315" s="3">
        <v>41980</v>
      </c>
      <c r="B8315" s="1" t="s">
        <v>1403</v>
      </c>
      <c r="C8315" s="1" t="s">
        <v>2843</v>
      </c>
      <c r="D8315" s="1" t="s">
        <v>52</v>
      </c>
      <c r="E8315" s="1" t="s">
        <v>14</v>
      </c>
      <c r="F8315" s="2" t="s">
        <v>1445</v>
      </c>
      <c r="G8315" s="1">
        <v>512.35799999999995</v>
      </c>
      <c r="H8315" s="1">
        <v>3</v>
      </c>
      <c r="I8315" s="1">
        <v>-14.6388</v>
      </c>
    </row>
    <row r="8316" spans="1:9" x14ac:dyDescent="0.35">
      <c r="A8316" s="3">
        <v>41980</v>
      </c>
      <c r="B8316" s="1" t="s">
        <v>1403</v>
      </c>
      <c r="C8316" s="1" t="s">
        <v>2843</v>
      </c>
      <c r="D8316" s="1" t="s">
        <v>52</v>
      </c>
      <c r="E8316" s="1" t="s">
        <v>137</v>
      </c>
      <c r="F8316" s="2" t="s">
        <v>1430</v>
      </c>
      <c r="G8316" s="1">
        <v>3.488</v>
      </c>
      <c r="H8316" s="1">
        <v>2</v>
      </c>
      <c r="I8316" s="1">
        <v>0.56679999999999997</v>
      </c>
    </row>
    <row r="8317" spans="1:9" x14ac:dyDescent="0.35">
      <c r="A8317" s="3">
        <v>41980</v>
      </c>
      <c r="B8317" s="1" t="s">
        <v>1403</v>
      </c>
      <c r="C8317" s="1" t="s">
        <v>2843</v>
      </c>
      <c r="D8317" s="1" t="s">
        <v>52</v>
      </c>
      <c r="E8317" s="1" t="s">
        <v>31</v>
      </c>
      <c r="F8317" s="2" t="s">
        <v>1220</v>
      </c>
      <c r="G8317" s="1">
        <v>22.288</v>
      </c>
      <c r="H8317" s="1">
        <v>7</v>
      </c>
      <c r="I8317" s="1">
        <v>3.9003999999999999</v>
      </c>
    </row>
    <row r="8318" spans="1:9" x14ac:dyDescent="0.35">
      <c r="A8318" s="3">
        <v>41980</v>
      </c>
      <c r="B8318" s="1" t="s">
        <v>1403</v>
      </c>
      <c r="C8318" s="1" t="s">
        <v>2843</v>
      </c>
      <c r="D8318" s="1" t="s">
        <v>52</v>
      </c>
      <c r="E8318" s="1" t="s">
        <v>44</v>
      </c>
      <c r="F8318" s="2" t="s">
        <v>284</v>
      </c>
      <c r="G8318" s="1">
        <v>16.032</v>
      </c>
      <c r="H8318" s="1">
        <v>3</v>
      </c>
      <c r="I8318" s="1">
        <v>5.6112000000000002</v>
      </c>
    </row>
    <row r="8319" spans="1:9" x14ac:dyDescent="0.35">
      <c r="A8319" s="3">
        <v>43043</v>
      </c>
      <c r="B8319" s="1" t="s">
        <v>165</v>
      </c>
      <c r="C8319" s="1" t="s">
        <v>1011</v>
      </c>
      <c r="D8319" s="1" t="s">
        <v>43</v>
      </c>
      <c r="E8319" s="1" t="s">
        <v>31</v>
      </c>
      <c r="F8319" s="2" t="s">
        <v>1526</v>
      </c>
      <c r="G8319" s="1">
        <v>1.752</v>
      </c>
      <c r="H8319" s="1">
        <v>1</v>
      </c>
      <c r="I8319" s="1">
        <v>0.15329999999999999</v>
      </c>
    </row>
    <row r="8320" spans="1:9" x14ac:dyDescent="0.35">
      <c r="A8320" s="3">
        <v>43043</v>
      </c>
      <c r="B8320" s="1" t="s">
        <v>165</v>
      </c>
      <c r="C8320" s="1" t="s">
        <v>1011</v>
      </c>
      <c r="D8320" s="1" t="s">
        <v>43</v>
      </c>
      <c r="E8320" s="1" t="s">
        <v>31</v>
      </c>
      <c r="F8320" s="2" t="s">
        <v>1998</v>
      </c>
      <c r="G8320" s="1">
        <v>20.992000000000001</v>
      </c>
      <c r="H8320" s="1">
        <v>8</v>
      </c>
      <c r="I8320" s="1">
        <v>2.3616000000000001</v>
      </c>
    </row>
    <row r="8321" spans="1:9" x14ac:dyDescent="0.35">
      <c r="A8321" s="3" t="s">
        <v>3165</v>
      </c>
      <c r="B8321" s="1" t="s">
        <v>776</v>
      </c>
      <c r="C8321" s="1" t="s">
        <v>135</v>
      </c>
      <c r="D8321" s="1" t="s">
        <v>136</v>
      </c>
      <c r="E8321" s="1" t="s">
        <v>26</v>
      </c>
      <c r="F8321" s="2" t="s">
        <v>1064</v>
      </c>
      <c r="G8321" s="1">
        <v>11.21</v>
      </c>
      <c r="H8321" s="1">
        <v>1</v>
      </c>
      <c r="I8321" s="1">
        <v>3.363</v>
      </c>
    </row>
    <row r="8322" spans="1:9" x14ac:dyDescent="0.35">
      <c r="A8322" s="3">
        <v>42136</v>
      </c>
      <c r="B8322" s="1" t="s">
        <v>73</v>
      </c>
      <c r="C8322" s="1" t="s">
        <v>399</v>
      </c>
      <c r="D8322" s="1" t="s">
        <v>52</v>
      </c>
      <c r="E8322" s="1" t="s">
        <v>31</v>
      </c>
      <c r="F8322" s="2" t="s">
        <v>2451</v>
      </c>
      <c r="G8322" s="1">
        <v>45.04</v>
      </c>
      <c r="H8322" s="1">
        <v>2</v>
      </c>
      <c r="I8322" s="1">
        <v>4.5039999999999996</v>
      </c>
    </row>
    <row r="8323" spans="1:9" x14ac:dyDescent="0.35">
      <c r="A8323" s="3" t="s">
        <v>3220</v>
      </c>
      <c r="B8323" s="1" t="s">
        <v>2226</v>
      </c>
      <c r="C8323" s="1" t="s">
        <v>93</v>
      </c>
      <c r="D8323" s="1" t="s">
        <v>52</v>
      </c>
      <c r="E8323" s="1" t="s">
        <v>35</v>
      </c>
      <c r="F8323" s="2" t="s">
        <v>2959</v>
      </c>
      <c r="G8323" s="1">
        <v>15.624000000000001</v>
      </c>
      <c r="H8323" s="1">
        <v>2</v>
      </c>
      <c r="I8323" s="1">
        <v>-24.9984</v>
      </c>
    </row>
    <row r="8324" spans="1:9" x14ac:dyDescent="0.35">
      <c r="A8324" s="3" t="s">
        <v>3625</v>
      </c>
      <c r="B8324" s="1" t="s">
        <v>1602</v>
      </c>
      <c r="C8324" s="1" t="s">
        <v>559</v>
      </c>
      <c r="D8324" s="1" t="s">
        <v>136</v>
      </c>
      <c r="E8324" s="1" t="s">
        <v>37</v>
      </c>
      <c r="F8324" s="2" t="s">
        <v>2529</v>
      </c>
      <c r="G8324" s="1">
        <v>8.74</v>
      </c>
      <c r="H8324" s="1">
        <v>2</v>
      </c>
      <c r="I8324" s="1">
        <v>2.2724000000000002</v>
      </c>
    </row>
    <row r="8325" spans="1:9" x14ac:dyDescent="0.35">
      <c r="A8325" s="3" t="s">
        <v>3625</v>
      </c>
      <c r="B8325" s="1" t="s">
        <v>1602</v>
      </c>
      <c r="C8325" s="1" t="s">
        <v>559</v>
      </c>
      <c r="D8325" s="1" t="s">
        <v>136</v>
      </c>
      <c r="E8325" s="1" t="s">
        <v>44</v>
      </c>
      <c r="F8325" s="2" t="s">
        <v>767</v>
      </c>
      <c r="G8325" s="1">
        <v>44.75</v>
      </c>
      <c r="H8325" s="1">
        <v>5</v>
      </c>
      <c r="I8325" s="1">
        <v>20.585000000000001</v>
      </c>
    </row>
    <row r="8326" spans="1:9" x14ac:dyDescent="0.35">
      <c r="A8326" s="3">
        <v>42956</v>
      </c>
      <c r="B8326" s="1" t="s">
        <v>2901</v>
      </c>
      <c r="C8326" s="1" t="s">
        <v>1055</v>
      </c>
      <c r="D8326" s="1" t="s">
        <v>23</v>
      </c>
      <c r="E8326" s="1" t="s">
        <v>26</v>
      </c>
      <c r="F8326" s="2" t="s">
        <v>766</v>
      </c>
      <c r="G8326" s="1">
        <v>61.68</v>
      </c>
      <c r="H8326" s="1">
        <v>5</v>
      </c>
      <c r="I8326" s="1">
        <v>5.3970000000000002</v>
      </c>
    </row>
    <row r="8327" spans="1:9" x14ac:dyDescent="0.35">
      <c r="A8327" s="3">
        <v>42956</v>
      </c>
      <c r="B8327" s="1" t="s">
        <v>2901</v>
      </c>
      <c r="C8327" s="1" t="s">
        <v>1055</v>
      </c>
      <c r="D8327" s="1" t="s">
        <v>23</v>
      </c>
      <c r="E8327" s="1" t="s">
        <v>33</v>
      </c>
      <c r="F8327" s="2" t="s">
        <v>1651</v>
      </c>
      <c r="G8327" s="1">
        <v>158.376</v>
      </c>
      <c r="H8327" s="1">
        <v>3</v>
      </c>
      <c r="I8327" s="1">
        <v>13.857900000000001</v>
      </c>
    </row>
    <row r="8328" spans="1:9" x14ac:dyDescent="0.35">
      <c r="A8328" s="3" t="s">
        <v>3528</v>
      </c>
      <c r="B8328" s="1" t="s">
        <v>517</v>
      </c>
      <c r="C8328" s="1" t="s">
        <v>228</v>
      </c>
      <c r="D8328" s="1" t="s">
        <v>106</v>
      </c>
      <c r="E8328" s="1" t="s">
        <v>35</v>
      </c>
      <c r="F8328" s="2" t="s">
        <v>369</v>
      </c>
      <c r="G8328" s="1">
        <v>2.8639999999999999</v>
      </c>
      <c r="H8328" s="1">
        <v>4</v>
      </c>
      <c r="I8328" s="1">
        <v>-4.5823999999999998</v>
      </c>
    </row>
    <row r="8329" spans="1:9" x14ac:dyDescent="0.35">
      <c r="A8329" s="3" t="s">
        <v>3528</v>
      </c>
      <c r="B8329" s="1" t="s">
        <v>517</v>
      </c>
      <c r="C8329" s="1" t="s">
        <v>228</v>
      </c>
      <c r="D8329" s="1" t="s">
        <v>106</v>
      </c>
      <c r="E8329" s="1" t="s">
        <v>35</v>
      </c>
      <c r="F8329" s="2" t="s">
        <v>1812</v>
      </c>
      <c r="G8329" s="1">
        <v>94.191999999999993</v>
      </c>
      <c r="H8329" s="1">
        <v>7</v>
      </c>
      <c r="I8329" s="1">
        <v>-164.83600000000001</v>
      </c>
    </row>
    <row r="8330" spans="1:9" x14ac:dyDescent="0.35">
      <c r="A8330" s="3">
        <v>42896</v>
      </c>
      <c r="B8330" s="1" t="s">
        <v>774</v>
      </c>
      <c r="C8330" s="1" t="s">
        <v>524</v>
      </c>
      <c r="D8330" s="1" t="s">
        <v>388</v>
      </c>
      <c r="E8330" s="1" t="s">
        <v>44</v>
      </c>
      <c r="F8330" s="2" t="s">
        <v>1771</v>
      </c>
      <c r="G8330" s="1">
        <v>143.69999999999999</v>
      </c>
      <c r="H8330" s="1">
        <v>3</v>
      </c>
      <c r="I8330" s="1">
        <v>68.975999999999999</v>
      </c>
    </row>
    <row r="8331" spans="1:9" x14ac:dyDescent="0.35">
      <c r="A8331" s="3">
        <v>42896</v>
      </c>
      <c r="B8331" s="1" t="s">
        <v>774</v>
      </c>
      <c r="C8331" s="1" t="s">
        <v>524</v>
      </c>
      <c r="D8331" s="1" t="s">
        <v>388</v>
      </c>
      <c r="E8331" s="1" t="s">
        <v>44</v>
      </c>
      <c r="F8331" s="2" t="s">
        <v>1636</v>
      </c>
      <c r="G8331" s="1">
        <v>6.48</v>
      </c>
      <c r="H8331" s="1">
        <v>1</v>
      </c>
      <c r="I8331" s="1">
        <v>3.1103999999999998</v>
      </c>
    </row>
    <row r="8332" spans="1:9" x14ac:dyDescent="0.35">
      <c r="A8332" s="3">
        <v>42927</v>
      </c>
      <c r="B8332" s="1" t="s">
        <v>885</v>
      </c>
      <c r="C8332" s="1" t="s">
        <v>135</v>
      </c>
      <c r="D8332" s="1" t="s">
        <v>136</v>
      </c>
      <c r="E8332" s="1" t="s">
        <v>81</v>
      </c>
      <c r="F8332" s="2" t="s">
        <v>3085</v>
      </c>
      <c r="G8332" s="1">
        <v>7.88</v>
      </c>
      <c r="H8332" s="1">
        <v>4</v>
      </c>
      <c r="I8332" s="1">
        <v>2.5215999999999998</v>
      </c>
    </row>
    <row r="8333" spans="1:9" x14ac:dyDescent="0.35">
      <c r="A8333" s="3">
        <v>42616</v>
      </c>
      <c r="B8333" s="1" t="s">
        <v>1836</v>
      </c>
      <c r="C8333" s="1" t="s">
        <v>3086</v>
      </c>
      <c r="D8333" s="1" t="s">
        <v>592</v>
      </c>
      <c r="E8333" s="1" t="s">
        <v>26</v>
      </c>
      <c r="F8333" s="2" t="s">
        <v>1064</v>
      </c>
      <c r="G8333" s="1">
        <v>11.21</v>
      </c>
      <c r="H8333" s="1">
        <v>1</v>
      </c>
      <c r="I8333" s="1">
        <v>3.363</v>
      </c>
    </row>
    <row r="8334" spans="1:9" x14ac:dyDescent="0.35">
      <c r="A8334" s="3">
        <v>42616</v>
      </c>
      <c r="B8334" s="1" t="s">
        <v>1836</v>
      </c>
      <c r="C8334" s="1" t="s">
        <v>3086</v>
      </c>
      <c r="D8334" s="1" t="s">
        <v>592</v>
      </c>
      <c r="E8334" s="1" t="s">
        <v>14</v>
      </c>
      <c r="F8334" s="2" t="s">
        <v>856</v>
      </c>
      <c r="G8334" s="1">
        <v>354.9</v>
      </c>
      <c r="H8334" s="1">
        <v>5</v>
      </c>
      <c r="I8334" s="1">
        <v>88.724999999999994</v>
      </c>
    </row>
    <row r="8335" spans="1:9" x14ac:dyDescent="0.35">
      <c r="A8335" s="3">
        <v>42616</v>
      </c>
      <c r="B8335" s="1" t="s">
        <v>1836</v>
      </c>
      <c r="C8335" s="1" t="s">
        <v>3086</v>
      </c>
      <c r="D8335" s="1" t="s">
        <v>592</v>
      </c>
      <c r="E8335" s="1" t="s">
        <v>44</v>
      </c>
      <c r="F8335" s="2" t="s">
        <v>2978</v>
      </c>
      <c r="G8335" s="1">
        <v>17.940000000000001</v>
      </c>
      <c r="H8335" s="1">
        <v>3</v>
      </c>
      <c r="I8335" s="1">
        <v>8.7905999999999995</v>
      </c>
    </row>
    <row r="8336" spans="1:9" x14ac:dyDescent="0.35">
      <c r="A8336" s="3">
        <v>42616</v>
      </c>
      <c r="B8336" s="1" t="s">
        <v>1836</v>
      </c>
      <c r="C8336" s="1" t="s">
        <v>3086</v>
      </c>
      <c r="D8336" s="1" t="s">
        <v>592</v>
      </c>
      <c r="E8336" s="1" t="s">
        <v>35</v>
      </c>
      <c r="F8336" s="2" t="s">
        <v>1553</v>
      </c>
      <c r="G8336" s="1">
        <v>51.8</v>
      </c>
      <c r="H8336" s="1">
        <v>4</v>
      </c>
      <c r="I8336" s="1">
        <v>23.31</v>
      </c>
    </row>
    <row r="8337" spans="1:9" x14ac:dyDescent="0.35">
      <c r="A8337" s="3" t="s">
        <v>3208</v>
      </c>
      <c r="B8337" s="1" t="s">
        <v>784</v>
      </c>
      <c r="C8337" s="1" t="s">
        <v>303</v>
      </c>
      <c r="D8337" s="1" t="s">
        <v>124</v>
      </c>
      <c r="E8337" s="1" t="s">
        <v>35</v>
      </c>
      <c r="F8337" s="2" t="s">
        <v>1983</v>
      </c>
      <c r="G8337" s="1">
        <v>299.52</v>
      </c>
      <c r="H8337" s="1">
        <v>9</v>
      </c>
      <c r="I8337" s="1">
        <v>149.76</v>
      </c>
    </row>
    <row r="8338" spans="1:9" x14ac:dyDescent="0.35">
      <c r="A8338" s="3">
        <v>42407</v>
      </c>
      <c r="B8338" s="1" t="s">
        <v>1275</v>
      </c>
      <c r="C8338" s="1" t="s">
        <v>540</v>
      </c>
      <c r="D8338" s="1" t="s">
        <v>163</v>
      </c>
      <c r="E8338" s="1" t="s">
        <v>31</v>
      </c>
      <c r="F8338" s="2" t="s">
        <v>3087</v>
      </c>
      <c r="G8338" s="1">
        <v>7.7</v>
      </c>
      <c r="H8338" s="1">
        <v>2</v>
      </c>
      <c r="I8338" s="1">
        <v>3.157</v>
      </c>
    </row>
    <row r="8339" spans="1:9" x14ac:dyDescent="0.35">
      <c r="A8339" s="3" t="s">
        <v>3310</v>
      </c>
      <c r="B8339" s="1" t="s">
        <v>2037</v>
      </c>
      <c r="C8339" s="1" t="s">
        <v>181</v>
      </c>
      <c r="D8339" s="1" t="s">
        <v>182</v>
      </c>
      <c r="E8339" s="1" t="s">
        <v>44</v>
      </c>
      <c r="F8339" s="2" t="s">
        <v>3045</v>
      </c>
      <c r="G8339" s="1">
        <v>23.92</v>
      </c>
      <c r="H8339" s="1">
        <v>4</v>
      </c>
      <c r="I8339" s="1">
        <v>11.720800000000001</v>
      </c>
    </row>
    <row r="8340" spans="1:9" x14ac:dyDescent="0.35">
      <c r="A8340" s="3" t="s">
        <v>3310</v>
      </c>
      <c r="B8340" s="1" t="s">
        <v>2037</v>
      </c>
      <c r="C8340" s="1" t="s">
        <v>181</v>
      </c>
      <c r="D8340" s="1" t="s">
        <v>182</v>
      </c>
      <c r="E8340" s="1" t="s">
        <v>81</v>
      </c>
      <c r="F8340" s="2" t="s">
        <v>1323</v>
      </c>
      <c r="G8340" s="1">
        <v>498</v>
      </c>
      <c r="H8340" s="1">
        <v>5</v>
      </c>
      <c r="I8340" s="1">
        <v>184.26</v>
      </c>
    </row>
    <row r="8341" spans="1:9" x14ac:dyDescent="0.35">
      <c r="A8341" s="3" t="s">
        <v>3815</v>
      </c>
      <c r="B8341" s="1" t="s">
        <v>1632</v>
      </c>
      <c r="C8341" s="1" t="s">
        <v>562</v>
      </c>
      <c r="D8341" s="1" t="s">
        <v>18</v>
      </c>
      <c r="E8341" s="1" t="s">
        <v>14</v>
      </c>
      <c r="F8341" s="2" t="s">
        <v>1997</v>
      </c>
      <c r="G8341" s="1">
        <v>436.70400000000001</v>
      </c>
      <c r="H8341" s="1">
        <v>6</v>
      </c>
      <c r="I8341" s="1">
        <v>-38.211599999999997</v>
      </c>
    </row>
    <row r="8342" spans="1:9" x14ac:dyDescent="0.35">
      <c r="A8342" s="3" t="s">
        <v>3359</v>
      </c>
      <c r="B8342" s="1" t="s">
        <v>1524</v>
      </c>
      <c r="C8342" s="1" t="s">
        <v>2009</v>
      </c>
      <c r="D8342" s="1" t="s">
        <v>163</v>
      </c>
      <c r="E8342" s="1" t="s">
        <v>44</v>
      </c>
      <c r="F8342" s="2" t="s">
        <v>1695</v>
      </c>
      <c r="G8342" s="1">
        <v>32.4</v>
      </c>
      <c r="H8342" s="1">
        <v>5</v>
      </c>
      <c r="I8342" s="1">
        <v>15.552</v>
      </c>
    </row>
    <row r="8343" spans="1:9" x14ac:dyDescent="0.35">
      <c r="A8343" s="3">
        <v>43045</v>
      </c>
      <c r="B8343" s="1" t="s">
        <v>63</v>
      </c>
      <c r="C8343" s="1" t="s">
        <v>17</v>
      </c>
      <c r="D8343" s="1" t="s">
        <v>18</v>
      </c>
      <c r="E8343" s="1" t="s">
        <v>37</v>
      </c>
      <c r="F8343" s="2" t="s">
        <v>1001</v>
      </c>
      <c r="G8343" s="1">
        <v>61.44</v>
      </c>
      <c r="H8343" s="1">
        <v>3</v>
      </c>
      <c r="I8343" s="1">
        <v>16.588799999999999</v>
      </c>
    </row>
    <row r="8344" spans="1:9" x14ac:dyDescent="0.35">
      <c r="A8344" s="3" t="s">
        <v>3399</v>
      </c>
      <c r="B8344" s="1" t="s">
        <v>1029</v>
      </c>
      <c r="C8344" s="1" t="s">
        <v>785</v>
      </c>
      <c r="D8344" s="1" t="s">
        <v>182</v>
      </c>
      <c r="E8344" s="1" t="s">
        <v>26</v>
      </c>
      <c r="F8344" s="2" t="s">
        <v>850</v>
      </c>
      <c r="G8344" s="1">
        <v>73.36</v>
      </c>
      <c r="H8344" s="1">
        <v>7</v>
      </c>
      <c r="I8344" s="1">
        <v>19.807200000000002</v>
      </c>
    </row>
    <row r="8345" spans="1:9" x14ac:dyDescent="0.35">
      <c r="A8345" s="3" t="s">
        <v>3652</v>
      </c>
      <c r="B8345" s="1" t="s">
        <v>1134</v>
      </c>
      <c r="C8345" s="1" t="s">
        <v>2099</v>
      </c>
      <c r="D8345" s="1" t="s">
        <v>171</v>
      </c>
      <c r="E8345" s="1" t="s">
        <v>19</v>
      </c>
      <c r="F8345" s="2" t="s">
        <v>415</v>
      </c>
      <c r="G8345" s="1">
        <v>59.2</v>
      </c>
      <c r="H8345" s="1">
        <v>5</v>
      </c>
      <c r="I8345" s="1">
        <v>22.2</v>
      </c>
    </row>
    <row r="8346" spans="1:9" x14ac:dyDescent="0.35">
      <c r="A8346" s="3" t="s">
        <v>3652</v>
      </c>
      <c r="B8346" s="1" t="s">
        <v>1134</v>
      </c>
      <c r="C8346" s="1" t="s">
        <v>2099</v>
      </c>
      <c r="D8346" s="1" t="s">
        <v>171</v>
      </c>
      <c r="E8346" s="1" t="s">
        <v>29</v>
      </c>
      <c r="F8346" s="2" t="s">
        <v>1677</v>
      </c>
      <c r="G8346" s="1">
        <v>32.951999999999998</v>
      </c>
      <c r="H8346" s="1">
        <v>3</v>
      </c>
      <c r="I8346" s="1">
        <v>6.5903999999999998</v>
      </c>
    </row>
    <row r="8347" spans="1:9" x14ac:dyDescent="0.35">
      <c r="A8347" s="3" t="s">
        <v>3652</v>
      </c>
      <c r="B8347" s="1" t="s">
        <v>1134</v>
      </c>
      <c r="C8347" s="1" t="s">
        <v>2099</v>
      </c>
      <c r="D8347" s="1" t="s">
        <v>171</v>
      </c>
      <c r="E8347" s="1" t="s">
        <v>14</v>
      </c>
      <c r="F8347" s="2" t="s">
        <v>2417</v>
      </c>
      <c r="G8347" s="1">
        <v>218.376</v>
      </c>
      <c r="H8347" s="1">
        <v>3</v>
      </c>
      <c r="I8347" s="1">
        <v>-10.918799999999999</v>
      </c>
    </row>
    <row r="8348" spans="1:9" x14ac:dyDescent="0.35">
      <c r="A8348" s="3" t="s">
        <v>3160</v>
      </c>
      <c r="B8348" s="1" t="s">
        <v>1707</v>
      </c>
      <c r="C8348" s="1" t="s">
        <v>700</v>
      </c>
      <c r="D8348" s="1" t="s">
        <v>592</v>
      </c>
      <c r="E8348" s="1" t="s">
        <v>29</v>
      </c>
      <c r="F8348" s="2" t="s">
        <v>402</v>
      </c>
      <c r="G8348" s="1">
        <v>31.4</v>
      </c>
      <c r="H8348" s="1">
        <v>5</v>
      </c>
      <c r="I8348" s="1">
        <v>13.188000000000001</v>
      </c>
    </row>
    <row r="8349" spans="1:9" x14ac:dyDescent="0.35">
      <c r="A8349" s="3" t="s">
        <v>3160</v>
      </c>
      <c r="B8349" s="1" t="s">
        <v>1707</v>
      </c>
      <c r="C8349" s="1" t="s">
        <v>700</v>
      </c>
      <c r="D8349" s="1" t="s">
        <v>592</v>
      </c>
      <c r="E8349" s="1" t="s">
        <v>29</v>
      </c>
      <c r="F8349" s="2" t="s">
        <v>2427</v>
      </c>
      <c r="G8349" s="1">
        <v>9.48</v>
      </c>
      <c r="H8349" s="1">
        <v>1</v>
      </c>
      <c r="I8349" s="1">
        <v>3.7919999999999998</v>
      </c>
    </row>
    <row r="8350" spans="1:9" x14ac:dyDescent="0.35">
      <c r="A8350" s="3" t="s">
        <v>3160</v>
      </c>
      <c r="B8350" s="1" t="s">
        <v>1707</v>
      </c>
      <c r="C8350" s="1" t="s">
        <v>700</v>
      </c>
      <c r="D8350" s="1" t="s">
        <v>592</v>
      </c>
      <c r="E8350" s="1" t="s">
        <v>33</v>
      </c>
      <c r="F8350" s="2" t="s">
        <v>1712</v>
      </c>
      <c r="G8350" s="1">
        <v>209.5</v>
      </c>
      <c r="H8350" s="1">
        <v>10</v>
      </c>
      <c r="I8350" s="1">
        <v>58.66</v>
      </c>
    </row>
    <row r="8351" spans="1:9" x14ac:dyDescent="0.35">
      <c r="A8351" s="3" t="s">
        <v>3160</v>
      </c>
      <c r="B8351" s="1" t="s">
        <v>1707</v>
      </c>
      <c r="C8351" s="1" t="s">
        <v>700</v>
      </c>
      <c r="D8351" s="1" t="s">
        <v>592</v>
      </c>
      <c r="E8351" s="1" t="s">
        <v>29</v>
      </c>
      <c r="F8351" s="2" t="s">
        <v>2867</v>
      </c>
      <c r="G8351" s="1">
        <v>24.3</v>
      </c>
      <c r="H8351" s="1">
        <v>5</v>
      </c>
      <c r="I8351" s="1">
        <v>10.449</v>
      </c>
    </row>
    <row r="8352" spans="1:9" x14ac:dyDescent="0.35">
      <c r="A8352" s="3" t="s">
        <v>3160</v>
      </c>
      <c r="B8352" s="1" t="s">
        <v>1707</v>
      </c>
      <c r="C8352" s="1" t="s">
        <v>700</v>
      </c>
      <c r="D8352" s="1" t="s">
        <v>592</v>
      </c>
      <c r="E8352" s="1" t="s">
        <v>44</v>
      </c>
      <c r="F8352" s="2" t="s">
        <v>1806</v>
      </c>
      <c r="G8352" s="1">
        <v>6.48</v>
      </c>
      <c r="H8352" s="1">
        <v>1</v>
      </c>
      <c r="I8352" s="1">
        <v>3.1103999999999998</v>
      </c>
    </row>
    <row r="8353" spans="1:9" x14ac:dyDescent="0.35">
      <c r="A8353" s="3">
        <v>42799</v>
      </c>
      <c r="B8353" s="1" t="s">
        <v>2296</v>
      </c>
      <c r="C8353" s="1" t="s">
        <v>74</v>
      </c>
      <c r="D8353" s="1" t="s">
        <v>75</v>
      </c>
      <c r="E8353" s="1" t="s">
        <v>29</v>
      </c>
      <c r="F8353" s="2" t="s">
        <v>2932</v>
      </c>
      <c r="G8353" s="1">
        <v>32.448</v>
      </c>
      <c r="H8353" s="1">
        <v>2</v>
      </c>
      <c r="I8353" s="1">
        <v>7.3007999999999997</v>
      </c>
    </row>
    <row r="8354" spans="1:9" x14ac:dyDescent="0.35">
      <c r="A8354" s="3">
        <v>42799</v>
      </c>
      <c r="B8354" s="1" t="s">
        <v>2296</v>
      </c>
      <c r="C8354" s="1" t="s">
        <v>74</v>
      </c>
      <c r="D8354" s="1" t="s">
        <v>75</v>
      </c>
      <c r="E8354" s="1" t="s">
        <v>35</v>
      </c>
      <c r="F8354" s="2" t="s">
        <v>1237</v>
      </c>
      <c r="G8354" s="1">
        <v>26.388000000000002</v>
      </c>
      <c r="H8354" s="1">
        <v>4</v>
      </c>
      <c r="I8354" s="1">
        <v>-17.591999999999999</v>
      </c>
    </row>
    <row r="8355" spans="1:9" x14ac:dyDescent="0.35">
      <c r="A8355" s="3">
        <v>42799</v>
      </c>
      <c r="B8355" s="1" t="s">
        <v>2296</v>
      </c>
      <c r="C8355" s="1" t="s">
        <v>74</v>
      </c>
      <c r="D8355" s="1" t="s">
        <v>75</v>
      </c>
      <c r="E8355" s="1" t="s">
        <v>24</v>
      </c>
      <c r="F8355" s="2" t="s">
        <v>431</v>
      </c>
      <c r="G8355" s="1">
        <v>373.47</v>
      </c>
      <c r="H8355" s="1">
        <v>5</v>
      </c>
      <c r="I8355" s="1">
        <v>-112.041</v>
      </c>
    </row>
    <row r="8356" spans="1:9" x14ac:dyDescent="0.35">
      <c r="A8356" s="3">
        <v>42799</v>
      </c>
      <c r="B8356" s="1" t="s">
        <v>2296</v>
      </c>
      <c r="C8356" s="1" t="s">
        <v>74</v>
      </c>
      <c r="D8356" s="1" t="s">
        <v>75</v>
      </c>
      <c r="E8356" s="1" t="s">
        <v>35</v>
      </c>
      <c r="F8356" s="2" t="s">
        <v>1932</v>
      </c>
      <c r="G8356" s="1">
        <v>64.2</v>
      </c>
      <c r="H8356" s="1">
        <v>5</v>
      </c>
      <c r="I8356" s="1">
        <v>-44.94</v>
      </c>
    </row>
    <row r="8357" spans="1:9" x14ac:dyDescent="0.35">
      <c r="A8357" s="3">
        <v>42799</v>
      </c>
      <c r="B8357" s="1" t="s">
        <v>2296</v>
      </c>
      <c r="C8357" s="1" t="s">
        <v>74</v>
      </c>
      <c r="D8357" s="1" t="s">
        <v>75</v>
      </c>
      <c r="E8357" s="1" t="s">
        <v>137</v>
      </c>
      <c r="F8357" s="2" t="s">
        <v>1157</v>
      </c>
      <c r="G8357" s="1">
        <v>8</v>
      </c>
      <c r="H8357" s="1">
        <v>2</v>
      </c>
      <c r="I8357" s="1">
        <v>2.8</v>
      </c>
    </row>
    <row r="8358" spans="1:9" x14ac:dyDescent="0.35">
      <c r="A8358" s="3" t="s">
        <v>3278</v>
      </c>
      <c r="B8358" s="1" t="s">
        <v>774</v>
      </c>
      <c r="C8358" s="1" t="s">
        <v>2817</v>
      </c>
      <c r="D8358" s="1" t="s">
        <v>604</v>
      </c>
      <c r="E8358" s="1" t="s">
        <v>29</v>
      </c>
      <c r="F8358" s="2" t="s">
        <v>2145</v>
      </c>
      <c r="G8358" s="1">
        <v>186.54</v>
      </c>
      <c r="H8358" s="1">
        <v>3</v>
      </c>
      <c r="I8358" s="1">
        <v>41.038800000000002</v>
      </c>
    </row>
    <row r="8359" spans="1:9" x14ac:dyDescent="0.35">
      <c r="A8359" s="3">
        <v>41947</v>
      </c>
      <c r="B8359" s="1" t="s">
        <v>1822</v>
      </c>
      <c r="C8359" s="1" t="s">
        <v>822</v>
      </c>
      <c r="D8359" s="1" t="s">
        <v>823</v>
      </c>
      <c r="E8359" s="1" t="s">
        <v>26</v>
      </c>
      <c r="F8359" s="2" t="s">
        <v>500</v>
      </c>
      <c r="G8359" s="1">
        <v>87.08</v>
      </c>
      <c r="H8359" s="1">
        <v>7</v>
      </c>
      <c r="I8359" s="1">
        <v>24.382400000000001</v>
      </c>
    </row>
    <row r="8360" spans="1:9" x14ac:dyDescent="0.35">
      <c r="A8360" s="3">
        <v>41947</v>
      </c>
      <c r="B8360" s="1" t="s">
        <v>1822</v>
      </c>
      <c r="C8360" s="1" t="s">
        <v>822</v>
      </c>
      <c r="D8360" s="1" t="s">
        <v>823</v>
      </c>
      <c r="E8360" s="1" t="s">
        <v>33</v>
      </c>
      <c r="F8360" s="2" t="s">
        <v>904</v>
      </c>
      <c r="G8360" s="1">
        <v>105.584</v>
      </c>
      <c r="H8360" s="1">
        <v>2</v>
      </c>
      <c r="I8360" s="1">
        <v>9.2385999999999999</v>
      </c>
    </row>
    <row r="8361" spans="1:9" x14ac:dyDescent="0.35">
      <c r="A8361" s="3">
        <v>41947</v>
      </c>
      <c r="B8361" s="1" t="s">
        <v>1822</v>
      </c>
      <c r="C8361" s="1" t="s">
        <v>822</v>
      </c>
      <c r="D8361" s="1" t="s">
        <v>823</v>
      </c>
      <c r="E8361" s="1" t="s">
        <v>81</v>
      </c>
      <c r="F8361" s="2" t="s">
        <v>2531</v>
      </c>
      <c r="G8361" s="1">
        <v>217.44</v>
      </c>
      <c r="H8361" s="1">
        <v>6</v>
      </c>
      <c r="I8361" s="1">
        <v>91.324799999999996</v>
      </c>
    </row>
    <row r="8362" spans="1:9" x14ac:dyDescent="0.35">
      <c r="A8362" s="3">
        <v>42767</v>
      </c>
      <c r="B8362" s="1" t="s">
        <v>2965</v>
      </c>
      <c r="C8362" s="1" t="s">
        <v>1766</v>
      </c>
      <c r="D8362" s="1" t="s">
        <v>52</v>
      </c>
      <c r="E8362" s="1" t="s">
        <v>31</v>
      </c>
      <c r="F8362" s="2" t="s">
        <v>1752</v>
      </c>
      <c r="G8362" s="1">
        <v>31.744</v>
      </c>
      <c r="H8362" s="1">
        <v>2</v>
      </c>
      <c r="I8362" s="1">
        <v>3.968</v>
      </c>
    </row>
    <row r="8363" spans="1:9" x14ac:dyDescent="0.35">
      <c r="A8363" s="3">
        <v>42767</v>
      </c>
      <c r="B8363" s="1" t="s">
        <v>2965</v>
      </c>
      <c r="C8363" s="1" t="s">
        <v>1766</v>
      </c>
      <c r="D8363" s="1" t="s">
        <v>52</v>
      </c>
      <c r="E8363" s="1" t="s">
        <v>37</v>
      </c>
      <c r="F8363" s="2" t="s">
        <v>3064</v>
      </c>
      <c r="G8363" s="1">
        <v>5.4320000000000004</v>
      </c>
      <c r="H8363" s="1">
        <v>2</v>
      </c>
      <c r="I8363" s="1">
        <v>-13.58</v>
      </c>
    </row>
    <row r="8364" spans="1:9" x14ac:dyDescent="0.35">
      <c r="A8364" s="3">
        <v>42767</v>
      </c>
      <c r="B8364" s="1" t="s">
        <v>2965</v>
      </c>
      <c r="C8364" s="1" t="s">
        <v>1766</v>
      </c>
      <c r="D8364" s="1" t="s">
        <v>52</v>
      </c>
      <c r="E8364" s="1" t="s">
        <v>24</v>
      </c>
      <c r="F8364" s="2" t="s">
        <v>1633</v>
      </c>
      <c r="G8364" s="1">
        <v>913.43</v>
      </c>
      <c r="H8364" s="1">
        <v>5</v>
      </c>
      <c r="I8364" s="1">
        <v>-169.637</v>
      </c>
    </row>
    <row r="8365" spans="1:9" x14ac:dyDescent="0.35">
      <c r="A8365" s="3">
        <v>42767</v>
      </c>
      <c r="B8365" s="1" t="s">
        <v>2965</v>
      </c>
      <c r="C8365" s="1" t="s">
        <v>1766</v>
      </c>
      <c r="D8365" s="1" t="s">
        <v>52</v>
      </c>
      <c r="E8365" s="1" t="s">
        <v>26</v>
      </c>
      <c r="F8365" s="2" t="s">
        <v>2408</v>
      </c>
      <c r="G8365" s="1">
        <v>372.14400000000001</v>
      </c>
      <c r="H8365" s="1">
        <v>3</v>
      </c>
      <c r="I8365" s="1">
        <v>27.910799999999998</v>
      </c>
    </row>
    <row r="8366" spans="1:9" x14ac:dyDescent="0.35">
      <c r="A8366" s="3" t="s">
        <v>3651</v>
      </c>
      <c r="B8366" s="1" t="s">
        <v>1904</v>
      </c>
      <c r="C8366" s="1" t="s">
        <v>3088</v>
      </c>
      <c r="D8366" s="1" t="s">
        <v>23</v>
      </c>
      <c r="E8366" s="1" t="s">
        <v>33</v>
      </c>
      <c r="F8366" s="2" t="s">
        <v>1913</v>
      </c>
      <c r="G8366" s="1">
        <v>751.98400000000004</v>
      </c>
      <c r="H8366" s="1">
        <v>2</v>
      </c>
      <c r="I8366" s="1">
        <v>84.598200000000006</v>
      </c>
    </row>
    <row r="8367" spans="1:9" x14ac:dyDescent="0.35">
      <c r="A8367" s="3" t="s">
        <v>3300</v>
      </c>
      <c r="B8367" s="1" t="s">
        <v>1613</v>
      </c>
      <c r="C8367" s="1" t="s">
        <v>47</v>
      </c>
      <c r="D8367" s="1" t="s">
        <v>48</v>
      </c>
      <c r="E8367" s="1" t="s">
        <v>33</v>
      </c>
      <c r="F8367" s="2" t="s">
        <v>34</v>
      </c>
      <c r="G8367" s="1">
        <v>604.76800000000003</v>
      </c>
      <c r="H8367" s="1">
        <v>4</v>
      </c>
      <c r="I8367" s="1">
        <v>60.476799999999997</v>
      </c>
    </row>
    <row r="8368" spans="1:9" x14ac:dyDescent="0.35">
      <c r="A8368" s="3">
        <v>41829</v>
      </c>
      <c r="B8368" s="1" t="s">
        <v>2856</v>
      </c>
      <c r="C8368" s="1" t="s">
        <v>444</v>
      </c>
      <c r="D8368" s="1" t="s">
        <v>18</v>
      </c>
      <c r="E8368" s="1" t="s">
        <v>289</v>
      </c>
      <c r="F8368" s="2" t="s">
        <v>3089</v>
      </c>
      <c r="G8368" s="1">
        <v>27.36</v>
      </c>
      <c r="H8368" s="1">
        <v>4</v>
      </c>
      <c r="I8368" s="1">
        <v>7.3872</v>
      </c>
    </row>
    <row r="8369" spans="1:9" x14ac:dyDescent="0.35">
      <c r="A8369" s="3">
        <v>41829</v>
      </c>
      <c r="B8369" s="1" t="s">
        <v>2856</v>
      </c>
      <c r="C8369" s="1" t="s">
        <v>444</v>
      </c>
      <c r="D8369" s="1" t="s">
        <v>18</v>
      </c>
      <c r="E8369" s="1" t="s">
        <v>44</v>
      </c>
      <c r="F8369" s="2" t="s">
        <v>2559</v>
      </c>
      <c r="G8369" s="1">
        <v>20.56</v>
      </c>
      <c r="H8369" s="1">
        <v>2</v>
      </c>
      <c r="I8369" s="1">
        <v>9.6631999999999998</v>
      </c>
    </row>
    <row r="8370" spans="1:9" x14ac:dyDescent="0.35">
      <c r="A8370" s="3">
        <v>41829</v>
      </c>
      <c r="B8370" s="1" t="s">
        <v>2856</v>
      </c>
      <c r="C8370" s="1" t="s">
        <v>444</v>
      </c>
      <c r="D8370" s="1" t="s">
        <v>18</v>
      </c>
      <c r="E8370" s="1" t="s">
        <v>35</v>
      </c>
      <c r="F8370" s="2" t="s">
        <v>2998</v>
      </c>
      <c r="G8370" s="1">
        <v>83.92</v>
      </c>
      <c r="H8370" s="1">
        <v>5</v>
      </c>
      <c r="I8370" s="1">
        <v>31.47</v>
      </c>
    </row>
    <row r="8371" spans="1:9" x14ac:dyDescent="0.35">
      <c r="A8371" s="3">
        <v>42680</v>
      </c>
      <c r="B8371" s="1" t="s">
        <v>1046</v>
      </c>
      <c r="C8371" s="1" t="s">
        <v>17</v>
      </c>
      <c r="D8371" s="1" t="s">
        <v>18</v>
      </c>
      <c r="E8371" s="1" t="s">
        <v>24</v>
      </c>
      <c r="F8371" s="2" t="s">
        <v>440</v>
      </c>
      <c r="G8371" s="1">
        <v>902.71199999999999</v>
      </c>
      <c r="H8371" s="1">
        <v>3</v>
      </c>
      <c r="I8371" s="1">
        <v>33.851700000000001</v>
      </c>
    </row>
    <row r="8372" spans="1:9" x14ac:dyDescent="0.35">
      <c r="A8372" s="3" t="s">
        <v>3816</v>
      </c>
      <c r="B8372" s="1" t="s">
        <v>1614</v>
      </c>
      <c r="C8372" s="1" t="s">
        <v>1510</v>
      </c>
      <c r="D8372" s="1" t="s">
        <v>18</v>
      </c>
      <c r="E8372" s="1" t="s">
        <v>12</v>
      </c>
      <c r="F8372" s="2" t="s">
        <v>2730</v>
      </c>
      <c r="G8372" s="1">
        <v>120.666</v>
      </c>
      <c r="H8372" s="1">
        <v>2</v>
      </c>
      <c r="I8372" s="1">
        <v>21.294</v>
      </c>
    </row>
    <row r="8373" spans="1:9" x14ac:dyDescent="0.35">
      <c r="A8373" s="3" t="s">
        <v>3310</v>
      </c>
      <c r="B8373" s="1" t="s">
        <v>2639</v>
      </c>
      <c r="C8373" s="1" t="s">
        <v>51</v>
      </c>
      <c r="D8373" s="1" t="s">
        <v>52</v>
      </c>
      <c r="E8373" s="1" t="s">
        <v>35</v>
      </c>
      <c r="F8373" s="2" t="s">
        <v>806</v>
      </c>
      <c r="G8373" s="1">
        <v>4.984</v>
      </c>
      <c r="H8373" s="1">
        <v>1</v>
      </c>
      <c r="I8373" s="1">
        <v>-8.4727999999999994</v>
      </c>
    </row>
    <row r="8374" spans="1:9" x14ac:dyDescent="0.35">
      <c r="A8374" s="3" t="s">
        <v>3410</v>
      </c>
      <c r="B8374" s="1" t="s">
        <v>2345</v>
      </c>
      <c r="C8374" s="1" t="s">
        <v>47</v>
      </c>
      <c r="D8374" s="1" t="s">
        <v>48</v>
      </c>
      <c r="E8374" s="1" t="s">
        <v>29</v>
      </c>
      <c r="F8374" s="2" t="s">
        <v>1518</v>
      </c>
      <c r="G8374" s="1">
        <v>82.26</v>
      </c>
      <c r="H8374" s="1">
        <v>3</v>
      </c>
      <c r="I8374" s="1">
        <v>33.726599999999998</v>
      </c>
    </row>
    <row r="8375" spans="1:9" x14ac:dyDescent="0.35">
      <c r="A8375" s="3">
        <v>42654</v>
      </c>
      <c r="B8375" s="1" t="s">
        <v>793</v>
      </c>
      <c r="C8375" s="1" t="s">
        <v>64</v>
      </c>
      <c r="D8375" s="1" t="s">
        <v>18</v>
      </c>
      <c r="E8375" s="1" t="s">
        <v>26</v>
      </c>
      <c r="F8375" s="2" t="s">
        <v>1791</v>
      </c>
      <c r="G8375" s="1">
        <v>29.74</v>
      </c>
      <c r="H8375" s="1">
        <v>1</v>
      </c>
      <c r="I8375" s="1">
        <v>4.4610000000000003</v>
      </c>
    </row>
    <row r="8376" spans="1:9" x14ac:dyDescent="0.35">
      <c r="A8376" s="3">
        <v>42125</v>
      </c>
      <c r="B8376" s="1" t="s">
        <v>1168</v>
      </c>
      <c r="C8376" s="1" t="s">
        <v>64</v>
      </c>
      <c r="D8376" s="1" t="s">
        <v>18</v>
      </c>
      <c r="E8376" s="1" t="s">
        <v>37</v>
      </c>
      <c r="F8376" s="2" t="s">
        <v>1572</v>
      </c>
      <c r="G8376" s="1">
        <v>87.36</v>
      </c>
      <c r="H8376" s="1">
        <v>6</v>
      </c>
      <c r="I8376" s="1">
        <v>23.587199999999999</v>
      </c>
    </row>
    <row r="8377" spans="1:9" x14ac:dyDescent="0.35">
      <c r="A8377" s="3">
        <v>42125</v>
      </c>
      <c r="B8377" s="1" t="s">
        <v>1168</v>
      </c>
      <c r="C8377" s="1" t="s">
        <v>64</v>
      </c>
      <c r="D8377" s="1" t="s">
        <v>18</v>
      </c>
      <c r="E8377" s="1" t="s">
        <v>35</v>
      </c>
      <c r="F8377" s="2" t="s">
        <v>1174</v>
      </c>
      <c r="G8377" s="1">
        <v>56.16</v>
      </c>
      <c r="H8377" s="1">
        <v>6</v>
      </c>
      <c r="I8377" s="1">
        <v>17.55</v>
      </c>
    </row>
    <row r="8378" spans="1:9" x14ac:dyDescent="0.35">
      <c r="A8378" s="3" t="s">
        <v>3551</v>
      </c>
      <c r="B8378" s="1" t="s">
        <v>1662</v>
      </c>
      <c r="C8378" s="1" t="s">
        <v>2372</v>
      </c>
      <c r="D8378" s="1" t="s">
        <v>23</v>
      </c>
      <c r="E8378" s="1" t="s">
        <v>37</v>
      </c>
      <c r="F8378" s="2" t="s">
        <v>2369</v>
      </c>
      <c r="G8378" s="1">
        <v>64.384</v>
      </c>
      <c r="H8378" s="1">
        <v>1</v>
      </c>
      <c r="I8378" s="1">
        <v>8.048</v>
      </c>
    </row>
    <row r="8379" spans="1:9" x14ac:dyDescent="0.35">
      <c r="A8379" s="3">
        <v>42349</v>
      </c>
      <c r="B8379" s="1" t="s">
        <v>2828</v>
      </c>
      <c r="C8379" s="1" t="s">
        <v>93</v>
      </c>
      <c r="D8379" s="1" t="s">
        <v>52</v>
      </c>
      <c r="E8379" s="1" t="s">
        <v>26</v>
      </c>
      <c r="F8379" s="2" t="s">
        <v>1471</v>
      </c>
      <c r="G8379" s="1">
        <v>64.784000000000006</v>
      </c>
      <c r="H8379" s="1">
        <v>1</v>
      </c>
      <c r="I8379" s="1">
        <v>-14.5764</v>
      </c>
    </row>
    <row r="8380" spans="1:9" x14ac:dyDescent="0.35">
      <c r="A8380" s="3">
        <v>42349</v>
      </c>
      <c r="B8380" s="1" t="s">
        <v>2828</v>
      </c>
      <c r="C8380" s="1" t="s">
        <v>93</v>
      </c>
      <c r="D8380" s="1" t="s">
        <v>52</v>
      </c>
      <c r="E8380" s="1" t="s">
        <v>44</v>
      </c>
      <c r="F8380" s="2" t="s">
        <v>447</v>
      </c>
      <c r="G8380" s="1">
        <v>15.552</v>
      </c>
      <c r="H8380" s="1">
        <v>3</v>
      </c>
      <c r="I8380" s="1">
        <v>5.6375999999999999</v>
      </c>
    </row>
    <row r="8381" spans="1:9" x14ac:dyDescent="0.35">
      <c r="A8381" s="3">
        <v>42349</v>
      </c>
      <c r="B8381" s="1" t="s">
        <v>2828</v>
      </c>
      <c r="C8381" s="1" t="s">
        <v>93</v>
      </c>
      <c r="D8381" s="1" t="s">
        <v>52</v>
      </c>
      <c r="E8381" s="1" t="s">
        <v>87</v>
      </c>
      <c r="F8381" s="2" t="s">
        <v>1495</v>
      </c>
      <c r="G8381" s="1">
        <v>223.88800000000001</v>
      </c>
      <c r="H8381" s="1">
        <v>7</v>
      </c>
      <c r="I8381" s="1">
        <v>69.965000000000003</v>
      </c>
    </row>
    <row r="8382" spans="1:9" x14ac:dyDescent="0.35">
      <c r="A8382" s="3">
        <v>41891</v>
      </c>
      <c r="B8382" s="1" t="s">
        <v>1524</v>
      </c>
      <c r="C8382" s="1" t="s">
        <v>154</v>
      </c>
      <c r="D8382" s="1" t="s">
        <v>106</v>
      </c>
      <c r="E8382" s="1" t="s">
        <v>44</v>
      </c>
      <c r="F8382" s="2" t="s">
        <v>1219</v>
      </c>
      <c r="G8382" s="1">
        <v>10.896000000000001</v>
      </c>
      <c r="H8382" s="1">
        <v>3</v>
      </c>
      <c r="I8382" s="1">
        <v>3.4049999999999998</v>
      </c>
    </row>
    <row r="8383" spans="1:9" x14ac:dyDescent="0.35">
      <c r="A8383" s="3" t="s">
        <v>3442</v>
      </c>
      <c r="B8383" s="1" t="s">
        <v>2391</v>
      </c>
      <c r="C8383" s="1" t="s">
        <v>64</v>
      </c>
      <c r="D8383" s="1" t="s">
        <v>18</v>
      </c>
      <c r="E8383" s="1" t="s">
        <v>33</v>
      </c>
      <c r="F8383" s="2" t="s">
        <v>910</v>
      </c>
      <c r="G8383" s="1">
        <v>84.784000000000006</v>
      </c>
      <c r="H8383" s="1">
        <v>2</v>
      </c>
      <c r="I8383" s="1">
        <v>-20.136199999999999</v>
      </c>
    </row>
    <row r="8384" spans="1:9" x14ac:dyDescent="0.35">
      <c r="A8384" s="3">
        <v>42584</v>
      </c>
      <c r="B8384" s="1" t="s">
        <v>2977</v>
      </c>
      <c r="C8384" s="1" t="s">
        <v>93</v>
      </c>
      <c r="D8384" s="1" t="s">
        <v>52</v>
      </c>
      <c r="E8384" s="1" t="s">
        <v>14</v>
      </c>
      <c r="F8384" s="2" t="s">
        <v>1464</v>
      </c>
      <c r="G8384" s="1">
        <v>241.5</v>
      </c>
      <c r="H8384" s="1">
        <v>4</v>
      </c>
      <c r="I8384" s="1">
        <v>0</v>
      </c>
    </row>
    <row r="8385" spans="1:9" x14ac:dyDescent="0.35">
      <c r="A8385" s="3" t="s">
        <v>3630</v>
      </c>
      <c r="B8385" s="1" t="s">
        <v>1844</v>
      </c>
      <c r="C8385" s="1" t="s">
        <v>3090</v>
      </c>
      <c r="D8385" s="1" t="s">
        <v>368</v>
      </c>
      <c r="E8385" s="1" t="s">
        <v>81</v>
      </c>
      <c r="F8385" s="2" t="s">
        <v>1380</v>
      </c>
      <c r="G8385" s="1">
        <v>59.97</v>
      </c>
      <c r="H8385" s="1">
        <v>3</v>
      </c>
      <c r="I8385" s="1">
        <v>14.9925</v>
      </c>
    </row>
    <row r="8386" spans="1:9" x14ac:dyDescent="0.35">
      <c r="A8386" s="3" t="s">
        <v>3630</v>
      </c>
      <c r="B8386" s="1" t="s">
        <v>1844</v>
      </c>
      <c r="C8386" s="1" t="s">
        <v>3090</v>
      </c>
      <c r="D8386" s="1" t="s">
        <v>368</v>
      </c>
      <c r="E8386" s="1" t="s">
        <v>44</v>
      </c>
      <c r="F8386" s="2" t="s">
        <v>2130</v>
      </c>
      <c r="G8386" s="1">
        <v>13.36</v>
      </c>
      <c r="H8386" s="1">
        <v>2</v>
      </c>
      <c r="I8386" s="1">
        <v>6.4127999999999998</v>
      </c>
    </row>
    <row r="8387" spans="1:9" x14ac:dyDescent="0.35">
      <c r="A8387" s="3">
        <v>42834</v>
      </c>
      <c r="B8387" s="1" t="s">
        <v>241</v>
      </c>
      <c r="C8387" s="1" t="s">
        <v>1391</v>
      </c>
      <c r="D8387" s="1" t="s">
        <v>18</v>
      </c>
      <c r="E8387" s="1" t="s">
        <v>35</v>
      </c>
      <c r="F8387" s="2" t="s">
        <v>1962</v>
      </c>
      <c r="G8387" s="1">
        <v>11.808</v>
      </c>
      <c r="H8387" s="1">
        <v>3</v>
      </c>
      <c r="I8387" s="1">
        <v>4.1327999999999996</v>
      </c>
    </row>
    <row r="8388" spans="1:9" x14ac:dyDescent="0.35">
      <c r="A8388" s="3" t="s">
        <v>3575</v>
      </c>
      <c r="B8388" s="1" t="s">
        <v>2073</v>
      </c>
      <c r="C8388" s="1" t="s">
        <v>612</v>
      </c>
      <c r="D8388" s="1" t="s">
        <v>368</v>
      </c>
      <c r="E8388" s="1" t="s">
        <v>26</v>
      </c>
      <c r="F8388" s="2" t="s">
        <v>1246</v>
      </c>
      <c r="G8388" s="1">
        <v>16.239999999999998</v>
      </c>
      <c r="H8388" s="1">
        <v>1</v>
      </c>
      <c r="I8388" s="1">
        <v>2.4359999999999999</v>
      </c>
    </row>
    <row r="8389" spans="1:9" x14ac:dyDescent="0.35">
      <c r="A8389" s="3" t="s">
        <v>3575</v>
      </c>
      <c r="B8389" s="1" t="s">
        <v>2073</v>
      </c>
      <c r="C8389" s="1" t="s">
        <v>612</v>
      </c>
      <c r="D8389" s="1" t="s">
        <v>368</v>
      </c>
      <c r="E8389" s="1" t="s">
        <v>26</v>
      </c>
      <c r="F8389" s="2" t="s">
        <v>374</v>
      </c>
      <c r="G8389" s="1">
        <v>77.55</v>
      </c>
      <c r="H8389" s="1">
        <v>5</v>
      </c>
      <c r="I8389" s="1">
        <v>21.713999999999999</v>
      </c>
    </row>
    <row r="8390" spans="1:9" x14ac:dyDescent="0.35">
      <c r="A8390" s="3">
        <v>41650</v>
      </c>
      <c r="B8390" s="1" t="s">
        <v>1356</v>
      </c>
      <c r="C8390" s="1" t="s">
        <v>2401</v>
      </c>
      <c r="D8390" s="1" t="s">
        <v>388</v>
      </c>
      <c r="E8390" s="1" t="s">
        <v>37</v>
      </c>
      <c r="F8390" s="2" t="s">
        <v>917</v>
      </c>
      <c r="G8390" s="1">
        <v>76.12</v>
      </c>
      <c r="H8390" s="1">
        <v>2</v>
      </c>
      <c r="I8390" s="1">
        <v>22.0748</v>
      </c>
    </row>
    <row r="8391" spans="1:9" x14ac:dyDescent="0.35">
      <c r="A8391" s="3" t="s">
        <v>3271</v>
      </c>
      <c r="B8391" s="1" t="s">
        <v>1049</v>
      </c>
      <c r="C8391" s="1" t="s">
        <v>392</v>
      </c>
      <c r="D8391" s="1" t="s">
        <v>250</v>
      </c>
      <c r="E8391" s="1" t="s">
        <v>137</v>
      </c>
      <c r="F8391" s="2" t="s">
        <v>251</v>
      </c>
      <c r="G8391" s="1">
        <v>17.184000000000001</v>
      </c>
      <c r="H8391" s="1">
        <v>6</v>
      </c>
      <c r="I8391" s="1">
        <v>6.2291999999999996</v>
      </c>
    </row>
    <row r="8392" spans="1:9" x14ac:dyDescent="0.35">
      <c r="A8392" s="3">
        <v>42837</v>
      </c>
      <c r="B8392" s="1" t="s">
        <v>1092</v>
      </c>
      <c r="C8392" s="1" t="s">
        <v>17</v>
      </c>
      <c r="D8392" s="1" t="s">
        <v>18</v>
      </c>
      <c r="E8392" s="1" t="s">
        <v>44</v>
      </c>
      <c r="F8392" s="2" t="s">
        <v>1706</v>
      </c>
      <c r="G8392" s="1">
        <v>11.76</v>
      </c>
      <c r="H8392" s="1">
        <v>2</v>
      </c>
      <c r="I8392" s="1">
        <v>5.7624000000000004</v>
      </c>
    </row>
    <row r="8393" spans="1:9" x14ac:dyDescent="0.35">
      <c r="A8393" s="3" t="s">
        <v>3414</v>
      </c>
      <c r="B8393" s="1" t="s">
        <v>2433</v>
      </c>
      <c r="C8393" s="1" t="s">
        <v>3091</v>
      </c>
      <c r="D8393" s="1" t="s">
        <v>368</v>
      </c>
      <c r="E8393" s="1" t="s">
        <v>29</v>
      </c>
      <c r="F8393" s="2" t="s">
        <v>1677</v>
      </c>
      <c r="G8393" s="1">
        <v>27.46</v>
      </c>
      <c r="H8393" s="1">
        <v>2</v>
      </c>
      <c r="I8393" s="1">
        <v>9.8856000000000002</v>
      </c>
    </row>
    <row r="8394" spans="1:9" x14ac:dyDescent="0.35">
      <c r="A8394" s="3">
        <v>42381</v>
      </c>
      <c r="B8394" s="1" t="s">
        <v>1506</v>
      </c>
      <c r="C8394" s="1" t="s">
        <v>306</v>
      </c>
      <c r="D8394" s="1" t="s">
        <v>592</v>
      </c>
      <c r="E8394" s="1" t="s">
        <v>33</v>
      </c>
      <c r="F8394" s="2" t="s">
        <v>2791</v>
      </c>
      <c r="G8394" s="1">
        <v>137.94</v>
      </c>
      <c r="H8394" s="1">
        <v>3</v>
      </c>
      <c r="I8394" s="1">
        <v>35.864400000000003</v>
      </c>
    </row>
    <row r="8395" spans="1:9" x14ac:dyDescent="0.35">
      <c r="A8395" s="3">
        <v>42381</v>
      </c>
      <c r="B8395" s="1" t="s">
        <v>1506</v>
      </c>
      <c r="C8395" s="1" t="s">
        <v>306</v>
      </c>
      <c r="D8395" s="1" t="s">
        <v>592</v>
      </c>
      <c r="E8395" s="1" t="s">
        <v>29</v>
      </c>
      <c r="F8395" s="2" t="s">
        <v>2284</v>
      </c>
      <c r="G8395" s="1">
        <v>111.15</v>
      </c>
      <c r="H8395" s="1">
        <v>5</v>
      </c>
      <c r="I8395" s="1">
        <v>48.905999999999999</v>
      </c>
    </row>
    <row r="8396" spans="1:9" x14ac:dyDescent="0.35">
      <c r="A8396" s="3">
        <v>42381</v>
      </c>
      <c r="B8396" s="1" t="s">
        <v>1506</v>
      </c>
      <c r="C8396" s="1" t="s">
        <v>306</v>
      </c>
      <c r="D8396" s="1" t="s">
        <v>592</v>
      </c>
      <c r="E8396" s="1" t="s">
        <v>37</v>
      </c>
      <c r="F8396" s="2" t="s">
        <v>457</v>
      </c>
      <c r="G8396" s="1">
        <v>901.95</v>
      </c>
      <c r="H8396" s="1">
        <v>3</v>
      </c>
      <c r="I8396" s="1">
        <v>297.64350000000002</v>
      </c>
    </row>
    <row r="8397" spans="1:9" x14ac:dyDescent="0.35">
      <c r="A8397" s="3">
        <v>42381</v>
      </c>
      <c r="B8397" s="1" t="s">
        <v>1506</v>
      </c>
      <c r="C8397" s="1" t="s">
        <v>306</v>
      </c>
      <c r="D8397" s="1" t="s">
        <v>592</v>
      </c>
      <c r="E8397" s="1" t="s">
        <v>24</v>
      </c>
      <c r="F8397" s="2" t="s">
        <v>1086</v>
      </c>
      <c r="G8397" s="1">
        <v>366.00900000000001</v>
      </c>
      <c r="H8397" s="1">
        <v>3</v>
      </c>
      <c r="I8397" s="1">
        <v>-47.058300000000003</v>
      </c>
    </row>
    <row r="8398" spans="1:9" x14ac:dyDescent="0.35">
      <c r="A8398" s="3" t="s">
        <v>3231</v>
      </c>
      <c r="B8398" s="1" t="s">
        <v>1371</v>
      </c>
      <c r="C8398" s="1" t="s">
        <v>261</v>
      </c>
      <c r="D8398" s="1" t="s">
        <v>43</v>
      </c>
      <c r="E8398" s="1" t="s">
        <v>44</v>
      </c>
      <c r="F8398" s="2" t="s">
        <v>347</v>
      </c>
      <c r="G8398" s="1">
        <v>310.68799999999999</v>
      </c>
      <c r="H8398" s="1">
        <v>7</v>
      </c>
      <c r="I8398" s="1">
        <v>108.74079999999999</v>
      </c>
    </row>
    <row r="8399" spans="1:9" x14ac:dyDescent="0.35">
      <c r="A8399" s="3">
        <v>41707</v>
      </c>
      <c r="B8399" s="1" t="s">
        <v>1052</v>
      </c>
      <c r="C8399" s="1" t="s">
        <v>93</v>
      </c>
      <c r="D8399" s="1" t="s">
        <v>52</v>
      </c>
      <c r="E8399" s="1" t="s">
        <v>35</v>
      </c>
      <c r="F8399" s="2" t="s">
        <v>2897</v>
      </c>
      <c r="G8399" s="1">
        <v>7.68</v>
      </c>
      <c r="H8399" s="1">
        <v>5</v>
      </c>
      <c r="I8399" s="1">
        <v>-11.52</v>
      </c>
    </row>
    <row r="8400" spans="1:9" x14ac:dyDescent="0.35">
      <c r="A8400" s="3">
        <v>42777</v>
      </c>
      <c r="B8400" s="1" t="s">
        <v>2443</v>
      </c>
      <c r="C8400" s="1" t="s">
        <v>162</v>
      </c>
      <c r="D8400" s="1" t="s">
        <v>250</v>
      </c>
      <c r="E8400" s="1" t="s">
        <v>14</v>
      </c>
      <c r="F8400" s="2" t="s">
        <v>1531</v>
      </c>
      <c r="G8400" s="1">
        <v>155.37200000000001</v>
      </c>
      <c r="H8400" s="1">
        <v>2</v>
      </c>
      <c r="I8400" s="1">
        <v>-35.513599999999997</v>
      </c>
    </row>
    <row r="8401" spans="1:9" x14ac:dyDescent="0.35">
      <c r="A8401" s="3" t="s">
        <v>3513</v>
      </c>
      <c r="B8401" s="1" t="s">
        <v>1820</v>
      </c>
      <c r="C8401" s="1" t="s">
        <v>1682</v>
      </c>
      <c r="D8401" s="1" t="s">
        <v>158</v>
      </c>
      <c r="E8401" s="1" t="s">
        <v>26</v>
      </c>
      <c r="F8401" s="2" t="s">
        <v>1731</v>
      </c>
      <c r="G8401" s="1">
        <v>10.744</v>
      </c>
      <c r="H8401" s="1">
        <v>1</v>
      </c>
      <c r="I8401" s="1">
        <v>0.80579999999999996</v>
      </c>
    </row>
    <row r="8402" spans="1:9" x14ac:dyDescent="0.35">
      <c r="A8402" s="3">
        <v>42136</v>
      </c>
      <c r="B8402" s="1" t="s">
        <v>2274</v>
      </c>
      <c r="C8402" s="1" t="s">
        <v>135</v>
      </c>
      <c r="D8402" s="1" t="s">
        <v>136</v>
      </c>
      <c r="E8402" s="1" t="s">
        <v>35</v>
      </c>
      <c r="F8402" s="2" t="s">
        <v>1540</v>
      </c>
      <c r="G8402" s="1">
        <v>232.4</v>
      </c>
      <c r="H8402" s="1">
        <v>5</v>
      </c>
      <c r="I8402" s="1">
        <v>78.435000000000002</v>
      </c>
    </row>
    <row r="8403" spans="1:9" x14ac:dyDescent="0.35">
      <c r="A8403" s="3">
        <v>42136</v>
      </c>
      <c r="B8403" s="1" t="s">
        <v>2274</v>
      </c>
      <c r="C8403" s="1" t="s">
        <v>135</v>
      </c>
      <c r="D8403" s="1" t="s">
        <v>136</v>
      </c>
      <c r="E8403" s="1" t="s">
        <v>14</v>
      </c>
      <c r="F8403" s="2" t="s">
        <v>2554</v>
      </c>
      <c r="G8403" s="1">
        <v>164.64599999999999</v>
      </c>
      <c r="H8403" s="1">
        <v>3</v>
      </c>
      <c r="I8403" s="1">
        <v>12.8058</v>
      </c>
    </row>
    <row r="8404" spans="1:9" x14ac:dyDescent="0.35">
      <c r="A8404" s="3">
        <v>42136</v>
      </c>
      <c r="B8404" s="1" t="s">
        <v>2274</v>
      </c>
      <c r="C8404" s="1" t="s">
        <v>135</v>
      </c>
      <c r="D8404" s="1" t="s">
        <v>136</v>
      </c>
      <c r="E8404" s="1" t="s">
        <v>44</v>
      </c>
      <c r="F8404" s="2" t="s">
        <v>1294</v>
      </c>
      <c r="G8404" s="1">
        <v>22.68</v>
      </c>
      <c r="H8404" s="1">
        <v>2</v>
      </c>
      <c r="I8404" s="1">
        <v>11.113200000000001</v>
      </c>
    </row>
    <row r="8405" spans="1:9" x14ac:dyDescent="0.35">
      <c r="A8405" s="3">
        <v>42371</v>
      </c>
      <c r="B8405" s="1" t="s">
        <v>1521</v>
      </c>
      <c r="C8405" s="1" t="s">
        <v>17</v>
      </c>
      <c r="D8405" s="1" t="s">
        <v>18</v>
      </c>
      <c r="E8405" s="1" t="s">
        <v>44</v>
      </c>
      <c r="F8405" s="2" t="s">
        <v>316</v>
      </c>
      <c r="G8405" s="1">
        <v>105.52</v>
      </c>
      <c r="H8405" s="1">
        <v>4</v>
      </c>
      <c r="I8405" s="1">
        <v>48.539200000000001</v>
      </c>
    </row>
    <row r="8406" spans="1:9" x14ac:dyDescent="0.35">
      <c r="A8406" s="3">
        <v>42954</v>
      </c>
      <c r="B8406" s="1" t="s">
        <v>3081</v>
      </c>
      <c r="C8406" s="1" t="s">
        <v>303</v>
      </c>
      <c r="D8406" s="1" t="s">
        <v>124</v>
      </c>
      <c r="E8406" s="1" t="s">
        <v>29</v>
      </c>
      <c r="F8406" s="2" t="s">
        <v>2460</v>
      </c>
      <c r="G8406" s="1">
        <v>83.92</v>
      </c>
      <c r="H8406" s="1">
        <v>4</v>
      </c>
      <c r="I8406" s="1">
        <v>5.8743999999999996</v>
      </c>
    </row>
    <row r="8407" spans="1:9" x14ac:dyDescent="0.35">
      <c r="A8407" s="3">
        <v>42954</v>
      </c>
      <c r="B8407" s="1" t="s">
        <v>3081</v>
      </c>
      <c r="C8407" s="1" t="s">
        <v>303</v>
      </c>
      <c r="D8407" s="1" t="s">
        <v>124</v>
      </c>
      <c r="E8407" s="1" t="s">
        <v>81</v>
      </c>
      <c r="F8407" s="2" t="s">
        <v>1249</v>
      </c>
      <c r="G8407" s="1">
        <v>141.9</v>
      </c>
      <c r="H8407" s="1">
        <v>5</v>
      </c>
      <c r="I8407" s="1">
        <v>58.179000000000002</v>
      </c>
    </row>
    <row r="8408" spans="1:9" x14ac:dyDescent="0.35">
      <c r="A8408" s="3">
        <v>42954</v>
      </c>
      <c r="B8408" s="1" t="s">
        <v>3081</v>
      </c>
      <c r="C8408" s="1" t="s">
        <v>303</v>
      </c>
      <c r="D8408" s="1" t="s">
        <v>124</v>
      </c>
      <c r="E8408" s="1" t="s">
        <v>29</v>
      </c>
      <c r="F8408" s="2" t="s">
        <v>3025</v>
      </c>
      <c r="G8408" s="1">
        <v>39.979999999999997</v>
      </c>
      <c r="H8408" s="1">
        <v>2</v>
      </c>
      <c r="I8408" s="1">
        <v>9.1953999999999994</v>
      </c>
    </row>
    <row r="8409" spans="1:9" x14ac:dyDescent="0.35">
      <c r="A8409" s="3">
        <v>42954</v>
      </c>
      <c r="B8409" s="1" t="s">
        <v>3081</v>
      </c>
      <c r="C8409" s="1" t="s">
        <v>303</v>
      </c>
      <c r="D8409" s="1" t="s">
        <v>124</v>
      </c>
      <c r="E8409" s="1" t="s">
        <v>31</v>
      </c>
      <c r="F8409" s="2" t="s">
        <v>1722</v>
      </c>
      <c r="G8409" s="1">
        <v>28.91</v>
      </c>
      <c r="H8409" s="1">
        <v>7</v>
      </c>
      <c r="I8409" s="1">
        <v>8.673</v>
      </c>
    </row>
    <row r="8410" spans="1:9" x14ac:dyDescent="0.35">
      <c r="A8410" s="3">
        <v>42954</v>
      </c>
      <c r="B8410" s="1" t="s">
        <v>3081</v>
      </c>
      <c r="C8410" s="1" t="s">
        <v>303</v>
      </c>
      <c r="D8410" s="1" t="s">
        <v>124</v>
      </c>
      <c r="E8410" s="1" t="s">
        <v>31</v>
      </c>
      <c r="F8410" s="2" t="s">
        <v>2925</v>
      </c>
      <c r="G8410" s="1">
        <v>174.95</v>
      </c>
      <c r="H8410" s="1">
        <v>5</v>
      </c>
      <c r="I8410" s="1">
        <v>45.487000000000002</v>
      </c>
    </row>
    <row r="8411" spans="1:9" x14ac:dyDescent="0.35">
      <c r="A8411" s="3">
        <v>42320</v>
      </c>
      <c r="B8411" s="1" t="s">
        <v>356</v>
      </c>
      <c r="C8411" s="1" t="s">
        <v>2018</v>
      </c>
      <c r="D8411" s="1" t="s">
        <v>18</v>
      </c>
      <c r="E8411" s="1" t="s">
        <v>35</v>
      </c>
      <c r="F8411" s="2" t="s">
        <v>1151</v>
      </c>
      <c r="G8411" s="1">
        <v>110.52800000000001</v>
      </c>
      <c r="H8411" s="1">
        <v>4</v>
      </c>
      <c r="I8411" s="1">
        <v>38.684800000000003</v>
      </c>
    </row>
    <row r="8412" spans="1:9" x14ac:dyDescent="0.35">
      <c r="A8412" s="3" t="s">
        <v>3546</v>
      </c>
      <c r="B8412" s="1" t="s">
        <v>113</v>
      </c>
      <c r="C8412" s="1" t="s">
        <v>1011</v>
      </c>
      <c r="D8412" s="1" t="s">
        <v>43</v>
      </c>
      <c r="E8412" s="1" t="s">
        <v>24</v>
      </c>
      <c r="F8412" s="2" t="s">
        <v>256</v>
      </c>
      <c r="G8412" s="1">
        <v>630.024</v>
      </c>
      <c r="H8412" s="1">
        <v>4</v>
      </c>
      <c r="I8412" s="1">
        <v>-199.5076</v>
      </c>
    </row>
    <row r="8413" spans="1:9" x14ac:dyDescent="0.35">
      <c r="A8413" s="3">
        <v>42618</v>
      </c>
      <c r="B8413" s="1" t="s">
        <v>1820</v>
      </c>
      <c r="C8413" s="1" t="s">
        <v>909</v>
      </c>
      <c r="D8413" s="1" t="s">
        <v>163</v>
      </c>
      <c r="E8413" s="1" t="s">
        <v>31</v>
      </c>
      <c r="F8413" s="2" t="s">
        <v>379</v>
      </c>
      <c r="G8413" s="1">
        <v>27.86</v>
      </c>
      <c r="H8413" s="1">
        <v>7</v>
      </c>
      <c r="I8413" s="1">
        <v>9.1937999999999995</v>
      </c>
    </row>
    <row r="8414" spans="1:9" x14ac:dyDescent="0.35">
      <c r="A8414" s="3">
        <v>43011</v>
      </c>
      <c r="B8414" s="1" t="s">
        <v>795</v>
      </c>
      <c r="C8414" s="1" t="s">
        <v>399</v>
      </c>
      <c r="D8414" s="1" t="s">
        <v>52</v>
      </c>
      <c r="E8414" s="1" t="s">
        <v>24</v>
      </c>
      <c r="F8414" s="2" t="s">
        <v>1063</v>
      </c>
      <c r="G8414" s="1">
        <v>933.40800000000002</v>
      </c>
      <c r="H8414" s="1">
        <v>4</v>
      </c>
      <c r="I8414" s="1">
        <v>-173.34719999999999</v>
      </c>
    </row>
    <row r="8415" spans="1:9" x14ac:dyDescent="0.35">
      <c r="A8415" s="3" t="s">
        <v>3447</v>
      </c>
      <c r="B8415" s="1" t="s">
        <v>1252</v>
      </c>
      <c r="C8415" s="1" t="s">
        <v>540</v>
      </c>
      <c r="D8415" s="1" t="s">
        <v>52</v>
      </c>
      <c r="E8415" s="1" t="s">
        <v>44</v>
      </c>
      <c r="F8415" s="2" t="s">
        <v>1977</v>
      </c>
      <c r="G8415" s="1">
        <v>51.84</v>
      </c>
      <c r="H8415" s="1">
        <v>10</v>
      </c>
      <c r="I8415" s="1">
        <v>18.143999999999998</v>
      </c>
    </row>
    <row r="8416" spans="1:9" x14ac:dyDescent="0.35">
      <c r="A8416" s="3" t="s">
        <v>3447</v>
      </c>
      <c r="B8416" s="1" t="s">
        <v>1252</v>
      </c>
      <c r="C8416" s="1" t="s">
        <v>540</v>
      </c>
      <c r="D8416" s="1" t="s">
        <v>52</v>
      </c>
      <c r="E8416" s="1" t="s">
        <v>81</v>
      </c>
      <c r="F8416" s="2" t="s">
        <v>2687</v>
      </c>
      <c r="G8416" s="1">
        <v>165.6</v>
      </c>
      <c r="H8416" s="1">
        <v>3</v>
      </c>
      <c r="I8416" s="1">
        <v>-6.21</v>
      </c>
    </row>
    <row r="8417" spans="1:9" x14ac:dyDescent="0.35">
      <c r="A8417" s="3">
        <v>42890</v>
      </c>
      <c r="B8417" s="1" t="s">
        <v>1870</v>
      </c>
      <c r="C8417" s="1" t="s">
        <v>2114</v>
      </c>
      <c r="D8417" s="1" t="s">
        <v>245</v>
      </c>
      <c r="E8417" s="1" t="s">
        <v>44</v>
      </c>
      <c r="F8417" s="2" t="s">
        <v>94</v>
      </c>
      <c r="G8417" s="1">
        <v>106.32</v>
      </c>
      <c r="H8417" s="1">
        <v>3</v>
      </c>
      <c r="I8417" s="1">
        <v>49.970399999999998</v>
      </c>
    </row>
    <row r="8418" spans="1:9" x14ac:dyDescent="0.35">
      <c r="A8418" s="3">
        <v>42983</v>
      </c>
      <c r="B8418" s="1" t="s">
        <v>2522</v>
      </c>
      <c r="C8418" s="1" t="s">
        <v>47</v>
      </c>
      <c r="D8418" s="1" t="s">
        <v>48</v>
      </c>
      <c r="E8418" s="1" t="s">
        <v>35</v>
      </c>
      <c r="F8418" s="2" t="s">
        <v>1370</v>
      </c>
      <c r="G8418" s="1">
        <v>147.91999999999999</v>
      </c>
      <c r="H8418" s="1">
        <v>5</v>
      </c>
      <c r="I8418" s="1">
        <v>46.225000000000001</v>
      </c>
    </row>
    <row r="8419" spans="1:9" x14ac:dyDescent="0.35">
      <c r="A8419" s="3">
        <v>42983</v>
      </c>
      <c r="B8419" s="1" t="s">
        <v>2522</v>
      </c>
      <c r="C8419" s="1" t="s">
        <v>47</v>
      </c>
      <c r="D8419" s="1" t="s">
        <v>48</v>
      </c>
      <c r="E8419" s="1" t="s">
        <v>26</v>
      </c>
      <c r="F8419" s="2" t="s">
        <v>142</v>
      </c>
      <c r="G8419" s="1">
        <v>104.28</v>
      </c>
      <c r="H8419" s="1">
        <v>3</v>
      </c>
      <c r="I8419" s="1">
        <v>26.07</v>
      </c>
    </row>
    <row r="8420" spans="1:9" x14ac:dyDescent="0.35">
      <c r="A8420" s="3">
        <v>42983</v>
      </c>
      <c r="B8420" s="1" t="s">
        <v>2522</v>
      </c>
      <c r="C8420" s="1" t="s">
        <v>47</v>
      </c>
      <c r="D8420" s="1" t="s">
        <v>48</v>
      </c>
      <c r="E8420" s="1" t="s">
        <v>24</v>
      </c>
      <c r="F8420" s="2" t="s">
        <v>1273</v>
      </c>
      <c r="G8420" s="1">
        <v>286.85000000000002</v>
      </c>
      <c r="H8420" s="1">
        <v>1</v>
      </c>
      <c r="I8420" s="1">
        <v>63.106999999999999</v>
      </c>
    </row>
    <row r="8421" spans="1:9" x14ac:dyDescent="0.35">
      <c r="A8421" s="3">
        <v>42983</v>
      </c>
      <c r="B8421" s="1" t="s">
        <v>2522</v>
      </c>
      <c r="C8421" s="1" t="s">
        <v>47</v>
      </c>
      <c r="D8421" s="1" t="s">
        <v>48</v>
      </c>
      <c r="E8421" s="1" t="s">
        <v>26</v>
      </c>
      <c r="F8421" s="2" t="s">
        <v>2949</v>
      </c>
      <c r="G8421" s="1">
        <v>66.959999999999994</v>
      </c>
      <c r="H8421" s="1">
        <v>4</v>
      </c>
      <c r="I8421" s="1">
        <v>2.6783999999999999</v>
      </c>
    </row>
    <row r="8422" spans="1:9" x14ac:dyDescent="0.35">
      <c r="A8422" s="3">
        <v>42983</v>
      </c>
      <c r="B8422" s="1" t="s">
        <v>2522</v>
      </c>
      <c r="C8422" s="1" t="s">
        <v>47</v>
      </c>
      <c r="D8422" s="1" t="s">
        <v>48</v>
      </c>
      <c r="E8422" s="1" t="s">
        <v>81</v>
      </c>
      <c r="F8422" s="2" t="s">
        <v>2211</v>
      </c>
      <c r="G8422" s="1">
        <v>199.98</v>
      </c>
      <c r="H8422" s="1">
        <v>2</v>
      </c>
      <c r="I8422" s="1">
        <v>87.991200000000006</v>
      </c>
    </row>
    <row r="8423" spans="1:9" x14ac:dyDescent="0.35">
      <c r="A8423" s="3">
        <v>43079</v>
      </c>
      <c r="B8423" s="1" t="s">
        <v>321</v>
      </c>
      <c r="C8423" s="1" t="s">
        <v>536</v>
      </c>
      <c r="D8423" s="1" t="s">
        <v>388</v>
      </c>
      <c r="E8423" s="1" t="s">
        <v>81</v>
      </c>
      <c r="F8423" s="2" t="s">
        <v>125</v>
      </c>
      <c r="G8423" s="1">
        <v>45</v>
      </c>
      <c r="H8423" s="1">
        <v>3</v>
      </c>
      <c r="I8423" s="1">
        <v>4.95</v>
      </c>
    </row>
    <row r="8424" spans="1:9" x14ac:dyDescent="0.35">
      <c r="A8424" s="3">
        <v>43079</v>
      </c>
      <c r="B8424" s="1" t="s">
        <v>321</v>
      </c>
      <c r="C8424" s="1" t="s">
        <v>536</v>
      </c>
      <c r="D8424" s="1" t="s">
        <v>388</v>
      </c>
      <c r="E8424" s="1" t="s">
        <v>137</v>
      </c>
      <c r="F8424" s="2" t="s">
        <v>251</v>
      </c>
      <c r="G8424" s="1">
        <v>17.899999999999999</v>
      </c>
      <c r="H8424" s="1">
        <v>5</v>
      </c>
      <c r="I8424" s="1">
        <v>8.7710000000000008</v>
      </c>
    </row>
    <row r="8425" spans="1:9" x14ac:dyDescent="0.35">
      <c r="A8425" s="3">
        <v>43079</v>
      </c>
      <c r="B8425" s="1" t="s">
        <v>321</v>
      </c>
      <c r="C8425" s="1" t="s">
        <v>536</v>
      </c>
      <c r="D8425" s="1" t="s">
        <v>388</v>
      </c>
      <c r="E8425" s="1" t="s">
        <v>29</v>
      </c>
      <c r="F8425" s="2" t="s">
        <v>2754</v>
      </c>
      <c r="G8425" s="1">
        <v>40.479999999999997</v>
      </c>
      <c r="H8425" s="1">
        <v>2</v>
      </c>
      <c r="I8425" s="1">
        <v>17.406400000000001</v>
      </c>
    </row>
    <row r="8426" spans="1:9" x14ac:dyDescent="0.35">
      <c r="A8426" s="3">
        <v>43079</v>
      </c>
      <c r="B8426" s="1" t="s">
        <v>321</v>
      </c>
      <c r="C8426" s="1" t="s">
        <v>536</v>
      </c>
      <c r="D8426" s="1" t="s">
        <v>388</v>
      </c>
      <c r="E8426" s="1" t="s">
        <v>12</v>
      </c>
      <c r="F8426" s="2" t="s">
        <v>2316</v>
      </c>
      <c r="G8426" s="1">
        <v>2154.9</v>
      </c>
      <c r="H8426" s="1">
        <v>5</v>
      </c>
      <c r="I8426" s="1">
        <v>129.29400000000001</v>
      </c>
    </row>
    <row r="8427" spans="1:9" x14ac:dyDescent="0.35">
      <c r="A8427" s="3" t="s">
        <v>3232</v>
      </c>
      <c r="B8427" s="1" t="s">
        <v>1753</v>
      </c>
      <c r="C8427" s="1" t="s">
        <v>485</v>
      </c>
      <c r="D8427" s="1" t="s">
        <v>250</v>
      </c>
      <c r="E8427" s="1" t="s">
        <v>35</v>
      </c>
      <c r="F8427" s="2" t="s">
        <v>2897</v>
      </c>
      <c r="G8427" s="1">
        <v>18.431999999999999</v>
      </c>
      <c r="H8427" s="1">
        <v>8</v>
      </c>
      <c r="I8427" s="1">
        <v>-12.288</v>
      </c>
    </row>
    <row r="8428" spans="1:9" x14ac:dyDescent="0.35">
      <c r="A8428" s="3">
        <v>42045</v>
      </c>
      <c r="B8428" s="1" t="s">
        <v>993</v>
      </c>
      <c r="C8428" s="1" t="s">
        <v>2653</v>
      </c>
      <c r="D8428" s="1" t="s">
        <v>229</v>
      </c>
      <c r="E8428" s="1" t="s">
        <v>289</v>
      </c>
      <c r="F8428" s="2" t="s">
        <v>3089</v>
      </c>
      <c r="G8428" s="1">
        <v>10.944000000000001</v>
      </c>
      <c r="H8428" s="1">
        <v>2</v>
      </c>
      <c r="I8428" s="1">
        <v>0.95760000000000001</v>
      </c>
    </row>
    <row r="8429" spans="1:9" x14ac:dyDescent="0.35">
      <c r="A8429" s="3" t="s">
        <v>3172</v>
      </c>
      <c r="B8429" s="1" t="s">
        <v>1527</v>
      </c>
      <c r="C8429" s="1" t="s">
        <v>283</v>
      </c>
      <c r="D8429" s="1" t="s">
        <v>120</v>
      </c>
      <c r="E8429" s="1" t="s">
        <v>289</v>
      </c>
      <c r="F8429" s="2" t="s">
        <v>614</v>
      </c>
      <c r="G8429" s="1">
        <v>4.3600000000000003</v>
      </c>
      <c r="H8429" s="1">
        <v>2</v>
      </c>
      <c r="I8429" s="1">
        <v>0.1744</v>
      </c>
    </row>
    <row r="8430" spans="1:9" x14ac:dyDescent="0.35">
      <c r="A8430" s="3">
        <v>43080</v>
      </c>
      <c r="B8430" s="1" t="s">
        <v>564</v>
      </c>
      <c r="C8430" s="1" t="s">
        <v>1730</v>
      </c>
      <c r="D8430" s="1" t="s">
        <v>158</v>
      </c>
      <c r="E8430" s="1" t="s">
        <v>81</v>
      </c>
      <c r="F8430" s="2" t="s">
        <v>2353</v>
      </c>
      <c r="G8430" s="1">
        <v>62.351999999999997</v>
      </c>
      <c r="H8430" s="1">
        <v>6</v>
      </c>
      <c r="I8430" s="1">
        <v>-10.9116</v>
      </c>
    </row>
    <row r="8431" spans="1:9" x14ac:dyDescent="0.35">
      <c r="A8431" s="3" t="s">
        <v>3660</v>
      </c>
      <c r="B8431" s="1" t="s">
        <v>243</v>
      </c>
      <c r="C8431" s="1" t="s">
        <v>1973</v>
      </c>
      <c r="D8431" s="1" t="s">
        <v>75</v>
      </c>
      <c r="E8431" s="1" t="s">
        <v>29</v>
      </c>
      <c r="F8431" s="2" t="s">
        <v>2659</v>
      </c>
      <c r="G8431" s="1">
        <v>303.92</v>
      </c>
      <c r="H8431" s="1">
        <v>5</v>
      </c>
      <c r="I8431" s="1">
        <v>-30.391999999999999</v>
      </c>
    </row>
    <row r="8432" spans="1:9" x14ac:dyDescent="0.35">
      <c r="A8432" s="3" t="s">
        <v>3294</v>
      </c>
      <c r="B8432" s="1" t="s">
        <v>1432</v>
      </c>
      <c r="C8432" s="1" t="s">
        <v>2416</v>
      </c>
      <c r="D8432" s="1" t="s">
        <v>115</v>
      </c>
      <c r="E8432" s="1" t="s">
        <v>26</v>
      </c>
      <c r="F8432" s="2" t="s">
        <v>988</v>
      </c>
      <c r="G8432" s="1">
        <v>129.30000000000001</v>
      </c>
      <c r="H8432" s="1">
        <v>2</v>
      </c>
      <c r="I8432" s="1">
        <v>6.4649999999999999</v>
      </c>
    </row>
    <row r="8433" spans="1:9" x14ac:dyDescent="0.35">
      <c r="A8433" s="3">
        <v>42958</v>
      </c>
      <c r="B8433" s="1" t="s">
        <v>2293</v>
      </c>
      <c r="C8433" s="1" t="s">
        <v>1875</v>
      </c>
      <c r="D8433" s="1" t="s">
        <v>1217</v>
      </c>
      <c r="E8433" s="1" t="s">
        <v>29</v>
      </c>
      <c r="F8433" s="2" t="s">
        <v>1518</v>
      </c>
      <c r="G8433" s="1">
        <v>274.2</v>
      </c>
      <c r="H8433" s="1">
        <v>10</v>
      </c>
      <c r="I8433" s="1">
        <v>112.422</v>
      </c>
    </row>
    <row r="8434" spans="1:9" x14ac:dyDescent="0.35">
      <c r="A8434" s="3" t="s">
        <v>3424</v>
      </c>
      <c r="B8434" s="1" t="s">
        <v>2180</v>
      </c>
      <c r="C8434" s="1" t="s">
        <v>2376</v>
      </c>
      <c r="D8434" s="1" t="s">
        <v>52</v>
      </c>
      <c r="E8434" s="1" t="s">
        <v>137</v>
      </c>
      <c r="F8434" s="2" t="s">
        <v>1629</v>
      </c>
      <c r="G8434" s="1">
        <v>6.048</v>
      </c>
      <c r="H8434" s="1">
        <v>4</v>
      </c>
      <c r="I8434" s="1">
        <v>-1.3608</v>
      </c>
    </row>
    <row r="8435" spans="1:9" x14ac:dyDescent="0.35">
      <c r="A8435" s="3" t="s">
        <v>3424</v>
      </c>
      <c r="B8435" s="1" t="s">
        <v>2180</v>
      </c>
      <c r="C8435" s="1" t="s">
        <v>2376</v>
      </c>
      <c r="D8435" s="1" t="s">
        <v>52</v>
      </c>
      <c r="E8435" s="1" t="s">
        <v>44</v>
      </c>
      <c r="F8435" s="2" t="s">
        <v>2552</v>
      </c>
      <c r="G8435" s="1">
        <v>6.8479999999999999</v>
      </c>
      <c r="H8435" s="1">
        <v>2</v>
      </c>
      <c r="I8435" s="1">
        <v>2.14</v>
      </c>
    </row>
    <row r="8436" spans="1:9" x14ac:dyDescent="0.35">
      <c r="A8436" s="3" t="s">
        <v>3424</v>
      </c>
      <c r="B8436" s="1" t="s">
        <v>2180</v>
      </c>
      <c r="C8436" s="1" t="s">
        <v>2376</v>
      </c>
      <c r="D8436" s="1" t="s">
        <v>52</v>
      </c>
      <c r="E8436" s="1" t="s">
        <v>29</v>
      </c>
      <c r="F8436" s="2" t="s">
        <v>2436</v>
      </c>
      <c r="G8436" s="1">
        <v>9.9600000000000009</v>
      </c>
      <c r="H8436" s="1">
        <v>5</v>
      </c>
      <c r="I8436" s="1">
        <v>-6.7229999999999999</v>
      </c>
    </row>
    <row r="8437" spans="1:9" x14ac:dyDescent="0.35">
      <c r="A8437" s="3" t="s">
        <v>3424</v>
      </c>
      <c r="B8437" s="1" t="s">
        <v>2180</v>
      </c>
      <c r="C8437" s="1" t="s">
        <v>2376</v>
      </c>
      <c r="D8437" s="1" t="s">
        <v>52</v>
      </c>
      <c r="E8437" s="1" t="s">
        <v>35</v>
      </c>
      <c r="F8437" s="2" t="s">
        <v>217</v>
      </c>
      <c r="G8437" s="1">
        <v>8.5519999999999996</v>
      </c>
      <c r="H8437" s="1">
        <v>2</v>
      </c>
      <c r="I8437" s="1">
        <v>-13.683199999999999</v>
      </c>
    </row>
    <row r="8438" spans="1:9" x14ac:dyDescent="0.35">
      <c r="A8438" s="3" t="s">
        <v>3808</v>
      </c>
      <c r="B8438" s="1" t="s">
        <v>2016</v>
      </c>
      <c r="C8438" s="1" t="s">
        <v>658</v>
      </c>
      <c r="D8438" s="1" t="s">
        <v>659</v>
      </c>
      <c r="E8438" s="1" t="s">
        <v>35</v>
      </c>
      <c r="F8438" s="2" t="s">
        <v>2495</v>
      </c>
      <c r="G8438" s="1">
        <v>45.584000000000003</v>
      </c>
      <c r="H8438" s="1">
        <v>11</v>
      </c>
      <c r="I8438" s="1">
        <v>16.5242</v>
      </c>
    </row>
    <row r="8439" spans="1:9" x14ac:dyDescent="0.35">
      <c r="A8439" s="3">
        <v>42289</v>
      </c>
      <c r="B8439" s="1" t="s">
        <v>1314</v>
      </c>
      <c r="C8439" s="1" t="s">
        <v>994</v>
      </c>
      <c r="D8439" s="1" t="s">
        <v>250</v>
      </c>
      <c r="E8439" s="1" t="s">
        <v>81</v>
      </c>
      <c r="F8439" s="2" t="s">
        <v>2259</v>
      </c>
      <c r="G8439" s="1">
        <v>25.488</v>
      </c>
      <c r="H8439" s="1">
        <v>2</v>
      </c>
      <c r="I8439" s="1">
        <v>4.4603999999999999</v>
      </c>
    </row>
    <row r="8440" spans="1:9" x14ac:dyDescent="0.35">
      <c r="A8440" s="3" t="s">
        <v>3667</v>
      </c>
      <c r="B8440" s="1" t="s">
        <v>2046</v>
      </c>
      <c r="C8440" s="1" t="s">
        <v>47</v>
      </c>
      <c r="D8440" s="1" t="s">
        <v>48</v>
      </c>
      <c r="E8440" s="1" t="s">
        <v>35</v>
      </c>
      <c r="F8440" s="2" t="s">
        <v>2728</v>
      </c>
      <c r="G8440" s="1">
        <v>136.96</v>
      </c>
      <c r="H8440" s="1">
        <v>4</v>
      </c>
      <c r="I8440" s="1">
        <v>51.36</v>
      </c>
    </row>
    <row r="8441" spans="1:9" x14ac:dyDescent="0.35">
      <c r="A8441" s="3" t="s">
        <v>3817</v>
      </c>
      <c r="B8441" s="1" t="s">
        <v>1031</v>
      </c>
      <c r="C8441" s="1" t="s">
        <v>154</v>
      </c>
      <c r="D8441" s="1" t="s">
        <v>106</v>
      </c>
      <c r="E8441" s="1" t="s">
        <v>33</v>
      </c>
      <c r="F8441" s="2" t="s">
        <v>2780</v>
      </c>
      <c r="G8441" s="1">
        <v>49.616</v>
      </c>
      <c r="H8441" s="1">
        <v>2</v>
      </c>
      <c r="I8441" s="1">
        <v>4.9615999999999998</v>
      </c>
    </row>
    <row r="8442" spans="1:9" x14ac:dyDescent="0.35">
      <c r="A8442" s="3">
        <v>42594</v>
      </c>
      <c r="B8442" s="1" t="s">
        <v>2433</v>
      </c>
      <c r="C8442" s="1" t="s">
        <v>249</v>
      </c>
      <c r="D8442" s="1" t="s">
        <v>250</v>
      </c>
      <c r="E8442" s="1" t="s">
        <v>44</v>
      </c>
      <c r="F8442" s="2" t="s">
        <v>495</v>
      </c>
      <c r="G8442" s="1">
        <v>10.584</v>
      </c>
      <c r="H8442" s="1">
        <v>3</v>
      </c>
      <c r="I8442" s="1">
        <v>3.4398</v>
      </c>
    </row>
    <row r="8443" spans="1:9" x14ac:dyDescent="0.35">
      <c r="A8443" s="3">
        <v>42891</v>
      </c>
      <c r="B8443" s="1" t="s">
        <v>577</v>
      </c>
      <c r="C8443" s="1" t="s">
        <v>621</v>
      </c>
      <c r="D8443" s="1" t="s">
        <v>158</v>
      </c>
      <c r="E8443" s="1" t="s">
        <v>44</v>
      </c>
      <c r="F8443" s="2" t="s">
        <v>316</v>
      </c>
      <c r="G8443" s="1">
        <v>84.415999999999997</v>
      </c>
      <c r="H8443" s="1">
        <v>4</v>
      </c>
      <c r="I8443" s="1">
        <v>27.435199999999998</v>
      </c>
    </row>
    <row r="8444" spans="1:9" x14ac:dyDescent="0.35">
      <c r="A8444" s="3">
        <v>42524</v>
      </c>
      <c r="B8444" s="1" t="s">
        <v>2433</v>
      </c>
      <c r="C8444" s="1" t="s">
        <v>74</v>
      </c>
      <c r="D8444" s="1" t="s">
        <v>75</v>
      </c>
      <c r="E8444" s="1" t="s">
        <v>33</v>
      </c>
      <c r="F8444" s="2" t="s">
        <v>1520</v>
      </c>
      <c r="G8444" s="1">
        <v>431.94</v>
      </c>
      <c r="H8444" s="1">
        <v>2</v>
      </c>
      <c r="I8444" s="1">
        <v>-71.989999999999995</v>
      </c>
    </row>
    <row r="8445" spans="1:9" x14ac:dyDescent="0.35">
      <c r="A8445" s="3">
        <v>42524</v>
      </c>
      <c r="B8445" s="1" t="s">
        <v>2433</v>
      </c>
      <c r="C8445" s="1" t="s">
        <v>74</v>
      </c>
      <c r="D8445" s="1" t="s">
        <v>75</v>
      </c>
      <c r="E8445" s="1" t="s">
        <v>35</v>
      </c>
      <c r="F8445" s="2" t="s">
        <v>2127</v>
      </c>
      <c r="G8445" s="1">
        <v>2.0430000000000001</v>
      </c>
      <c r="H8445" s="1">
        <v>1</v>
      </c>
      <c r="I8445" s="1">
        <v>-1.4982</v>
      </c>
    </row>
    <row r="8446" spans="1:9" x14ac:dyDescent="0.35">
      <c r="A8446" s="3">
        <v>42524</v>
      </c>
      <c r="B8446" s="1" t="s">
        <v>2433</v>
      </c>
      <c r="C8446" s="1" t="s">
        <v>74</v>
      </c>
      <c r="D8446" s="1" t="s">
        <v>75</v>
      </c>
      <c r="E8446" s="1" t="s">
        <v>33</v>
      </c>
      <c r="F8446" s="2" t="s">
        <v>941</v>
      </c>
      <c r="G8446" s="1">
        <v>68.238</v>
      </c>
      <c r="H8446" s="1">
        <v>3</v>
      </c>
      <c r="I8446" s="1">
        <v>-12.510300000000001</v>
      </c>
    </row>
    <row r="8447" spans="1:9" x14ac:dyDescent="0.35">
      <c r="A8447" s="3" t="s">
        <v>3293</v>
      </c>
      <c r="B8447" s="1" t="s">
        <v>1252</v>
      </c>
      <c r="C8447" s="1" t="s">
        <v>2725</v>
      </c>
      <c r="D8447" s="1" t="s">
        <v>663</v>
      </c>
      <c r="E8447" s="1" t="s">
        <v>24</v>
      </c>
      <c r="F8447" s="2" t="s">
        <v>1421</v>
      </c>
      <c r="G8447" s="1">
        <v>240.744</v>
      </c>
      <c r="H8447" s="1">
        <v>4</v>
      </c>
      <c r="I8447" s="1">
        <v>-13.7568</v>
      </c>
    </row>
    <row r="8448" spans="1:9" x14ac:dyDescent="0.35">
      <c r="A8448" s="3" t="s">
        <v>3293</v>
      </c>
      <c r="B8448" s="1" t="s">
        <v>1252</v>
      </c>
      <c r="C8448" s="1" t="s">
        <v>2725</v>
      </c>
      <c r="D8448" s="1" t="s">
        <v>663</v>
      </c>
      <c r="E8448" s="1" t="s">
        <v>29</v>
      </c>
      <c r="F8448" s="2" t="s">
        <v>2419</v>
      </c>
      <c r="G8448" s="1">
        <v>35</v>
      </c>
      <c r="H8448" s="1">
        <v>4</v>
      </c>
      <c r="I8448" s="1">
        <v>14.7</v>
      </c>
    </row>
    <row r="8449" spans="1:9" x14ac:dyDescent="0.35">
      <c r="A8449" s="3" t="s">
        <v>3293</v>
      </c>
      <c r="B8449" s="1" t="s">
        <v>1252</v>
      </c>
      <c r="C8449" s="1" t="s">
        <v>2725</v>
      </c>
      <c r="D8449" s="1" t="s">
        <v>663</v>
      </c>
      <c r="E8449" s="1" t="s">
        <v>29</v>
      </c>
      <c r="F8449" s="2" t="s">
        <v>3033</v>
      </c>
      <c r="G8449" s="1">
        <v>210.68</v>
      </c>
      <c r="H8449" s="1">
        <v>2</v>
      </c>
      <c r="I8449" s="1">
        <v>50.563200000000002</v>
      </c>
    </row>
    <row r="8450" spans="1:9" x14ac:dyDescent="0.35">
      <c r="A8450" s="3" t="s">
        <v>3293</v>
      </c>
      <c r="B8450" s="1" t="s">
        <v>1252</v>
      </c>
      <c r="C8450" s="1" t="s">
        <v>2725</v>
      </c>
      <c r="D8450" s="1" t="s">
        <v>663</v>
      </c>
      <c r="E8450" s="1" t="s">
        <v>24</v>
      </c>
      <c r="F8450" s="2" t="s">
        <v>629</v>
      </c>
      <c r="G8450" s="1">
        <v>637.89599999999996</v>
      </c>
      <c r="H8450" s="1">
        <v>3</v>
      </c>
      <c r="I8450" s="1">
        <v>-127.5792</v>
      </c>
    </row>
    <row r="8451" spans="1:9" x14ac:dyDescent="0.35">
      <c r="A8451" s="3" t="s">
        <v>3293</v>
      </c>
      <c r="B8451" s="1" t="s">
        <v>1252</v>
      </c>
      <c r="C8451" s="1" t="s">
        <v>2725</v>
      </c>
      <c r="D8451" s="1" t="s">
        <v>663</v>
      </c>
      <c r="E8451" s="1" t="s">
        <v>44</v>
      </c>
      <c r="F8451" s="2" t="s">
        <v>679</v>
      </c>
      <c r="G8451" s="1">
        <v>43.44</v>
      </c>
      <c r="H8451" s="1">
        <v>8</v>
      </c>
      <c r="I8451" s="1">
        <v>21.285599999999999</v>
      </c>
    </row>
    <row r="8452" spans="1:9" x14ac:dyDescent="0.35">
      <c r="A8452" s="3" t="s">
        <v>3293</v>
      </c>
      <c r="B8452" s="1" t="s">
        <v>1252</v>
      </c>
      <c r="C8452" s="1" t="s">
        <v>2725</v>
      </c>
      <c r="D8452" s="1" t="s">
        <v>663</v>
      </c>
      <c r="E8452" s="1" t="s">
        <v>37</v>
      </c>
      <c r="F8452" s="2" t="s">
        <v>1853</v>
      </c>
      <c r="G8452" s="1">
        <v>2.2200000000000002</v>
      </c>
      <c r="H8452" s="1">
        <v>1</v>
      </c>
      <c r="I8452" s="1">
        <v>0.66600000000000004</v>
      </c>
    </row>
    <row r="8453" spans="1:9" x14ac:dyDescent="0.35">
      <c r="A8453" s="3" t="s">
        <v>3421</v>
      </c>
      <c r="B8453" s="1" t="s">
        <v>1718</v>
      </c>
      <c r="C8453" s="1" t="s">
        <v>64</v>
      </c>
      <c r="D8453" s="1" t="s">
        <v>18</v>
      </c>
      <c r="E8453" s="1" t="s">
        <v>33</v>
      </c>
      <c r="F8453" s="2" t="s">
        <v>2424</v>
      </c>
      <c r="G8453" s="1">
        <v>1679.96</v>
      </c>
      <c r="H8453" s="1">
        <v>5</v>
      </c>
      <c r="I8453" s="1">
        <v>125.997</v>
      </c>
    </row>
    <row r="8454" spans="1:9" x14ac:dyDescent="0.35">
      <c r="A8454" s="3" t="s">
        <v>3792</v>
      </c>
      <c r="B8454" s="1" t="s">
        <v>2910</v>
      </c>
      <c r="C8454" s="1" t="s">
        <v>93</v>
      </c>
      <c r="D8454" s="1" t="s">
        <v>52</v>
      </c>
      <c r="E8454" s="1" t="s">
        <v>14</v>
      </c>
      <c r="F8454" s="2" t="s">
        <v>1386</v>
      </c>
      <c r="G8454" s="1">
        <v>344.37200000000001</v>
      </c>
      <c r="H8454" s="1">
        <v>4</v>
      </c>
      <c r="I8454" s="1">
        <v>-93.472399999999993</v>
      </c>
    </row>
    <row r="8455" spans="1:9" x14ac:dyDescent="0.35">
      <c r="A8455" s="3" t="s">
        <v>3792</v>
      </c>
      <c r="B8455" s="1" t="s">
        <v>2910</v>
      </c>
      <c r="C8455" s="1" t="s">
        <v>93</v>
      </c>
      <c r="D8455" s="1" t="s">
        <v>52</v>
      </c>
      <c r="E8455" s="1" t="s">
        <v>26</v>
      </c>
      <c r="F8455" s="2" t="s">
        <v>872</v>
      </c>
      <c r="G8455" s="1">
        <v>1554.9359999999999</v>
      </c>
      <c r="H8455" s="1">
        <v>3</v>
      </c>
      <c r="I8455" s="1">
        <v>77.746799999999993</v>
      </c>
    </row>
    <row r="8456" spans="1:9" x14ac:dyDescent="0.35">
      <c r="A8456" s="3" t="s">
        <v>3792</v>
      </c>
      <c r="B8456" s="1" t="s">
        <v>2910</v>
      </c>
      <c r="C8456" s="1" t="s">
        <v>93</v>
      </c>
      <c r="D8456" s="1" t="s">
        <v>52</v>
      </c>
      <c r="E8456" s="1" t="s">
        <v>29</v>
      </c>
      <c r="F8456" s="2" t="s">
        <v>2101</v>
      </c>
      <c r="G8456" s="1">
        <v>127.88</v>
      </c>
      <c r="H8456" s="1">
        <v>5</v>
      </c>
      <c r="I8456" s="1">
        <v>-67.137</v>
      </c>
    </row>
    <row r="8457" spans="1:9" x14ac:dyDescent="0.35">
      <c r="A8457" s="3" t="s">
        <v>3586</v>
      </c>
      <c r="B8457" s="1" t="s">
        <v>1881</v>
      </c>
      <c r="C8457" s="1" t="s">
        <v>17</v>
      </c>
      <c r="D8457" s="1" t="s">
        <v>18</v>
      </c>
      <c r="E8457" s="1" t="s">
        <v>33</v>
      </c>
      <c r="F8457" s="2" t="s">
        <v>404</v>
      </c>
      <c r="G8457" s="1">
        <v>222.38399999999999</v>
      </c>
      <c r="H8457" s="1">
        <v>2</v>
      </c>
      <c r="I8457" s="1">
        <v>22.238399999999999</v>
      </c>
    </row>
    <row r="8458" spans="1:9" x14ac:dyDescent="0.35">
      <c r="A8458" s="3" t="s">
        <v>3166</v>
      </c>
      <c r="B8458" s="1" t="s">
        <v>990</v>
      </c>
      <c r="C8458" s="1" t="s">
        <v>154</v>
      </c>
      <c r="D8458" s="1" t="s">
        <v>106</v>
      </c>
      <c r="E8458" s="1" t="s">
        <v>14</v>
      </c>
      <c r="F8458" s="2" t="s">
        <v>276</v>
      </c>
      <c r="G8458" s="1">
        <v>106.869</v>
      </c>
      <c r="H8458" s="1">
        <v>3</v>
      </c>
      <c r="I8458" s="1">
        <v>-29.007300000000001</v>
      </c>
    </row>
    <row r="8459" spans="1:9" x14ac:dyDescent="0.35">
      <c r="A8459" s="3" t="s">
        <v>3166</v>
      </c>
      <c r="B8459" s="1" t="s">
        <v>990</v>
      </c>
      <c r="C8459" s="1" t="s">
        <v>154</v>
      </c>
      <c r="D8459" s="1" t="s">
        <v>106</v>
      </c>
      <c r="E8459" s="1" t="s">
        <v>35</v>
      </c>
      <c r="F8459" s="2" t="s">
        <v>578</v>
      </c>
      <c r="G8459" s="1">
        <v>3.5640000000000001</v>
      </c>
      <c r="H8459" s="1">
        <v>3</v>
      </c>
      <c r="I8459" s="1">
        <v>-6.2370000000000001</v>
      </c>
    </row>
    <row r="8460" spans="1:9" x14ac:dyDescent="0.35">
      <c r="A8460" s="3" t="s">
        <v>3175</v>
      </c>
      <c r="B8460" s="1" t="s">
        <v>1981</v>
      </c>
      <c r="C8460" s="1" t="s">
        <v>93</v>
      </c>
      <c r="D8460" s="1" t="s">
        <v>52</v>
      </c>
      <c r="E8460" s="1" t="s">
        <v>35</v>
      </c>
      <c r="F8460" s="2" t="s">
        <v>1932</v>
      </c>
      <c r="G8460" s="1">
        <v>25.68</v>
      </c>
      <c r="H8460" s="1">
        <v>3</v>
      </c>
      <c r="I8460" s="1">
        <v>-39.804000000000002</v>
      </c>
    </row>
    <row r="8461" spans="1:9" x14ac:dyDescent="0.35">
      <c r="A8461" s="3" t="s">
        <v>3175</v>
      </c>
      <c r="B8461" s="1" t="s">
        <v>1981</v>
      </c>
      <c r="C8461" s="1" t="s">
        <v>93</v>
      </c>
      <c r="D8461" s="1" t="s">
        <v>52</v>
      </c>
      <c r="E8461" s="1" t="s">
        <v>35</v>
      </c>
      <c r="F8461" s="2" t="s">
        <v>636</v>
      </c>
      <c r="G8461" s="1">
        <v>12.384</v>
      </c>
      <c r="H8461" s="1">
        <v>3</v>
      </c>
      <c r="I8461" s="1">
        <v>-19.814399999999999</v>
      </c>
    </row>
    <row r="8462" spans="1:9" x14ac:dyDescent="0.35">
      <c r="A8462" s="3" t="s">
        <v>3818</v>
      </c>
      <c r="B8462" s="1" t="s">
        <v>951</v>
      </c>
      <c r="C8462" s="1" t="s">
        <v>258</v>
      </c>
      <c r="D8462" s="1" t="s">
        <v>368</v>
      </c>
      <c r="E8462" s="1" t="s">
        <v>35</v>
      </c>
      <c r="F8462" s="2" t="s">
        <v>1486</v>
      </c>
      <c r="G8462" s="1">
        <v>25.3</v>
      </c>
      <c r="H8462" s="1">
        <v>5</v>
      </c>
      <c r="I8462" s="1">
        <v>11.891</v>
      </c>
    </row>
    <row r="8463" spans="1:9" x14ac:dyDescent="0.35">
      <c r="A8463" s="3" t="s">
        <v>3818</v>
      </c>
      <c r="B8463" s="1" t="s">
        <v>951</v>
      </c>
      <c r="C8463" s="1" t="s">
        <v>258</v>
      </c>
      <c r="D8463" s="1" t="s">
        <v>368</v>
      </c>
      <c r="E8463" s="1" t="s">
        <v>26</v>
      </c>
      <c r="F8463" s="2" t="s">
        <v>1529</v>
      </c>
      <c r="G8463" s="1">
        <v>95.94</v>
      </c>
      <c r="H8463" s="1">
        <v>3</v>
      </c>
      <c r="I8463" s="1">
        <v>9.5939999999999994</v>
      </c>
    </row>
    <row r="8464" spans="1:9" x14ac:dyDescent="0.35">
      <c r="A8464" s="3">
        <v>42072</v>
      </c>
      <c r="B8464" s="1" t="s">
        <v>2088</v>
      </c>
      <c r="C8464" s="1" t="s">
        <v>2935</v>
      </c>
      <c r="D8464" s="1" t="s">
        <v>120</v>
      </c>
      <c r="E8464" s="1" t="s">
        <v>19</v>
      </c>
      <c r="F8464" s="2" t="s">
        <v>2585</v>
      </c>
      <c r="G8464" s="1">
        <v>7.5</v>
      </c>
      <c r="H8464" s="1">
        <v>2</v>
      </c>
      <c r="I8464" s="1">
        <v>3.6</v>
      </c>
    </row>
    <row r="8465" spans="1:9" x14ac:dyDescent="0.35">
      <c r="A8465" s="3" t="s">
        <v>3797</v>
      </c>
      <c r="B8465" s="1" t="s">
        <v>2383</v>
      </c>
      <c r="C8465" s="1" t="s">
        <v>2209</v>
      </c>
      <c r="D8465" s="1" t="s">
        <v>331</v>
      </c>
      <c r="E8465" s="1" t="s">
        <v>33</v>
      </c>
      <c r="F8465" s="2" t="s">
        <v>363</v>
      </c>
      <c r="G8465" s="1">
        <v>302.37599999999998</v>
      </c>
      <c r="H8465" s="1">
        <v>3</v>
      </c>
      <c r="I8465" s="1">
        <v>22.6782</v>
      </c>
    </row>
    <row r="8466" spans="1:9" x14ac:dyDescent="0.35">
      <c r="A8466" s="3">
        <v>42282</v>
      </c>
      <c r="B8466" s="1" t="s">
        <v>1020</v>
      </c>
      <c r="C8466" s="1" t="s">
        <v>697</v>
      </c>
      <c r="D8466" s="1" t="s">
        <v>229</v>
      </c>
      <c r="E8466" s="1" t="s">
        <v>81</v>
      </c>
      <c r="F8466" s="2" t="s">
        <v>1996</v>
      </c>
      <c r="G8466" s="1">
        <v>46.688000000000002</v>
      </c>
      <c r="H8466" s="1">
        <v>4</v>
      </c>
      <c r="I8466" s="1">
        <v>-2.9180000000000001</v>
      </c>
    </row>
    <row r="8467" spans="1:9" x14ac:dyDescent="0.35">
      <c r="A8467" s="3">
        <v>42251</v>
      </c>
      <c r="B8467" s="1" t="s">
        <v>1765</v>
      </c>
      <c r="C8467" s="1" t="s">
        <v>135</v>
      </c>
      <c r="D8467" s="1" t="s">
        <v>136</v>
      </c>
      <c r="E8467" s="1" t="s">
        <v>26</v>
      </c>
      <c r="F8467" s="2" t="s">
        <v>1984</v>
      </c>
      <c r="G8467" s="1">
        <v>17.940000000000001</v>
      </c>
      <c r="H8467" s="1">
        <v>3</v>
      </c>
      <c r="I8467" s="1">
        <v>3.0497999999999998</v>
      </c>
    </row>
    <row r="8468" spans="1:9" x14ac:dyDescent="0.35">
      <c r="A8468" s="3">
        <v>42251</v>
      </c>
      <c r="B8468" s="1" t="s">
        <v>1744</v>
      </c>
      <c r="C8468" s="1" t="s">
        <v>1243</v>
      </c>
      <c r="D8468" s="1" t="s">
        <v>368</v>
      </c>
      <c r="E8468" s="1" t="s">
        <v>37</v>
      </c>
      <c r="F8468" s="2" t="s">
        <v>947</v>
      </c>
      <c r="G8468" s="1">
        <v>370.14</v>
      </c>
      <c r="H8468" s="1">
        <v>3</v>
      </c>
      <c r="I8468" s="1">
        <v>144.3546</v>
      </c>
    </row>
    <row r="8469" spans="1:9" x14ac:dyDescent="0.35">
      <c r="A8469" s="3" t="s">
        <v>3287</v>
      </c>
      <c r="B8469" s="1" t="s">
        <v>1426</v>
      </c>
      <c r="C8469" s="1" t="s">
        <v>64</v>
      </c>
      <c r="D8469" s="1" t="s">
        <v>18</v>
      </c>
      <c r="E8469" s="1" t="s">
        <v>35</v>
      </c>
      <c r="F8469" s="2" t="s">
        <v>184</v>
      </c>
      <c r="G8469" s="1">
        <v>8.9280000000000008</v>
      </c>
      <c r="H8469" s="1">
        <v>2</v>
      </c>
      <c r="I8469" s="1">
        <v>3.1248</v>
      </c>
    </row>
    <row r="8470" spans="1:9" x14ac:dyDescent="0.35">
      <c r="A8470" s="3">
        <v>42685</v>
      </c>
      <c r="B8470" s="1" t="s">
        <v>634</v>
      </c>
      <c r="C8470" s="1" t="s">
        <v>2412</v>
      </c>
      <c r="D8470" s="1" t="s">
        <v>129</v>
      </c>
      <c r="E8470" s="1" t="s">
        <v>24</v>
      </c>
      <c r="F8470" s="2" t="s">
        <v>2155</v>
      </c>
      <c r="G8470" s="1">
        <v>2678.94</v>
      </c>
      <c r="H8470" s="1">
        <v>6</v>
      </c>
      <c r="I8470" s="1">
        <v>241.1046</v>
      </c>
    </row>
    <row r="8471" spans="1:9" x14ac:dyDescent="0.35">
      <c r="A8471" s="3" t="s">
        <v>3209</v>
      </c>
      <c r="B8471" s="1" t="s">
        <v>214</v>
      </c>
      <c r="C8471" s="1" t="s">
        <v>2172</v>
      </c>
      <c r="D8471" s="1" t="s">
        <v>171</v>
      </c>
      <c r="E8471" s="1" t="s">
        <v>12</v>
      </c>
      <c r="F8471" s="2" t="s">
        <v>684</v>
      </c>
      <c r="G8471" s="1">
        <v>387.13600000000002</v>
      </c>
      <c r="H8471" s="1">
        <v>4</v>
      </c>
      <c r="I8471" s="1">
        <v>-14.5176</v>
      </c>
    </row>
    <row r="8472" spans="1:9" x14ac:dyDescent="0.35">
      <c r="A8472" s="3" t="s">
        <v>3209</v>
      </c>
      <c r="B8472" s="1" t="s">
        <v>214</v>
      </c>
      <c r="C8472" s="1" t="s">
        <v>2172</v>
      </c>
      <c r="D8472" s="1" t="s">
        <v>171</v>
      </c>
      <c r="E8472" s="1" t="s">
        <v>81</v>
      </c>
      <c r="F8472" s="2" t="s">
        <v>1249</v>
      </c>
      <c r="G8472" s="1">
        <v>45.408000000000001</v>
      </c>
      <c r="H8472" s="1">
        <v>2</v>
      </c>
      <c r="I8472" s="1">
        <v>11.919600000000001</v>
      </c>
    </row>
    <row r="8473" spans="1:9" x14ac:dyDescent="0.35">
      <c r="A8473" s="3" t="s">
        <v>3209</v>
      </c>
      <c r="B8473" s="1" t="s">
        <v>214</v>
      </c>
      <c r="C8473" s="1" t="s">
        <v>2172</v>
      </c>
      <c r="D8473" s="1" t="s">
        <v>171</v>
      </c>
      <c r="E8473" s="1" t="s">
        <v>29</v>
      </c>
      <c r="F8473" s="2" t="s">
        <v>2539</v>
      </c>
      <c r="G8473" s="1">
        <v>77.951999999999998</v>
      </c>
      <c r="H8473" s="1">
        <v>3</v>
      </c>
      <c r="I8473" s="1">
        <v>-11.6928</v>
      </c>
    </row>
    <row r="8474" spans="1:9" x14ac:dyDescent="0.35">
      <c r="A8474" s="3" t="s">
        <v>3209</v>
      </c>
      <c r="B8474" s="1" t="s">
        <v>214</v>
      </c>
      <c r="C8474" s="1" t="s">
        <v>2172</v>
      </c>
      <c r="D8474" s="1" t="s">
        <v>171</v>
      </c>
      <c r="E8474" s="1" t="s">
        <v>19</v>
      </c>
      <c r="F8474" s="2" t="s">
        <v>2225</v>
      </c>
      <c r="G8474" s="1">
        <v>3</v>
      </c>
      <c r="H8474" s="1">
        <v>1</v>
      </c>
      <c r="I8474" s="1">
        <v>1.05</v>
      </c>
    </row>
    <row r="8475" spans="1:9" x14ac:dyDescent="0.35">
      <c r="A8475" s="3" t="s">
        <v>3819</v>
      </c>
      <c r="B8475" s="1" t="s">
        <v>1543</v>
      </c>
      <c r="C8475" s="1" t="s">
        <v>2709</v>
      </c>
      <c r="D8475" s="1" t="s">
        <v>23</v>
      </c>
      <c r="E8475" s="1" t="s">
        <v>26</v>
      </c>
      <c r="F8475" s="2" t="s">
        <v>500</v>
      </c>
      <c r="G8475" s="1">
        <v>9.952</v>
      </c>
      <c r="H8475" s="1">
        <v>1</v>
      </c>
      <c r="I8475" s="1">
        <v>0.99519999999999997</v>
      </c>
    </row>
    <row r="8476" spans="1:9" x14ac:dyDescent="0.35">
      <c r="A8476" s="3">
        <v>42982</v>
      </c>
      <c r="B8476" s="1" t="s">
        <v>1935</v>
      </c>
      <c r="C8476" s="1" t="s">
        <v>2077</v>
      </c>
      <c r="D8476" s="1" t="s">
        <v>75</v>
      </c>
      <c r="E8476" s="1" t="s">
        <v>35</v>
      </c>
      <c r="F8476" s="2" t="s">
        <v>660</v>
      </c>
      <c r="G8476" s="1">
        <v>37.896000000000001</v>
      </c>
      <c r="H8476" s="1">
        <v>4</v>
      </c>
      <c r="I8476" s="1">
        <v>-29.053599999999999</v>
      </c>
    </row>
    <row r="8477" spans="1:9" x14ac:dyDescent="0.35">
      <c r="A8477" s="3">
        <v>42982</v>
      </c>
      <c r="B8477" s="1" t="s">
        <v>1935</v>
      </c>
      <c r="C8477" s="1" t="s">
        <v>2077</v>
      </c>
      <c r="D8477" s="1" t="s">
        <v>75</v>
      </c>
      <c r="E8477" s="1" t="s">
        <v>44</v>
      </c>
      <c r="F8477" s="2" t="s">
        <v>2535</v>
      </c>
      <c r="G8477" s="1">
        <v>65.584000000000003</v>
      </c>
      <c r="H8477" s="1">
        <v>2</v>
      </c>
      <c r="I8477" s="1">
        <v>23.7742</v>
      </c>
    </row>
    <row r="8478" spans="1:9" x14ac:dyDescent="0.35">
      <c r="A8478" s="3" t="s">
        <v>3357</v>
      </c>
      <c r="B8478" s="1" t="s">
        <v>310</v>
      </c>
      <c r="C8478" s="1" t="s">
        <v>849</v>
      </c>
      <c r="D8478" s="1" t="s">
        <v>158</v>
      </c>
      <c r="E8478" s="1" t="s">
        <v>44</v>
      </c>
      <c r="F8478" s="2" t="s">
        <v>2599</v>
      </c>
      <c r="G8478" s="1">
        <v>44.783999999999999</v>
      </c>
      <c r="H8478" s="1">
        <v>1</v>
      </c>
      <c r="I8478" s="1">
        <v>16.234200000000001</v>
      </c>
    </row>
    <row r="8479" spans="1:9" x14ac:dyDescent="0.35">
      <c r="A8479" s="3" t="s">
        <v>3432</v>
      </c>
      <c r="B8479" s="1" t="s">
        <v>1089</v>
      </c>
      <c r="C8479" s="1" t="s">
        <v>135</v>
      </c>
      <c r="D8479" s="1" t="s">
        <v>136</v>
      </c>
      <c r="E8479" s="1" t="s">
        <v>338</v>
      </c>
      <c r="F8479" s="2" t="s">
        <v>3092</v>
      </c>
      <c r="G8479" s="1">
        <v>1035.8</v>
      </c>
      <c r="H8479" s="1">
        <v>4</v>
      </c>
      <c r="I8479" s="1">
        <v>269.30799999999999</v>
      </c>
    </row>
    <row r="8480" spans="1:9" x14ac:dyDescent="0.35">
      <c r="A8480" s="3" t="s">
        <v>3291</v>
      </c>
      <c r="B8480" s="1" t="s">
        <v>1768</v>
      </c>
      <c r="C8480" s="1" t="s">
        <v>64</v>
      </c>
      <c r="D8480" s="1" t="s">
        <v>18</v>
      </c>
      <c r="E8480" s="1" t="s">
        <v>31</v>
      </c>
      <c r="F8480" s="2" t="s">
        <v>1171</v>
      </c>
      <c r="G8480" s="1">
        <v>5.76</v>
      </c>
      <c r="H8480" s="1">
        <v>2</v>
      </c>
      <c r="I8480" s="1">
        <v>1.6704000000000001</v>
      </c>
    </row>
    <row r="8481" spans="1:9" x14ac:dyDescent="0.35">
      <c r="A8481" s="3">
        <v>42707</v>
      </c>
      <c r="B8481" s="1" t="s">
        <v>2060</v>
      </c>
      <c r="C8481" s="1" t="s">
        <v>17</v>
      </c>
      <c r="D8481" s="1" t="s">
        <v>18</v>
      </c>
      <c r="E8481" s="1" t="s">
        <v>44</v>
      </c>
      <c r="F8481" s="2" t="s">
        <v>2722</v>
      </c>
      <c r="G8481" s="1">
        <v>19.98</v>
      </c>
      <c r="H8481" s="1">
        <v>2</v>
      </c>
      <c r="I8481" s="1">
        <v>8.9909999999999997</v>
      </c>
    </row>
    <row r="8482" spans="1:9" x14ac:dyDescent="0.35">
      <c r="A8482" s="3" t="s">
        <v>3807</v>
      </c>
      <c r="B8482" s="1" t="s">
        <v>1155</v>
      </c>
      <c r="C8482" s="1" t="s">
        <v>1138</v>
      </c>
      <c r="D8482" s="1" t="s">
        <v>70</v>
      </c>
      <c r="E8482" s="1" t="s">
        <v>33</v>
      </c>
      <c r="F8482" s="2" t="s">
        <v>2948</v>
      </c>
      <c r="G8482" s="1">
        <v>35.979999999999997</v>
      </c>
      <c r="H8482" s="1">
        <v>2</v>
      </c>
      <c r="I8482" s="1">
        <v>10.074400000000001</v>
      </c>
    </row>
    <row r="8483" spans="1:9" x14ac:dyDescent="0.35">
      <c r="A8483" s="3" t="s">
        <v>3603</v>
      </c>
      <c r="B8483" s="1" t="s">
        <v>1777</v>
      </c>
      <c r="C8483" s="1" t="s">
        <v>74</v>
      </c>
      <c r="D8483" s="1" t="s">
        <v>75</v>
      </c>
      <c r="E8483" s="1" t="s">
        <v>31</v>
      </c>
      <c r="F8483" s="2" t="s">
        <v>1547</v>
      </c>
      <c r="G8483" s="1">
        <v>16.655999999999999</v>
      </c>
      <c r="H8483" s="1">
        <v>3</v>
      </c>
      <c r="I8483" s="1">
        <v>3.3311999999999999</v>
      </c>
    </row>
    <row r="8484" spans="1:9" x14ac:dyDescent="0.35">
      <c r="A8484" s="3">
        <v>43041</v>
      </c>
      <c r="B8484" s="1" t="s">
        <v>564</v>
      </c>
      <c r="C8484" s="1" t="s">
        <v>135</v>
      </c>
      <c r="D8484" s="1" t="s">
        <v>136</v>
      </c>
      <c r="E8484" s="1" t="s">
        <v>19</v>
      </c>
      <c r="F8484" s="2" t="s">
        <v>876</v>
      </c>
      <c r="G8484" s="1">
        <v>20.7</v>
      </c>
      <c r="H8484" s="1">
        <v>2</v>
      </c>
      <c r="I8484" s="1">
        <v>9.9359999999999999</v>
      </c>
    </row>
    <row r="8485" spans="1:9" x14ac:dyDescent="0.35">
      <c r="A8485" s="3" t="s">
        <v>3390</v>
      </c>
      <c r="B8485" s="1" t="s">
        <v>2291</v>
      </c>
      <c r="C8485" s="1" t="s">
        <v>2520</v>
      </c>
      <c r="D8485" s="1" t="s">
        <v>120</v>
      </c>
      <c r="E8485" s="1" t="s">
        <v>35</v>
      </c>
      <c r="F8485" s="2" t="s">
        <v>2656</v>
      </c>
      <c r="G8485" s="1">
        <v>83.7</v>
      </c>
      <c r="H8485" s="1">
        <v>5</v>
      </c>
      <c r="I8485" s="1">
        <v>41.012999999999998</v>
      </c>
    </row>
    <row r="8486" spans="1:9" x14ac:dyDescent="0.35">
      <c r="A8486" s="3" t="s">
        <v>3404</v>
      </c>
      <c r="B8486" s="1" t="s">
        <v>691</v>
      </c>
      <c r="C8486" s="1" t="s">
        <v>47</v>
      </c>
      <c r="D8486" s="1" t="s">
        <v>48</v>
      </c>
      <c r="E8486" s="1" t="s">
        <v>29</v>
      </c>
      <c r="F8486" s="2" t="s">
        <v>996</v>
      </c>
      <c r="G8486" s="1">
        <v>199.8</v>
      </c>
      <c r="H8486" s="1">
        <v>10</v>
      </c>
      <c r="I8486" s="1">
        <v>71.927999999999997</v>
      </c>
    </row>
    <row r="8487" spans="1:9" x14ac:dyDescent="0.35">
      <c r="A8487" s="3" t="s">
        <v>3581</v>
      </c>
      <c r="B8487" s="1" t="s">
        <v>3093</v>
      </c>
      <c r="C8487" s="1" t="s">
        <v>1510</v>
      </c>
      <c r="D8487" s="1" t="s">
        <v>18</v>
      </c>
      <c r="E8487" s="1" t="s">
        <v>44</v>
      </c>
      <c r="F8487" s="2" t="s">
        <v>2094</v>
      </c>
      <c r="G8487" s="1">
        <v>45.68</v>
      </c>
      <c r="H8487" s="1">
        <v>2</v>
      </c>
      <c r="I8487" s="1">
        <v>21.012799999999999</v>
      </c>
    </row>
    <row r="8488" spans="1:9" x14ac:dyDescent="0.35">
      <c r="A8488" s="3" t="s">
        <v>3581</v>
      </c>
      <c r="B8488" s="1" t="s">
        <v>3093</v>
      </c>
      <c r="C8488" s="1" t="s">
        <v>1510</v>
      </c>
      <c r="D8488" s="1" t="s">
        <v>18</v>
      </c>
      <c r="E8488" s="1" t="s">
        <v>44</v>
      </c>
      <c r="F8488" s="2" t="s">
        <v>347</v>
      </c>
      <c r="G8488" s="1">
        <v>110.96</v>
      </c>
      <c r="H8488" s="1">
        <v>2</v>
      </c>
      <c r="I8488" s="1">
        <v>53.260800000000003</v>
      </c>
    </row>
    <row r="8489" spans="1:9" x14ac:dyDescent="0.35">
      <c r="A8489" s="3" t="s">
        <v>3581</v>
      </c>
      <c r="B8489" s="1" t="s">
        <v>3093</v>
      </c>
      <c r="C8489" s="1" t="s">
        <v>1510</v>
      </c>
      <c r="D8489" s="1" t="s">
        <v>18</v>
      </c>
      <c r="E8489" s="1" t="s">
        <v>44</v>
      </c>
      <c r="F8489" s="2" t="s">
        <v>2905</v>
      </c>
      <c r="G8489" s="1">
        <v>11.94</v>
      </c>
      <c r="H8489" s="1">
        <v>3</v>
      </c>
      <c r="I8489" s="1">
        <v>5.97</v>
      </c>
    </row>
    <row r="8490" spans="1:9" x14ac:dyDescent="0.35">
      <c r="A8490" s="3">
        <v>42402</v>
      </c>
      <c r="B8490" s="1" t="s">
        <v>1248</v>
      </c>
      <c r="C8490" s="1" t="s">
        <v>540</v>
      </c>
      <c r="D8490" s="1" t="s">
        <v>163</v>
      </c>
      <c r="E8490" s="1" t="s">
        <v>338</v>
      </c>
      <c r="F8490" s="2" t="s">
        <v>2708</v>
      </c>
      <c r="G8490" s="1">
        <v>8749.9500000000007</v>
      </c>
      <c r="H8490" s="1">
        <v>5</v>
      </c>
      <c r="I8490" s="1">
        <v>2799.9839999999999</v>
      </c>
    </row>
    <row r="8491" spans="1:9" x14ac:dyDescent="0.35">
      <c r="A8491" s="3">
        <v>42402</v>
      </c>
      <c r="B8491" s="1" t="s">
        <v>1248</v>
      </c>
      <c r="C8491" s="1" t="s">
        <v>540</v>
      </c>
      <c r="D8491" s="1" t="s">
        <v>163</v>
      </c>
      <c r="E8491" s="1" t="s">
        <v>35</v>
      </c>
      <c r="F8491" s="2" t="s">
        <v>492</v>
      </c>
      <c r="G8491" s="1">
        <v>36.4</v>
      </c>
      <c r="H8491" s="1">
        <v>8</v>
      </c>
      <c r="I8491" s="1">
        <v>18.2</v>
      </c>
    </row>
    <row r="8492" spans="1:9" x14ac:dyDescent="0.35">
      <c r="A8492" s="3">
        <v>42402</v>
      </c>
      <c r="B8492" s="1" t="s">
        <v>1248</v>
      </c>
      <c r="C8492" s="1" t="s">
        <v>540</v>
      </c>
      <c r="D8492" s="1" t="s">
        <v>163</v>
      </c>
      <c r="E8492" s="1" t="s">
        <v>29</v>
      </c>
      <c r="F8492" s="2" t="s">
        <v>2609</v>
      </c>
      <c r="G8492" s="1">
        <v>18.690000000000001</v>
      </c>
      <c r="H8492" s="1">
        <v>7</v>
      </c>
      <c r="I8492" s="1">
        <v>7.1021999999999998</v>
      </c>
    </row>
    <row r="8493" spans="1:9" x14ac:dyDescent="0.35">
      <c r="A8493" s="3">
        <v>42923</v>
      </c>
      <c r="B8493" s="1" t="s">
        <v>951</v>
      </c>
      <c r="C8493" s="1" t="s">
        <v>17</v>
      </c>
      <c r="D8493" s="1" t="s">
        <v>18</v>
      </c>
      <c r="E8493" s="1" t="s">
        <v>137</v>
      </c>
      <c r="F8493" s="2" t="s">
        <v>1811</v>
      </c>
      <c r="G8493" s="1">
        <v>5.94</v>
      </c>
      <c r="H8493" s="1">
        <v>3</v>
      </c>
      <c r="I8493" s="1">
        <v>0.1188</v>
      </c>
    </row>
    <row r="8494" spans="1:9" x14ac:dyDescent="0.35">
      <c r="A8494" s="3" t="s">
        <v>3467</v>
      </c>
      <c r="B8494" s="1" t="s">
        <v>1873</v>
      </c>
      <c r="C8494" s="1" t="s">
        <v>2011</v>
      </c>
      <c r="D8494" s="1" t="s">
        <v>52</v>
      </c>
      <c r="E8494" s="1" t="s">
        <v>44</v>
      </c>
      <c r="F8494" s="2" t="s">
        <v>2643</v>
      </c>
      <c r="G8494" s="1">
        <v>60.735999999999997</v>
      </c>
      <c r="H8494" s="1">
        <v>8</v>
      </c>
      <c r="I8494" s="1">
        <v>20.4984</v>
      </c>
    </row>
    <row r="8495" spans="1:9" x14ac:dyDescent="0.35">
      <c r="A8495" s="3" t="s">
        <v>3467</v>
      </c>
      <c r="B8495" s="1" t="s">
        <v>1873</v>
      </c>
      <c r="C8495" s="1" t="s">
        <v>2011</v>
      </c>
      <c r="D8495" s="1" t="s">
        <v>52</v>
      </c>
      <c r="E8495" s="1" t="s">
        <v>579</v>
      </c>
      <c r="F8495" s="2" t="s">
        <v>2806</v>
      </c>
      <c r="G8495" s="1">
        <v>479.976</v>
      </c>
      <c r="H8495" s="1">
        <v>3</v>
      </c>
      <c r="I8495" s="1">
        <v>161.99189999999999</v>
      </c>
    </row>
    <row r="8496" spans="1:9" x14ac:dyDescent="0.35">
      <c r="A8496" s="3" t="s">
        <v>3467</v>
      </c>
      <c r="B8496" s="1" t="s">
        <v>1873</v>
      </c>
      <c r="C8496" s="1" t="s">
        <v>2011</v>
      </c>
      <c r="D8496" s="1" t="s">
        <v>52</v>
      </c>
      <c r="E8496" s="1" t="s">
        <v>35</v>
      </c>
      <c r="F8496" s="2" t="s">
        <v>1672</v>
      </c>
      <c r="G8496" s="1">
        <v>6.08</v>
      </c>
      <c r="H8496" s="1">
        <v>1</v>
      </c>
      <c r="I8496" s="1">
        <v>-10.336</v>
      </c>
    </row>
    <row r="8497" spans="1:9" x14ac:dyDescent="0.35">
      <c r="A8497" s="3">
        <v>42412</v>
      </c>
      <c r="B8497" s="1" t="s">
        <v>531</v>
      </c>
      <c r="C8497" s="1" t="s">
        <v>3057</v>
      </c>
      <c r="D8497" s="1" t="s">
        <v>229</v>
      </c>
      <c r="E8497" s="1" t="s">
        <v>81</v>
      </c>
      <c r="F8497" s="2" t="s">
        <v>2687</v>
      </c>
      <c r="G8497" s="1">
        <v>165.6</v>
      </c>
      <c r="H8497" s="1">
        <v>3</v>
      </c>
      <c r="I8497" s="1">
        <v>-6.21</v>
      </c>
    </row>
    <row r="8498" spans="1:9" x14ac:dyDescent="0.35">
      <c r="A8498" s="3">
        <v>41762</v>
      </c>
      <c r="B8498" s="1" t="s">
        <v>1750</v>
      </c>
      <c r="C8498" s="1" t="s">
        <v>1387</v>
      </c>
      <c r="D8498" s="1" t="s">
        <v>136</v>
      </c>
      <c r="E8498" s="1" t="s">
        <v>31</v>
      </c>
      <c r="F8498" s="2" t="s">
        <v>735</v>
      </c>
      <c r="G8498" s="1">
        <v>59.52</v>
      </c>
      <c r="H8498" s="1">
        <v>3</v>
      </c>
      <c r="I8498" s="1">
        <v>15.475199999999999</v>
      </c>
    </row>
    <row r="8499" spans="1:9" x14ac:dyDescent="0.35">
      <c r="A8499" s="3">
        <v>41762</v>
      </c>
      <c r="B8499" s="1" t="s">
        <v>1750</v>
      </c>
      <c r="C8499" s="1" t="s">
        <v>1387</v>
      </c>
      <c r="D8499" s="1" t="s">
        <v>136</v>
      </c>
      <c r="E8499" s="1" t="s">
        <v>81</v>
      </c>
      <c r="F8499" s="2" t="s">
        <v>515</v>
      </c>
      <c r="G8499" s="1">
        <v>479.97</v>
      </c>
      <c r="H8499" s="1">
        <v>3</v>
      </c>
      <c r="I8499" s="1">
        <v>177.5889</v>
      </c>
    </row>
    <row r="8500" spans="1:9" x14ac:dyDescent="0.35">
      <c r="A8500" s="3">
        <v>41762</v>
      </c>
      <c r="B8500" s="1" t="s">
        <v>1750</v>
      </c>
      <c r="C8500" s="1" t="s">
        <v>1387</v>
      </c>
      <c r="D8500" s="1" t="s">
        <v>136</v>
      </c>
      <c r="E8500" s="1" t="s">
        <v>289</v>
      </c>
      <c r="F8500" s="2" t="s">
        <v>1158</v>
      </c>
      <c r="G8500" s="1">
        <v>18.62</v>
      </c>
      <c r="H8500" s="1">
        <v>2</v>
      </c>
      <c r="I8500" s="1">
        <v>5.3997999999999999</v>
      </c>
    </row>
    <row r="8501" spans="1:9" x14ac:dyDescent="0.35">
      <c r="A8501" s="3">
        <v>41762</v>
      </c>
      <c r="B8501" s="1" t="s">
        <v>1750</v>
      </c>
      <c r="C8501" s="1" t="s">
        <v>1387</v>
      </c>
      <c r="D8501" s="1" t="s">
        <v>136</v>
      </c>
      <c r="E8501" s="1" t="s">
        <v>35</v>
      </c>
      <c r="F8501" s="2" t="s">
        <v>2216</v>
      </c>
      <c r="G8501" s="1">
        <v>49.631999999999998</v>
      </c>
      <c r="H8501" s="1">
        <v>6</v>
      </c>
      <c r="I8501" s="1">
        <v>16.750800000000002</v>
      </c>
    </row>
    <row r="8502" spans="1:9" x14ac:dyDescent="0.35">
      <c r="A8502" s="3">
        <v>41762</v>
      </c>
      <c r="B8502" s="1" t="s">
        <v>1750</v>
      </c>
      <c r="C8502" s="1" t="s">
        <v>1387</v>
      </c>
      <c r="D8502" s="1" t="s">
        <v>136</v>
      </c>
      <c r="E8502" s="1" t="s">
        <v>44</v>
      </c>
      <c r="F8502" s="2" t="s">
        <v>1966</v>
      </c>
      <c r="G8502" s="1">
        <v>97.82</v>
      </c>
      <c r="H8502" s="1">
        <v>2</v>
      </c>
      <c r="I8502" s="1">
        <v>45.9754</v>
      </c>
    </row>
    <row r="8503" spans="1:9" x14ac:dyDescent="0.35">
      <c r="A8503" s="3">
        <v>42007</v>
      </c>
      <c r="B8503" s="1" t="s">
        <v>2555</v>
      </c>
      <c r="C8503" s="1" t="s">
        <v>17</v>
      </c>
      <c r="D8503" s="1" t="s">
        <v>18</v>
      </c>
      <c r="E8503" s="1" t="s">
        <v>33</v>
      </c>
      <c r="F8503" s="2" t="s">
        <v>786</v>
      </c>
      <c r="G8503" s="1">
        <v>15.984</v>
      </c>
      <c r="H8503" s="1">
        <v>2</v>
      </c>
      <c r="I8503" s="1">
        <v>1.1988000000000001</v>
      </c>
    </row>
    <row r="8504" spans="1:9" x14ac:dyDescent="0.35">
      <c r="A8504" s="3">
        <v>42007</v>
      </c>
      <c r="B8504" s="1" t="s">
        <v>2555</v>
      </c>
      <c r="C8504" s="1" t="s">
        <v>17</v>
      </c>
      <c r="D8504" s="1" t="s">
        <v>18</v>
      </c>
      <c r="E8504" s="1" t="s">
        <v>14</v>
      </c>
      <c r="F8504" s="2" t="s">
        <v>724</v>
      </c>
      <c r="G8504" s="1">
        <v>184.75200000000001</v>
      </c>
      <c r="H8504" s="1">
        <v>3</v>
      </c>
      <c r="I8504" s="1">
        <v>-20.784600000000001</v>
      </c>
    </row>
    <row r="8505" spans="1:9" x14ac:dyDescent="0.35">
      <c r="A8505" s="3" t="s">
        <v>3562</v>
      </c>
      <c r="B8505" s="1" t="s">
        <v>981</v>
      </c>
      <c r="C8505" s="1" t="s">
        <v>17</v>
      </c>
      <c r="D8505" s="1" t="s">
        <v>18</v>
      </c>
      <c r="E8505" s="1" t="s">
        <v>44</v>
      </c>
      <c r="F8505" s="2" t="s">
        <v>2570</v>
      </c>
      <c r="G8505" s="1">
        <v>12.96</v>
      </c>
      <c r="H8505" s="1">
        <v>2</v>
      </c>
      <c r="I8505" s="1">
        <v>6.2207999999999997</v>
      </c>
    </row>
    <row r="8506" spans="1:9" x14ac:dyDescent="0.35">
      <c r="A8506" s="3">
        <v>42405</v>
      </c>
      <c r="B8506" s="1" t="s">
        <v>2816</v>
      </c>
      <c r="C8506" s="1" t="s">
        <v>757</v>
      </c>
      <c r="D8506" s="1" t="s">
        <v>52</v>
      </c>
      <c r="E8506" s="1" t="s">
        <v>14</v>
      </c>
      <c r="F8506" s="2" t="s">
        <v>2641</v>
      </c>
      <c r="G8506" s="1">
        <v>366.74400000000003</v>
      </c>
      <c r="H8506" s="1">
        <v>4</v>
      </c>
      <c r="I8506" s="1">
        <v>-110.0232</v>
      </c>
    </row>
    <row r="8507" spans="1:9" x14ac:dyDescent="0.35">
      <c r="A8507" s="3">
        <v>42585</v>
      </c>
      <c r="B8507" s="1" t="s">
        <v>1192</v>
      </c>
      <c r="C8507" s="1" t="s">
        <v>399</v>
      </c>
      <c r="D8507" s="1" t="s">
        <v>52</v>
      </c>
      <c r="E8507" s="1" t="s">
        <v>35</v>
      </c>
      <c r="F8507" s="2" t="s">
        <v>1962</v>
      </c>
      <c r="G8507" s="1">
        <v>8.8559999999999999</v>
      </c>
      <c r="H8507" s="1">
        <v>9</v>
      </c>
      <c r="I8507" s="1">
        <v>-14.169600000000001</v>
      </c>
    </row>
    <row r="8508" spans="1:9" x14ac:dyDescent="0.35">
      <c r="A8508" s="3">
        <v>42585</v>
      </c>
      <c r="B8508" s="1" t="s">
        <v>1192</v>
      </c>
      <c r="C8508" s="1" t="s">
        <v>399</v>
      </c>
      <c r="D8508" s="1" t="s">
        <v>52</v>
      </c>
      <c r="E8508" s="1" t="s">
        <v>81</v>
      </c>
      <c r="F8508" s="2" t="s">
        <v>149</v>
      </c>
      <c r="G8508" s="1">
        <v>27.96</v>
      </c>
      <c r="H8508" s="1">
        <v>5</v>
      </c>
      <c r="I8508" s="1">
        <v>8.3879999999999999</v>
      </c>
    </row>
    <row r="8509" spans="1:9" x14ac:dyDescent="0.35">
      <c r="A8509" s="3">
        <v>42585</v>
      </c>
      <c r="B8509" s="1" t="s">
        <v>1192</v>
      </c>
      <c r="C8509" s="1" t="s">
        <v>399</v>
      </c>
      <c r="D8509" s="1" t="s">
        <v>52</v>
      </c>
      <c r="E8509" s="1" t="s">
        <v>87</v>
      </c>
      <c r="F8509" s="2" t="s">
        <v>2821</v>
      </c>
      <c r="G8509" s="1">
        <v>146.352</v>
      </c>
      <c r="H8509" s="1">
        <v>3</v>
      </c>
      <c r="I8509" s="1">
        <v>49.393799999999999</v>
      </c>
    </row>
    <row r="8510" spans="1:9" x14ac:dyDescent="0.35">
      <c r="A8510" s="3">
        <v>42320</v>
      </c>
      <c r="B8510" s="1" t="s">
        <v>881</v>
      </c>
      <c r="C8510" s="1" t="s">
        <v>429</v>
      </c>
      <c r="D8510" s="1" t="s">
        <v>120</v>
      </c>
      <c r="E8510" s="1" t="s">
        <v>81</v>
      </c>
      <c r="F8510" s="2" t="s">
        <v>1349</v>
      </c>
      <c r="G8510" s="1">
        <v>175.23</v>
      </c>
      <c r="H8510" s="1">
        <v>11</v>
      </c>
      <c r="I8510" s="1">
        <v>61.330500000000001</v>
      </c>
    </row>
    <row r="8511" spans="1:9" x14ac:dyDescent="0.35">
      <c r="A8511" s="3">
        <v>42320</v>
      </c>
      <c r="B8511" s="1" t="s">
        <v>881</v>
      </c>
      <c r="C8511" s="1" t="s">
        <v>429</v>
      </c>
      <c r="D8511" s="1" t="s">
        <v>120</v>
      </c>
      <c r="E8511" s="1" t="s">
        <v>33</v>
      </c>
      <c r="F8511" s="2" t="s">
        <v>2350</v>
      </c>
      <c r="G8511" s="1">
        <v>125.99</v>
      </c>
      <c r="H8511" s="1">
        <v>1</v>
      </c>
      <c r="I8511" s="1">
        <v>31.497499999999999</v>
      </c>
    </row>
    <row r="8512" spans="1:9" x14ac:dyDescent="0.35">
      <c r="A8512" s="3">
        <v>42320</v>
      </c>
      <c r="B8512" s="1" t="s">
        <v>881</v>
      </c>
      <c r="C8512" s="1" t="s">
        <v>429</v>
      </c>
      <c r="D8512" s="1" t="s">
        <v>120</v>
      </c>
      <c r="E8512" s="1" t="s">
        <v>35</v>
      </c>
      <c r="F8512" s="2" t="s">
        <v>1716</v>
      </c>
      <c r="G8512" s="1">
        <v>23</v>
      </c>
      <c r="H8512" s="1">
        <v>2</v>
      </c>
      <c r="I8512" s="1">
        <v>10.35</v>
      </c>
    </row>
    <row r="8513" spans="1:9" x14ac:dyDescent="0.35">
      <c r="A8513" s="3" t="s">
        <v>3820</v>
      </c>
      <c r="B8513" s="1" t="s">
        <v>282</v>
      </c>
      <c r="C8513" s="1" t="s">
        <v>135</v>
      </c>
      <c r="D8513" s="1" t="s">
        <v>136</v>
      </c>
      <c r="E8513" s="1" t="s">
        <v>35</v>
      </c>
      <c r="F8513" s="2" t="s">
        <v>2317</v>
      </c>
      <c r="G8513" s="1">
        <v>25.584</v>
      </c>
      <c r="H8513" s="1">
        <v>2</v>
      </c>
      <c r="I8513" s="1">
        <v>8.9543999999999997</v>
      </c>
    </row>
    <row r="8514" spans="1:9" x14ac:dyDescent="0.35">
      <c r="A8514" s="3">
        <v>42402</v>
      </c>
      <c r="B8514" s="1" t="s">
        <v>1351</v>
      </c>
      <c r="C8514" s="1" t="s">
        <v>93</v>
      </c>
      <c r="D8514" s="1" t="s">
        <v>52</v>
      </c>
      <c r="E8514" s="1" t="s">
        <v>29</v>
      </c>
      <c r="F8514" s="2" t="s">
        <v>1272</v>
      </c>
      <c r="G8514" s="1">
        <v>73.784000000000006</v>
      </c>
      <c r="H8514" s="1">
        <v>2</v>
      </c>
      <c r="I8514" s="1">
        <v>-77.473200000000006</v>
      </c>
    </row>
    <row r="8515" spans="1:9" x14ac:dyDescent="0.35">
      <c r="A8515" s="3">
        <v>42861</v>
      </c>
      <c r="B8515" s="1" t="s">
        <v>1351</v>
      </c>
      <c r="C8515" s="1" t="s">
        <v>2398</v>
      </c>
      <c r="D8515" s="1" t="s">
        <v>23</v>
      </c>
      <c r="E8515" s="1" t="s">
        <v>44</v>
      </c>
      <c r="F8515" s="2" t="s">
        <v>2143</v>
      </c>
      <c r="G8515" s="1">
        <v>20.736000000000001</v>
      </c>
      <c r="H8515" s="1">
        <v>4</v>
      </c>
      <c r="I8515" s="1">
        <v>7.2576000000000001</v>
      </c>
    </row>
    <row r="8516" spans="1:9" x14ac:dyDescent="0.35">
      <c r="A8516" s="3" t="s">
        <v>3577</v>
      </c>
      <c r="B8516" s="1" t="s">
        <v>1563</v>
      </c>
      <c r="C8516" s="1" t="s">
        <v>1160</v>
      </c>
      <c r="D8516" s="1" t="s">
        <v>11</v>
      </c>
      <c r="E8516" s="1" t="s">
        <v>31</v>
      </c>
      <c r="F8516" s="2" t="s">
        <v>481</v>
      </c>
      <c r="G8516" s="1">
        <v>17.52</v>
      </c>
      <c r="H8516" s="1">
        <v>3</v>
      </c>
      <c r="I8516" s="1">
        <v>8.2344000000000008</v>
      </c>
    </row>
    <row r="8517" spans="1:9" x14ac:dyDescent="0.35">
      <c r="A8517" s="3" t="s">
        <v>3577</v>
      </c>
      <c r="B8517" s="1" t="s">
        <v>1563</v>
      </c>
      <c r="C8517" s="1" t="s">
        <v>1160</v>
      </c>
      <c r="D8517" s="1" t="s">
        <v>11</v>
      </c>
      <c r="E8517" s="1" t="s">
        <v>31</v>
      </c>
      <c r="F8517" s="2" t="s">
        <v>186</v>
      </c>
      <c r="G8517" s="1">
        <v>35.76</v>
      </c>
      <c r="H8517" s="1">
        <v>12</v>
      </c>
      <c r="I8517" s="1">
        <v>10.0128</v>
      </c>
    </row>
    <row r="8518" spans="1:9" x14ac:dyDescent="0.35">
      <c r="A8518" s="3">
        <v>42555</v>
      </c>
      <c r="B8518" s="1" t="s">
        <v>894</v>
      </c>
      <c r="C8518" s="1" t="s">
        <v>135</v>
      </c>
      <c r="D8518" s="1" t="s">
        <v>136</v>
      </c>
      <c r="E8518" s="1" t="s">
        <v>31</v>
      </c>
      <c r="F8518" s="2" t="s">
        <v>32</v>
      </c>
      <c r="G8518" s="1">
        <v>3.64</v>
      </c>
      <c r="H8518" s="1">
        <v>2</v>
      </c>
      <c r="I8518" s="1">
        <v>0.98280000000000001</v>
      </c>
    </row>
    <row r="8519" spans="1:9" x14ac:dyDescent="0.35">
      <c r="A8519" s="3">
        <v>42831</v>
      </c>
      <c r="B8519" s="1" t="s">
        <v>776</v>
      </c>
      <c r="C8519" s="1" t="s">
        <v>2355</v>
      </c>
      <c r="D8519" s="1" t="s">
        <v>52</v>
      </c>
      <c r="E8519" s="1" t="s">
        <v>29</v>
      </c>
      <c r="F8519" s="2" t="s">
        <v>2175</v>
      </c>
      <c r="G8519" s="1">
        <v>30.335999999999999</v>
      </c>
      <c r="H8519" s="1">
        <v>6</v>
      </c>
      <c r="I8519" s="1">
        <v>-17.443200000000001</v>
      </c>
    </row>
    <row r="8520" spans="1:9" x14ac:dyDescent="0.35">
      <c r="A8520" s="3">
        <v>42837</v>
      </c>
      <c r="B8520" s="1" t="s">
        <v>2947</v>
      </c>
      <c r="C8520" s="1" t="s">
        <v>1992</v>
      </c>
      <c r="D8520" s="1" t="s">
        <v>388</v>
      </c>
      <c r="E8520" s="1" t="s">
        <v>29</v>
      </c>
      <c r="F8520" s="2" t="s">
        <v>3062</v>
      </c>
      <c r="G8520" s="1">
        <v>12.99</v>
      </c>
      <c r="H8520" s="1">
        <v>1</v>
      </c>
      <c r="I8520" s="1">
        <v>1.5588</v>
      </c>
    </row>
    <row r="8521" spans="1:9" x14ac:dyDescent="0.35">
      <c r="A8521" s="3">
        <v>42837</v>
      </c>
      <c r="B8521" s="1" t="s">
        <v>2947</v>
      </c>
      <c r="C8521" s="1" t="s">
        <v>1992</v>
      </c>
      <c r="D8521" s="1" t="s">
        <v>388</v>
      </c>
      <c r="E8521" s="1" t="s">
        <v>14</v>
      </c>
      <c r="F8521" s="2" t="s">
        <v>348</v>
      </c>
      <c r="G8521" s="1">
        <v>182.22</v>
      </c>
      <c r="H8521" s="1">
        <v>3</v>
      </c>
      <c r="I8521" s="1">
        <v>45.555</v>
      </c>
    </row>
    <row r="8522" spans="1:9" x14ac:dyDescent="0.35">
      <c r="A8522" s="3">
        <v>42837</v>
      </c>
      <c r="B8522" s="1" t="s">
        <v>2947</v>
      </c>
      <c r="C8522" s="1" t="s">
        <v>1992</v>
      </c>
      <c r="D8522" s="1" t="s">
        <v>388</v>
      </c>
      <c r="E8522" s="1" t="s">
        <v>14</v>
      </c>
      <c r="F8522" s="2" t="s">
        <v>434</v>
      </c>
      <c r="G8522" s="1">
        <v>302.94</v>
      </c>
      <c r="H8522" s="1">
        <v>3</v>
      </c>
      <c r="I8522" s="1">
        <v>18.176400000000001</v>
      </c>
    </row>
    <row r="8523" spans="1:9" x14ac:dyDescent="0.35">
      <c r="A8523" s="3">
        <v>42675</v>
      </c>
      <c r="B8523" s="1" t="s">
        <v>375</v>
      </c>
      <c r="C8523" s="1" t="s">
        <v>249</v>
      </c>
      <c r="D8523" s="1" t="s">
        <v>250</v>
      </c>
      <c r="E8523" s="1" t="s">
        <v>29</v>
      </c>
      <c r="F8523" s="2" t="s">
        <v>1477</v>
      </c>
      <c r="G8523" s="1">
        <v>54.991999999999997</v>
      </c>
      <c r="H8523" s="1">
        <v>14</v>
      </c>
      <c r="I8523" s="1">
        <v>8.9361999999999995</v>
      </c>
    </row>
    <row r="8524" spans="1:9" x14ac:dyDescent="0.35">
      <c r="A8524" s="3">
        <v>42373</v>
      </c>
      <c r="B8524" s="1" t="s">
        <v>1774</v>
      </c>
      <c r="C8524" s="1" t="s">
        <v>1147</v>
      </c>
      <c r="D8524" s="1" t="s">
        <v>57</v>
      </c>
      <c r="E8524" s="1" t="s">
        <v>33</v>
      </c>
      <c r="F8524" s="2" t="s">
        <v>1337</v>
      </c>
      <c r="G8524" s="1">
        <v>12.99</v>
      </c>
      <c r="H8524" s="1">
        <v>1</v>
      </c>
      <c r="I8524" s="1">
        <v>0.25979999999999998</v>
      </c>
    </row>
    <row r="8525" spans="1:9" x14ac:dyDescent="0.35">
      <c r="A8525" s="3" t="s">
        <v>3525</v>
      </c>
      <c r="B8525" s="1" t="s">
        <v>577</v>
      </c>
      <c r="C8525" s="1" t="s">
        <v>64</v>
      </c>
      <c r="D8525" s="1" t="s">
        <v>18</v>
      </c>
      <c r="E8525" s="1" t="s">
        <v>44</v>
      </c>
      <c r="F8525" s="2" t="s">
        <v>456</v>
      </c>
      <c r="G8525" s="1">
        <v>55.86</v>
      </c>
      <c r="H8525" s="1">
        <v>7</v>
      </c>
      <c r="I8525" s="1">
        <v>27.93</v>
      </c>
    </row>
    <row r="8526" spans="1:9" x14ac:dyDescent="0.35">
      <c r="A8526" s="3" t="s">
        <v>3774</v>
      </c>
      <c r="B8526" s="1" t="s">
        <v>2679</v>
      </c>
      <c r="C8526" s="1" t="s">
        <v>249</v>
      </c>
      <c r="D8526" s="1" t="s">
        <v>250</v>
      </c>
      <c r="E8526" s="1" t="s">
        <v>33</v>
      </c>
      <c r="F8526" s="2" t="s">
        <v>1667</v>
      </c>
      <c r="G8526" s="1">
        <v>44.375999999999998</v>
      </c>
      <c r="H8526" s="1">
        <v>2</v>
      </c>
      <c r="I8526" s="1">
        <v>-7.3959999999999999</v>
      </c>
    </row>
    <row r="8527" spans="1:9" x14ac:dyDescent="0.35">
      <c r="A8527" s="3" t="s">
        <v>3774</v>
      </c>
      <c r="B8527" s="1" t="s">
        <v>2679</v>
      </c>
      <c r="C8527" s="1" t="s">
        <v>249</v>
      </c>
      <c r="D8527" s="1" t="s">
        <v>250</v>
      </c>
      <c r="E8527" s="1" t="s">
        <v>29</v>
      </c>
      <c r="F8527" s="2" t="s">
        <v>2797</v>
      </c>
      <c r="G8527" s="1">
        <v>51.264000000000003</v>
      </c>
      <c r="H8527" s="1">
        <v>6</v>
      </c>
      <c r="I8527" s="1">
        <v>7.6896000000000004</v>
      </c>
    </row>
    <row r="8528" spans="1:9" x14ac:dyDescent="0.35">
      <c r="A8528" s="3" t="s">
        <v>3774</v>
      </c>
      <c r="B8528" s="1" t="s">
        <v>2679</v>
      </c>
      <c r="C8528" s="1" t="s">
        <v>249</v>
      </c>
      <c r="D8528" s="1" t="s">
        <v>250</v>
      </c>
      <c r="E8528" s="1" t="s">
        <v>35</v>
      </c>
      <c r="F8528" s="2" t="s">
        <v>166</v>
      </c>
      <c r="G8528" s="1">
        <v>5.1929999999999996</v>
      </c>
      <c r="H8528" s="1">
        <v>3</v>
      </c>
      <c r="I8528" s="1">
        <v>-3.4620000000000002</v>
      </c>
    </row>
    <row r="8529" spans="1:9" x14ac:dyDescent="0.35">
      <c r="A8529" s="3" t="s">
        <v>3774</v>
      </c>
      <c r="B8529" s="1" t="s">
        <v>2679</v>
      </c>
      <c r="C8529" s="1" t="s">
        <v>249</v>
      </c>
      <c r="D8529" s="1" t="s">
        <v>250</v>
      </c>
      <c r="E8529" s="1" t="s">
        <v>81</v>
      </c>
      <c r="F8529" s="2" t="s">
        <v>748</v>
      </c>
      <c r="G8529" s="1">
        <v>159.98400000000001</v>
      </c>
      <c r="H8529" s="1">
        <v>2</v>
      </c>
      <c r="I8529" s="1">
        <v>43.995600000000003</v>
      </c>
    </row>
    <row r="8530" spans="1:9" x14ac:dyDescent="0.35">
      <c r="A8530" s="3" t="s">
        <v>3774</v>
      </c>
      <c r="B8530" s="1" t="s">
        <v>2679</v>
      </c>
      <c r="C8530" s="1" t="s">
        <v>249</v>
      </c>
      <c r="D8530" s="1" t="s">
        <v>250</v>
      </c>
      <c r="E8530" s="1" t="s">
        <v>26</v>
      </c>
      <c r="F8530" s="2" t="s">
        <v>569</v>
      </c>
      <c r="G8530" s="1">
        <v>54.223999999999997</v>
      </c>
      <c r="H8530" s="1">
        <v>2</v>
      </c>
      <c r="I8530" s="1">
        <v>3.3889999999999998</v>
      </c>
    </row>
    <row r="8531" spans="1:9" x14ac:dyDescent="0.35">
      <c r="A8531" s="3">
        <v>43019</v>
      </c>
      <c r="B8531" s="1" t="s">
        <v>1671</v>
      </c>
      <c r="C8531" s="1" t="s">
        <v>17</v>
      </c>
      <c r="D8531" s="1" t="s">
        <v>18</v>
      </c>
      <c r="E8531" s="1" t="s">
        <v>14</v>
      </c>
      <c r="F8531" s="2" t="s">
        <v>2186</v>
      </c>
      <c r="G8531" s="1">
        <v>241.42400000000001</v>
      </c>
      <c r="H8531" s="1">
        <v>2</v>
      </c>
      <c r="I8531" s="1">
        <v>-36.2136</v>
      </c>
    </row>
    <row r="8532" spans="1:9" x14ac:dyDescent="0.35">
      <c r="A8532" s="3" t="s">
        <v>3403</v>
      </c>
      <c r="B8532" s="1" t="s">
        <v>394</v>
      </c>
      <c r="C8532" s="1" t="s">
        <v>429</v>
      </c>
      <c r="D8532" s="1" t="s">
        <v>120</v>
      </c>
      <c r="E8532" s="1" t="s">
        <v>44</v>
      </c>
      <c r="F8532" s="2" t="s">
        <v>2170</v>
      </c>
      <c r="G8532" s="1">
        <v>33.36</v>
      </c>
      <c r="H8532" s="1">
        <v>4</v>
      </c>
      <c r="I8532" s="1">
        <v>16.68</v>
      </c>
    </row>
    <row r="8533" spans="1:9" x14ac:dyDescent="0.35">
      <c r="A8533" s="3" t="s">
        <v>3403</v>
      </c>
      <c r="B8533" s="1" t="s">
        <v>394</v>
      </c>
      <c r="C8533" s="1" t="s">
        <v>429</v>
      </c>
      <c r="D8533" s="1" t="s">
        <v>120</v>
      </c>
      <c r="E8533" s="1" t="s">
        <v>44</v>
      </c>
      <c r="F8533" s="2" t="s">
        <v>602</v>
      </c>
      <c r="G8533" s="1">
        <v>13.76</v>
      </c>
      <c r="H8533" s="1">
        <v>2</v>
      </c>
      <c r="I8533" s="1">
        <v>6.3296000000000001</v>
      </c>
    </row>
    <row r="8534" spans="1:9" x14ac:dyDescent="0.35">
      <c r="A8534" s="3" t="s">
        <v>3403</v>
      </c>
      <c r="B8534" s="1" t="s">
        <v>394</v>
      </c>
      <c r="C8534" s="1" t="s">
        <v>429</v>
      </c>
      <c r="D8534" s="1" t="s">
        <v>120</v>
      </c>
      <c r="E8534" s="1" t="s">
        <v>26</v>
      </c>
      <c r="F8534" s="2" t="s">
        <v>1757</v>
      </c>
      <c r="G8534" s="1">
        <v>496.86</v>
      </c>
      <c r="H8534" s="1">
        <v>7</v>
      </c>
      <c r="I8534" s="1">
        <v>24.843</v>
      </c>
    </row>
    <row r="8535" spans="1:9" x14ac:dyDescent="0.35">
      <c r="A8535" s="3" t="s">
        <v>3403</v>
      </c>
      <c r="B8535" s="1" t="s">
        <v>394</v>
      </c>
      <c r="C8535" s="1" t="s">
        <v>429</v>
      </c>
      <c r="D8535" s="1" t="s">
        <v>120</v>
      </c>
      <c r="E8535" s="1" t="s">
        <v>14</v>
      </c>
      <c r="F8535" s="2" t="s">
        <v>172</v>
      </c>
      <c r="G8535" s="1">
        <v>389.97</v>
      </c>
      <c r="H8535" s="1">
        <v>3</v>
      </c>
      <c r="I8535" s="1">
        <v>35.097299999999997</v>
      </c>
    </row>
    <row r="8536" spans="1:9" x14ac:dyDescent="0.35">
      <c r="A8536" s="3" t="s">
        <v>3597</v>
      </c>
      <c r="B8536" s="1" t="s">
        <v>2847</v>
      </c>
      <c r="C8536" s="1" t="s">
        <v>249</v>
      </c>
      <c r="D8536" s="1" t="s">
        <v>604</v>
      </c>
      <c r="E8536" s="1" t="s">
        <v>19</v>
      </c>
      <c r="F8536" s="2" t="s">
        <v>1071</v>
      </c>
      <c r="G8536" s="1">
        <v>9.82</v>
      </c>
      <c r="H8536" s="1">
        <v>2</v>
      </c>
      <c r="I8536" s="1">
        <v>4.8117999999999999</v>
      </c>
    </row>
    <row r="8537" spans="1:9" x14ac:dyDescent="0.35">
      <c r="A8537" s="3" t="s">
        <v>3795</v>
      </c>
      <c r="B8537" s="1" t="s">
        <v>2514</v>
      </c>
      <c r="C8537" s="1" t="s">
        <v>64</v>
      </c>
      <c r="D8537" s="1" t="s">
        <v>18</v>
      </c>
      <c r="E8537" s="1" t="s">
        <v>81</v>
      </c>
      <c r="F8537" s="2" t="s">
        <v>1989</v>
      </c>
      <c r="G8537" s="1">
        <v>56.4</v>
      </c>
      <c r="H8537" s="1">
        <v>3</v>
      </c>
      <c r="I8537" s="1">
        <v>3.3839999999999999</v>
      </c>
    </row>
    <row r="8538" spans="1:9" x14ac:dyDescent="0.35">
      <c r="A8538" s="3">
        <v>42191</v>
      </c>
      <c r="B8538" s="1" t="s">
        <v>3094</v>
      </c>
      <c r="C8538" s="1" t="s">
        <v>74</v>
      </c>
      <c r="D8538" s="1" t="s">
        <v>75</v>
      </c>
      <c r="E8538" s="1" t="s">
        <v>35</v>
      </c>
      <c r="F8538" s="2" t="s">
        <v>1344</v>
      </c>
      <c r="G8538" s="1">
        <v>18.312000000000001</v>
      </c>
      <c r="H8538" s="1">
        <v>4</v>
      </c>
      <c r="I8538" s="1">
        <v>-12.208</v>
      </c>
    </row>
    <row r="8539" spans="1:9" x14ac:dyDescent="0.35">
      <c r="A8539" s="3">
        <v>42191</v>
      </c>
      <c r="B8539" s="1" t="s">
        <v>3094</v>
      </c>
      <c r="C8539" s="1" t="s">
        <v>74</v>
      </c>
      <c r="D8539" s="1" t="s">
        <v>75</v>
      </c>
      <c r="E8539" s="1" t="s">
        <v>44</v>
      </c>
      <c r="F8539" s="2" t="s">
        <v>2588</v>
      </c>
      <c r="G8539" s="1">
        <v>25.92</v>
      </c>
      <c r="H8539" s="1">
        <v>5</v>
      </c>
      <c r="I8539" s="1">
        <v>9.0719999999999992</v>
      </c>
    </row>
    <row r="8540" spans="1:9" x14ac:dyDescent="0.35">
      <c r="A8540" s="3">
        <v>42191</v>
      </c>
      <c r="B8540" s="1" t="s">
        <v>3094</v>
      </c>
      <c r="C8540" s="1" t="s">
        <v>74</v>
      </c>
      <c r="D8540" s="1" t="s">
        <v>75</v>
      </c>
      <c r="E8540" s="1" t="s">
        <v>31</v>
      </c>
      <c r="F8540" s="2" t="s">
        <v>2338</v>
      </c>
      <c r="G8540" s="1">
        <v>8.016</v>
      </c>
      <c r="H8540" s="1">
        <v>3</v>
      </c>
      <c r="I8540" s="1">
        <v>1.002</v>
      </c>
    </row>
    <row r="8541" spans="1:9" x14ac:dyDescent="0.35">
      <c r="A8541" s="3">
        <v>42981</v>
      </c>
      <c r="B8541" s="1" t="s">
        <v>205</v>
      </c>
      <c r="C8541" s="1" t="s">
        <v>17</v>
      </c>
      <c r="D8541" s="1" t="s">
        <v>18</v>
      </c>
      <c r="E8541" s="1" t="s">
        <v>579</v>
      </c>
      <c r="F8541" s="2" t="s">
        <v>2197</v>
      </c>
      <c r="G8541" s="1">
        <v>479.98399999999998</v>
      </c>
      <c r="H8541" s="1">
        <v>2</v>
      </c>
      <c r="I8541" s="1">
        <v>59.997999999999998</v>
      </c>
    </row>
    <row r="8542" spans="1:9" x14ac:dyDescent="0.35">
      <c r="A8542" s="3">
        <v>42981</v>
      </c>
      <c r="B8542" s="1" t="s">
        <v>205</v>
      </c>
      <c r="C8542" s="1" t="s">
        <v>17</v>
      </c>
      <c r="D8542" s="1" t="s">
        <v>18</v>
      </c>
      <c r="E8542" s="1" t="s">
        <v>35</v>
      </c>
      <c r="F8542" s="2" t="s">
        <v>36</v>
      </c>
      <c r="G8542" s="1">
        <v>30.84</v>
      </c>
      <c r="H8542" s="1">
        <v>5</v>
      </c>
      <c r="I8542" s="1">
        <v>9.6374999999999993</v>
      </c>
    </row>
    <row r="8543" spans="1:9" x14ac:dyDescent="0.35">
      <c r="A8543" s="3" t="s">
        <v>3487</v>
      </c>
      <c r="B8543" s="1" t="s">
        <v>1469</v>
      </c>
      <c r="C8543" s="1" t="s">
        <v>74</v>
      </c>
      <c r="D8543" s="1" t="s">
        <v>75</v>
      </c>
      <c r="E8543" s="1" t="s">
        <v>26</v>
      </c>
      <c r="F8543" s="2" t="s">
        <v>2021</v>
      </c>
      <c r="G8543" s="1">
        <v>33.567999999999998</v>
      </c>
      <c r="H8543" s="1">
        <v>2</v>
      </c>
      <c r="I8543" s="1">
        <v>1.6783999999999999</v>
      </c>
    </row>
    <row r="8544" spans="1:9" x14ac:dyDescent="0.35">
      <c r="A8544" s="3" t="s">
        <v>3487</v>
      </c>
      <c r="B8544" s="1" t="s">
        <v>1469</v>
      </c>
      <c r="C8544" s="1" t="s">
        <v>74</v>
      </c>
      <c r="D8544" s="1" t="s">
        <v>75</v>
      </c>
      <c r="E8544" s="1" t="s">
        <v>14</v>
      </c>
      <c r="F8544" s="2" t="s">
        <v>1464</v>
      </c>
      <c r="G8544" s="1">
        <v>422.625</v>
      </c>
      <c r="H8544" s="1">
        <v>7</v>
      </c>
      <c r="I8544" s="1">
        <v>0</v>
      </c>
    </row>
    <row r="8545" spans="1:9" x14ac:dyDescent="0.35">
      <c r="A8545" s="3">
        <v>41798</v>
      </c>
      <c r="B8545" s="1" t="s">
        <v>2073</v>
      </c>
      <c r="C8545" s="1" t="s">
        <v>135</v>
      </c>
      <c r="D8545" s="1" t="s">
        <v>136</v>
      </c>
      <c r="E8545" s="1" t="s">
        <v>81</v>
      </c>
      <c r="F8545" s="2" t="s">
        <v>748</v>
      </c>
      <c r="G8545" s="1">
        <v>199.98</v>
      </c>
      <c r="H8545" s="1">
        <v>2</v>
      </c>
      <c r="I8545" s="1">
        <v>83.991600000000005</v>
      </c>
    </row>
    <row r="8546" spans="1:9" x14ac:dyDescent="0.35">
      <c r="A8546" s="3" t="s">
        <v>3821</v>
      </c>
      <c r="B8546" s="1" t="s">
        <v>428</v>
      </c>
      <c r="C8546" s="1" t="s">
        <v>249</v>
      </c>
      <c r="D8546" s="1" t="s">
        <v>604</v>
      </c>
      <c r="E8546" s="1" t="s">
        <v>29</v>
      </c>
      <c r="F8546" s="2" t="s">
        <v>2754</v>
      </c>
      <c r="G8546" s="1">
        <v>20.239999999999998</v>
      </c>
      <c r="H8546" s="1">
        <v>1</v>
      </c>
      <c r="I8546" s="1">
        <v>8.7032000000000007</v>
      </c>
    </row>
    <row r="8547" spans="1:9" x14ac:dyDescent="0.35">
      <c r="A8547" s="3" t="s">
        <v>3821</v>
      </c>
      <c r="B8547" s="1" t="s">
        <v>428</v>
      </c>
      <c r="C8547" s="1" t="s">
        <v>249</v>
      </c>
      <c r="D8547" s="1" t="s">
        <v>604</v>
      </c>
      <c r="E8547" s="1" t="s">
        <v>29</v>
      </c>
      <c r="F8547" s="2" t="s">
        <v>2680</v>
      </c>
      <c r="G8547" s="1">
        <v>39.92</v>
      </c>
      <c r="H8547" s="1">
        <v>4</v>
      </c>
      <c r="I8547" s="1">
        <v>11.1776</v>
      </c>
    </row>
    <row r="8548" spans="1:9" x14ac:dyDescent="0.35">
      <c r="A8548" s="3" t="s">
        <v>3821</v>
      </c>
      <c r="B8548" s="1" t="s">
        <v>428</v>
      </c>
      <c r="C8548" s="1" t="s">
        <v>249</v>
      </c>
      <c r="D8548" s="1" t="s">
        <v>604</v>
      </c>
      <c r="E8548" s="1" t="s">
        <v>35</v>
      </c>
      <c r="F8548" s="2" t="s">
        <v>2540</v>
      </c>
      <c r="G8548" s="1">
        <v>32.54</v>
      </c>
      <c r="H8548" s="1">
        <v>2</v>
      </c>
      <c r="I8548" s="1">
        <v>15.944599999999999</v>
      </c>
    </row>
    <row r="8549" spans="1:9" x14ac:dyDescent="0.35">
      <c r="A8549" s="3">
        <v>42136</v>
      </c>
      <c r="B8549" s="1" t="s">
        <v>1226</v>
      </c>
      <c r="C8549" s="1" t="s">
        <v>17</v>
      </c>
      <c r="D8549" s="1" t="s">
        <v>18</v>
      </c>
      <c r="E8549" s="1" t="s">
        <v>81</v>
      </c>
      <c r="F8549" s="2" t="s">
        <v>412</v>
      </c>
      <c r="G8549" s="1">
        <v>39</v>
      </c>
      <c r="H8549" s="1">
        <v>3</v>
      </c>
      <c r="I8549" s="1">
        <v>17.55</v>
      </c>
    </row>
    <row r="8550" spans="1:9" x14ac:dyDescent="0.35">
      <c r="A8550" s="3">
        <v>42136</v>
      </c>
      <c r="B8550" s="1" t="s">
        <v>1226</v>
      </c>
      <c r="C8550" s="1" t="s">
        <v>17</v>
      </c>
      <c r="D8550" s="1" t="s">
        <v>18</v>
      </c>
      <c r="E8550" s="1" t="s">
        <v>19</v>
      </c>
      <c r="F8550" s="2" t="s">
        <v>1392</v>
      </c>
      <c r="G8550" s="1">
        <v>12.6</v>
      </c>
      <c r="H8550" s="1">
        <v>4</v>
      </c>
      <c r="I8550" s="1">
        <v>6.048</v>
      </c>
    </row>
    <row r="8551" spans="1:9" x14ac:dyDescent="0.35">
      <c r="A8551" s="3">
        <v>42317</v>
      </c>
      <c r="B8551" s="1" t="s">
        <v>1226</v>
      </c>
      <c r="C8551" s="1" t="s">
        <v>228</v>
      </c>
      <c r="D8551" s="1" t="s">
        <v>229</v>
      </c>
      <c r="E8551" s="1" t="s">
        <v>29</v>
      </c>
      <c r="F8551" s="2" t="s">
        <v>802</v>
      </c>
      <c r="G8551" s="1">
        <v>24.64</v>
      </c>
      <c r="H8551" s="1">
        <v>4</v>
      </c>
      <c r="I8551" s="1">
        <v>4.0039999999999996</v>
      </c>
    </row>
    <row r="8552" spans="1:9" x14ac:dyDescent="0.35">
      <c r="A8552" s="3" t="s">
        <v>3254</v>
      </c>
      <c r="B8552" s="1" t="s">
        <v>603</v>
      </c>
      <c r="C8552" s="1" t="s">
        <v>93</v>
      </c>
      <c r="D8552" s="1" t="s">
        <v>52</v>
      </c>
      <c r="E8552" s="1" t="s">
        <v>19</v>
      </c>
      <c r="F8552" s="2" t="s">
        <v>3016</v>
      </c>
      <c r="G8552" s="1">
        <v>6.2640000000000002</v>
      </c>
      <c r="H8552" s="1">
        <v>3</v>
      </c>
      <c r="I8552" s="1">
        <v>2.0358000000000001</v>
      </c>
    </row>
    <row r="8553" spans="1:9" x14ac:dyDescent="0.35">
      <c r="A8553" s="3" t="s">
        <v>3254</v>
      </c>
      <c r="B8553" s="1" t="s">
        <v>603</v>
      </c>
      <c r="C8553" s="1" t="s">
        <v>93</v>
      </c>
      <c r="D8553" s="1" t="s">
        <v>52</v>
      </c>
      <c r="E8553" s="1" t="s">
        <v>137</v>
      </c>
      <c r="F8553" s="2" t="s">
        <v>870</v>
      </c>
      <c r="G8553" s="1">
        <v>14.432</v>
      </c>
      <c r="H8553" s="1">
        <v>4</v>
      </c>
      <c r="I8553" s="1">
        <v>3.4276</v>
      </c>
    </row>
    <row r="8554" spans="1:9" x14ac:dyDescent="0.35">
      <c r="A8554" s="3" t="s">
        <v>3578</v>
      </c>
      <c r="B8554" s="1" t="s">
        <v>1668</v>
      </c>
      <c r="C8554" s="1" t="s">
        <v>154</v>
      </c>
      <c r="D8554" s="1" t="s">
        <v>106</v>
      </c>
      <c r="E8554" s="1" t="s">
        <v>579</v>
      </c>
      <c r="F8554" s="2" t="s">
        <v>1437</v>
      </c>
      <c r="G8554" s="1">
        <v>719.976</v>
      </c>
      <c r="H8554" s="1">
        <v>3</v>
      </c>
      <c r="I8554" s="1">
        <v>134.99549999999999</v>
      </c>
    </row>
    <row r="8555" spans="1:9" x14ac:dyDescent="0.35">
      <c r="A8555" s="3" t="s">
        <v>3165</v>
      </c>
      <c r="B8555" s="1" t="s">
        <v>382</v>
      </c>
      <c r="C8555" s="1" t="s">
        <v>181</v>
      </c>
      <c r="D8555" s="1" t="s">
        <v>182</v>
      </c>
      <c r="E8555" s="1" t="s">
        <v>81</v>
      </c>
      <c r="F8555" s="2" t="s">
        <v>1218</v>
      </c>
      <c r="G8555" s="1">
        <v>239.92</v>
      </c>
      <c r="H8555" s="1">
        <v>8</v>
      </c>
      <c r="I8555" s="1">
        <v>23.992000000000001</v>
      </c>
    </row>
    <row r="8556" spans="1:9" x14ac:dyDescent="0.35">
      <c r="A8556" s="3">
        <v>42625</v>
      </c>
      <c r="B8556" s="1" t="s">
        <v>1453</v>
      </c>
      <c r="C8556" s="1" t="s">
        <v>162</v>
      </c>
      <c r="D8556" s="1" t="s">
        <v>163</v>
      </c>
      <c r="E8556" s="1" t="s">
        <v>24</v>
      </c>
      <c r="F8556" s="2" t="s">
        <v>1673</v>
      </c>
      <c r="G8556" s="1">
        <v>1056.8599999999999</v>
      </c>
      <c r="H8556" s="1">
        <v>7</v>
      </c>
      <c r="I8556" s="1">
        <v>158.529</v>
      </c>
    </row>
    <row r="8557" spans="1:9" x14ac:dyDescent="0.35">
      <c r="A8557" s="3" t="s">
        <v>3679</v>
      </c>
      <c r="B8557" s="1" t="s">
        <v>1087</v>
      </c>
      <c r="C8557" s="1" t="s">
        <v>2608</v>
      </c>
      <c r="D8557" s="1" t="s">
        <v>23</v>
      </c>
      <c r="E8557" s="1" t="s">
        <v>81</v>
      </c>
      <c r="F8557" s="2" t="s">
        <v>777</v>
      </c>
      <c r="G8557" s="1">
        <v>447.94400000000002</v>
      </c>
      <c r="H8557" s="1">
        <v>7</v>
      </c>
      <c r="I8557" s="1">
        <v>89.588800000000006</v>
      </c>
    </row>
    <row r="8558" spans="1:9" x14ac:dyDescent="0.35">
      <c r="A8558" s="3" t="s">
        <v>3679</v>
      </c>
      <c r="B8558" s="1" t="s">
        <v>1087</v>
      </c>
      <c r="C8558" s="1" t="s">
        <v>2608</v>
      </c>
      <c r="D8558" s="1" t="s">
        <v>23</v>
      </c>
      <c r="E8558" s="1" t="s">
        <v>26</v>
      </c>
      <c r="F8558" s="2" t="s">
        <v>2922</v>
      </c>
      <c r="G8558" s="1">
        <v>150.40799999999999</v>
      </c>
      <c r="H8558" s="1">
        <v>9</v>
      </c>
      <c r="I8558" s="1">
        <v>-33.841799999999999</v>
      </c>
    </row>
    <row r="8559" spans="1:9" x14ac:dyDescent="0.35">
      <c r="A8559" s="3" t="s">
        <v>3356</v>
      </c>
      <c r="B8559" s="1" t="s">
        <v>637</v>
      </c>
      <c r="C8559" s="1" t="s">
        <v>93</v>
      </c>
      <c r="D8559" s="1" t="s">
        <v>52</v>
      </c>
      <c r="E8559" s="1" t="s">
        <v>33</v>
      </c>
      <c r="F8559" s="2" t="s">
        <v>1466</v>
      </c>
      <c r="G8559" s="1">
        <v>453.57600000000002</v>
      </c>
      <c r="H8559" s="1">
        <v>3</v>
      </c>
      <c r="I8559" s="1">
        <v>39.687899999999999</v>
      </c>
    </row>
    <row r="8560" spans="1:9" x14ac:dyDescent="0.35">
      <c r="A8560" s="3" t="s">
        <v>3356</v>
      </c>
      <c r="B8560" s="1" t="s">
        <v>637</v>
      </c>
      <c r="C8560" s="1" t="s">
        <v>93</v>
      </c>
      <c r="D8560" s="1" t="s">
        <v>52</v>
      </c>
      <c r="E8560" s="1" t="s">
        <v>19</v>
      </c>
      <c r="F8560" s="2" t="s">
        <v>2698</v>
      </c>
      <c r="G8560" s="1">
        <v>45.36</v>
      </c>
      <c r="H8560" s="1">
        <v>9</v>
      </c>
      <c r="I8560" s="1">
        <v>14.742000000000001</v>
      </c>
    </row>
    <row r="8561" spans="1:9" x14ac:dyDescent="0.35">
      <c r="A8561" s="3" t="s">
        <v>3356</v>
      </c>
      <c r="B8561" s="1" t="s">
        <v>637</v>
      </c>
      <c r="C8561" s="1" t="s">
        <v>93</v>
      </c>
      <c r="D8561" s="1" t="s">
        <v>52</v>
      </c>
      <c r="E8561" s="1" t="s">
        <v>33</v>
      </c>
      <c r="F8561" s="2" t="s">
        <v>1975</v>
      </c>
      <c r="G8561" s="1">
        <v>287.88</v>
      </c>
      <c r="H8561" s="1">
        <v>3</v>
      </c>
      <c r="I8561" s="1">
        <v>35.984999999999999</v>
      </c>
    </row>
    <row r="8562" spans="1:9" x14ac:dyDescent="0.35">
      <c r="A8562" s="3" t="s">
        <v>3356</v>
      </c>
      <c r="B8562" s="1" t="s">
        <v>637</v>
      </c>
      <c r="C8562" s="1" t="s">
        <v>93</v>
      </c>
      <c r="D8562" s="1" t="s">
        <v>52</v>
      </c>
      <c r="E8562" s="1" t="s">
        <v>33</v>
      </c>
      <c r="F8562" s="2" t="s">
        <v>2518</v>
      </c>
      <c r="G8562" s="1">
        <v>131.88</v>
      </c>
      <c r="H8562" s="1">
        <v>3</v>
      </c>
      <c r="I8562" s="1">
        <v>14.836499999999999</v>
      </c>
    </row>
    <row r="8563" spans="1:9" x14ac:dyDescent="0.35">
      <c r="A8563" s="3" t="s">
        <v>3356</v>
      </c>
      <c r="B8563" s="1" t="s">
        <v>637</v>
      </c>
      <c r="C8563" s="1" t="s">
        <v>93</v>
      </c>
      <c r="D8563" s="1" t="s">
        <v>52</v>
      </c>
      <c r="E8563" s="1" t="s">
        <v>29</v>
      </c>
      <c r="F8563" s="2" t="s">
        <v>732</v>
      </c>
      <c r="G8563" s="1">
        <v>2.3279999999999998</v>
      </c>
      <c r="H8563" s="1">
        <v>2</v>
      </c>
      <c r="I8563" s="1">
        <v>-0.75660000000000005</v>
      </c>
    </row>
    <row r="8564" spans="1:9" x14ac:dyDescent="0.35">
      <c r="A8564" s="3">
        <v>42404</v>
      </c>
      <c r="B8564" s="1" t="s">
        <v>959</v>
      </c>
      <c r="C8564" s="1" t="s">
        <v>1147</v>
      </c>
      <c r="D8564" s="1" t="s">
        <v>57</v>
      </c>
      <c r="E8564" s="1" t="s">
        <v>14</v>
      </c>
      <c r="F8564" s="2" t="s">
        <v>1683</v>
      </c>
      <c r="G8564" s="1">
        <v>1454.9</v>
      </c>
      <c r="H8564" s="1">
        <v>5</v>
      </c>
      <c r="I8564" s="1">
        <v>378.274</v>
      </c>
    </row>
    <row r="8565" spans="1:9" x14ac:dyDescent="0.35">
      <c r="A8565" s="3" t="s">
        <v>3255</v>
      </c>
      <c r="B8565" s="1" t="s">
        <v>1516</v>
      </c>
      <c r="C8565" s="1" t="s">
        <v>3095</v>
      </c>
      <c r="D8565" s="1" t="s">
        <v>23</v>
      </c>
      <c r="E8565" s="1" t="s">
        <v>35</v>
      </c>
      <c r="F8565" s="2" t="s">
        <v>1635</v>
      </c>
      <c r="G8565" s="1">
        <v>4.8419999999999996</v>
      </c>
      <c r="H8565" s="1">
        <v>3</v>
      </c>
      <c r="I8565" s="1">
        <v>-3.5508000000000002</v>
      </c>
    </row>
    <row r="8566" spans="1:9" x14ac:dyDescent="0.35">
      <c r="A8566" s="3" t="s">
        <v>3255</v>
      </c>
      <c r="B8566" s="1" t="s">
        <v>1516</v>
      </c>
      <c r="C8566" s="1" t="s">
        <v>3095</v>
      </c>
      <c r="D8566" s="1" t="s">
        <v>23</v>
      </c>
      <c r="E8566" s="1" t="s">
        <v>29</v>
      </c>
      <c r="F8566" s="2" t="s">
        <v>2945</v>
      </c>
      <c r="G8566" s="1">
        <v>220.70400000000001</v>
      </c>
      <c r="H8566" s="1">
        <v>6</v>
      </c>
      <c r="I8566" s="1">
        <v>-8.2764000000000006</v>
      </c>
    </row>
    <row r="8567" spans="1:9" x14ac:dyDescent="0.35">
      <c r="A8567" s="3" t="s">
        <v>3613</v>
      </c>
      <c r="B8567" s="1" t="s">
        <v>2927</v>
      </c>
      <c r="C8567" s="1" t="s">
        <v>2744</v>
      </c>
      <c r="D8567" s="1" t="s">
        <v>52</v>
      </c>
      <c r="E8567" s="1" t="s">
        <v>33</v>
      </c>
      <c r="F8567" s="2" t="s">
        <v>2464</v>
      </c>
      <c r="G8567" s="1">
        <v>67.176000000000002</v>
      </c>
      <c r="H8567" s="1">
        <v>3</v>
      </c>
      <c r="I8567" s="1">
        <v>6.7176</v>
      </c>
    </row>
    <row r="8568" spans="1:9" x14ac:dyDescent="0.35">
      <c r="A8568" s="3" t="s">
        <v>3613</v>
      </c>
      <c r="B8568" s="1" t="s">
        <v>2927</v>
      </c>
      <c r="C8568" s="1" t="s">
        <v>2744</v>
      </c>
      <c r="D8568" s="1" t="s">
        <v>52</v>
      </c>
      <c r="E8568" s="1" t="s">
        <v>44</v>
      </c>
      <c r="F8568" s="2" t="s">
        <v>2309</v>
      </c>
      <c r="G8568" s="1">
        <v>15.231999999999999</v>
      </c>
      <c r="H8568" s="1">
        <v>4</v>
      </c>
      <c r="I8568" s="1">
        <v>5.5216000000000003</v>
      </c>
    </row>
    <row r="8569" spans="1:9" x14ac:dyDescent="0.35">
      <c r="A8569" s="3">
        <v>42654</v>
      </c>
      <c r="B8569" s="1" t="s">
        <v>1046</v>
      </c>
      <c r="C8569" s="1" t="s">
        <v>141</v>
      </c>
      <c r="D8569" s="1" t="s">
        <v>250</v>
      </c>
      <c r="E8569" s="1" t="s">
        <v>44</v>
      </c>
      <c r="F8569" s="2" t="s">
        <v>2143</v>
      </c>
      <c r="G8569" s="1">
        <v>31.103999999999999</v>
      </c>
      <c r="H8569" s="1">
        <v>6</v>
      </c>
      <c r="I8569" s="1">
        <v>10.8864</v>
      </c>
    </row>
    <row r="8570" spans="1:9" x14ac:dyDescent="0.35">
      <c r="A8570" s="3">
        <v>42533</v>
      </c>
      <c r="B8570" s="1" t="s">
        <v>1184</v>
      </c>
      <c r="C8570" s="1" t="s">
        <v>2410</v>
      </c>
      <c r="D8570" s="1" t="s">
        <v>136</v>
      </c>
      <c r="E8570" s="1" t="s">
        <v>35</v>
      </c>
      <c r="F8570" s="2" t="s">
        <v>2650</v>
      </c>
      <c r="G8570" s="1">
        <v>968.74400000000003</v>
      </c>
      <c r="H8570" s="1">
        <v>7</v>
      </c>
      <c r="I8570" s="1">
        <v>314.84179999999998</v>
      </c>
    </row>
    <row r="8571" spans="1:9" x14ac:dyDescent="0.35">
      <c r="A8571" s="3">
        <v>42533</v>
      </c>
      <c r="B8571" s="1" t="s">
        <v>1184</v>
      </c>
      <c r="C8571" s="1" t="s">
        <v>2410</v>
      </c>
      <c r="D8571" s="1" t="s">
        <v>136</v>
      </c>
      <c r="E8571" s="1" t="s">
        <v>35</v>
      </c>
      <c r="F8571" s="2" t="s">
        <v>217</v>
      </c>
      <c r="G8571" s="1">
        <v>222.352</v>
      </c>
      <c r="H8571" s="1">
        <v>13</v>
      </c>
      <c r="I8571" s="1">
        <v>77.8232</v>
      </c>
    </row>
    <row r="8572" spans="1:9" x14ac:dyDescent="0.35">
      <c r="A8572" s="3">
        <v>42533</v>
      </c>
      <c r="B8572" s="1" t="s">
        <v>1184</v>
      </c>
      <c r="C8572" s="1" t="s">
        <v>2410</v>
      </c>
      <c r="D8572" s="1" t="s">
        <v>136</v>
      </c>
      <c r="E8572" s="1" t="s">
        <v>579</v>
      </c>
      <c r="F8572" s="2" t="s">
        <v>1437</v>
      </c>
      <c r="G8572" s="1">
        <v>479.98399999999998</v>
      </c>
      <c r="H8572" s="1">
        <v>2</v>
      </c>
      <c r="I8572" s="1">
        <v>89.997</v>
      </c>
    </row>
    <row r="8573" spans="1:9" x14ac:dyDescent="0.35">
      <c r="A8573" s="3">
        <v>42433</v>
      </c>
      <c r="B8573" s="1" t="s">
        <v>981</v>
      </c>
      <c r="C8573" s="1" t="s">
        <v>399</v>
      </c>
      <c r="D8573" s="1" t="s">
        <v>52</v>
      </c>
      <c r="E8573" s="1" t="s">
        <v>44</v>
      </c>
      <c r="F8573" s="2" t="s">
        <v>1864</v>
      </c>
      <c r="G8573" s="1">
        <v>10.272</v>
      </c>
      <c r="H8573" s="1">
        <v>3</v>
      </c>
      <c r="I8573" s="1">
        <v>3.21</v>
      </c>
    </row>
    <row r="8574" spans="1:9" x14ac:dyDescent="0.35">
      <c r="A8574" s="3" t="s">
        <v>3478</v>
      </c>
      <c r="B8574" s="1" t="s">
        <v>1901</v>
      </c>
      <c r="C8574" s="1" t="s">
        <v>93</v>
      </c>
      <c r="D8574" s="1" t="s">
        <v>52</v>
      </c>
      <c r="E8574" s="1" t="s">
        <v>338</v>
      </c>
      <c r="F8574" s="2" t="s">
        <v>1835</v>
      </c>
      <c r="G8574" s="1">
        <v>998.85</v>
      </c>
      <c r="H8574" s="1">
        <v>5</v>
      </c>
      <c r="I8574" s="1">
        <v>-199.77</v>
      </c>
    </row>
    <row r="8575" spans="1:9" x14ac:dyDescent="0.35">
      <c r="A8575" s="3" t="s">
        <v>3809</v>
      </c>
      <c r="B8575" s="1" t="s">
        <v>1700</v>
      </c>
      <c r="C8575" s="1" t="s">
        <v>135</v>
      </c>
      <c r="D8575" s="1" t="s">
        <v>136</v>
      </c>
      <c r="E8575" s="1" t="s">
        <v>44</v>
      </c>
      <c r="F8575" s="2" t="s">
        <v>94</v>
      </c>
      <c r="G8575" s="1">
        <v>24.56</v>
      </c>
      <c r="H8575" s="1">
        <v>2</v>
      </c>
      <c r="I8575" s="1">
        <v>11.543200000000001</v>
      </c>
    </row>
    <row r="8576" spans="1:9" x14ac:dyDescent="0.35">
      <c r="A8576" s="3" t="s">
        <v>3505</v>
      </c>
      <c r="B8576" s="1" t="s">
        <v>356</v>
      </c>
      <c r="C8576" s="1" t="s">
        <v>64</v>
      </c>
      <c r="D8576" s="1" t="s">
        <v>18</v>
      </c>
      <c r="E8576" s="1" t="s">
        <v>137</v>
      </c>
      <c r="F8576" s="2" t="s">
        <v>1629</v>
      </c>
      <c r="G8576" s="1">
        <v>5.67</v>
      </c>
      <c r="H8576" s="1">
        <v>3</v>
      </c>
      <c r="I8576" s="1">
        <v>0.1134</v>
      </c>
    </row>
    <row r="8577" spans="1:9" x14ac:dyDescent="0.35">
      <c r="A8577" s="3" t="s">
        <v>3298</v>
      </c>
      <c r="B8577" s="1" t="s">
        <v>1656</v>
      </c>
      <c r="C8577" s="1" t="s">
        <v>2616</v>
      </c>
      <c r="D8577" s="1" t="s">
        <v>23</v>
      </c>
      <c r="E8577" s="1" t="s">
        <v>37</v>
      </c>
      <c r="F8577" s="2" t="s">
        <v>1004</v>
      </c>
      <c r="G8577" s="1">
        <v>14.336</v>
      </c>
      <c r="H8577" s="1">
        <v>4</v>
      </c>
      <c r="I8577" s="1">
        <v>0.89600000000000002</v>
      </c>
    </row>
    <row r="8578" spans="1:9" x14ac:dyDescent="0.35">
      <c r="A8578" s="3">
        <v>42801</v>
      </c>
      <c r="B8578" s="1" t="s">
        <v>2534</v>
      </c>
      <c r="C8578" s="1" t="s">
        <v>42</v>
      </c>
      <c r="D8578" s="1" t="s">
        <v>1203</v>
      </c>
      <c r="E8578" s="1" t="s">
        <v>29</v>
      </c>
      <c r="F8578" s="2" t="s">
        <v>1282</v>
      </c>
      <c r="G8578" s="1">
        <v>102.3</v>
      </c>
      <c r="H8578" s="1">
        <v>1</v>
      </c>
      <c r="I8578" s="1">
        <v>26.597999999999999</v>
      </c>
    </row>
    <row r="8579" spans="1:9" x14ac:dyDescent="0.35">
      <c r="A8579" s="3" t="s">
        <v>3180</v>
      </c>
      <c r="B8579" s="1" t="s">
        <v>1756</v>
      </c>
      <c r="C8579" s="1" t="s">
        <v>197</v>
      </c>
      <c r="D8579" s="1" t="s">
        <v>115</v>
      </c>
      <c r="E8579" s="1" t="s">
        <v>24</v>
      </c>
      <c r="F8579" s="2" t="s">
        <v>629</v>
      </c>
      <c r="G8579" s="1">
        <v>607.52</v>
      </c>
      <c r="H8579" s="1">
        <v>2</v>
      </c>
      <c r="I8579" s="1">
        <v>97.203199999999995</v>
      </c>
    </row>
    <row r="8580" spans="1:9" x14ac:dyDescent="0.35">
      <c r="A8580" s="3" t="s">
        <v>3180</v>
      </c>
      <c r="B8580" s="1" t="s">
        <v>1756</v>
      </c>
      <c r="C8580" s="1" t="s">
        <v>197</v>
      </c>
      <c r="D8580" s="1" t="s">
        <v>115</v>
      </c>
      <c r="E8580" s="1" t="s">
        <v>26</v>
      </c>
      <c r="F8580" s="2" t="s">
        <v>814</v>
      </c>
      <c r="G8580" s="1">
        <v>31.16</v>
      </c>
      <c r="H8580" s="1">
        <v>2</v>
      </c>
      <c r="I8580" s="1">
        <v>7.79</v>
      </c>
    </row>
    <row r="8581" spans="1:9" x14ac:dyDescent="0.35">
      <c r="A8581" s="3" t="s">
        <v>3271</v>
      </c>
      <c r="B8581" s="1" t="s">
        <v>1863</v>
      </c>
      <c r="C8581" s="1" t="s">
        <v>697</v>
      </c>
      <c r="D8581" s="1" t="s">
        <v>11</v>
      </c>
      <c r="E8581" s="1" t="s">
        <v>19</v>
      </c>
      <c r="F8581" s="2" t="s">
        <v>3016</v>
      </c>
      <c r="G8581" s="1">
        <v>2.61</v>
      </c>
      <c r="H8581" s="1">
        <v>1</v>
      </c>
      <c r="I8581" s="1">
        <v>1.2005999999999999</v>
      </c>
    </row>
    <row r="8582" spans="1:9" x14ac:dyDescent="0.35">
      <c r="A8582" s="3" t="s">
        <v>3822</v>
      </c>
      <c r="B8582" s="1" t="s">
        <v>2024</v>
      </c>
      <c r="C8582" s="1" t="s">
        <v>3096</v>
      </c>
      <c r="D8582" s="1" t="s">
        <v>52</v>
      </c>
      <c r="E8582" s="1" t="s">
        <v>29</v>
      </c>
      <c r="F8582" s="2" t="s">
        <v>2990</v>
      </c>
      <c r="G8582" s="1">
        <v>10.332000000000001</v>
      </c>
      <c r="H8582" s="1">
        <v>3</v>
      </c>
      <c r="I8582" s="1">
        <v>-5.9409000000000001</v>
      </c>
    </row>
    <row r="8583" spans="1:9" x14ac:dyDescent="0.35">
      <c r="A8583" s="3" t="s">
        <v>3822</v>
      </c>
      <c r="B8583" s="1" t="s">
        <v>2024</v>
      </c>
      <c r="C8583" s="1" t="s">
        <v>3096</v>
      </c>
      <c r="D8583" s="1" t="s">
        <v>52</v>
      </c>
      <c r="E8583" s="1" t="s">
        <v>44</v>
      </c>
      <c r="F8583" s="2" t="s">
        <v>1264</v>
      </c>
      <c r="G8583" s="1">
        <v>10.368</v>
      </c>
      <c r="H8583" s="1">
        <v>2</v>
      </c>
      <c r="I8583" s="1">
        <v>3.6288</v>
      </c>
    </row>
    <row r="8584" spans="1:9" x14ac:dyDescent="0.35">
      <c r="A8584" s="3" t="s">
        <v>3822</v>
      </c>
      <c r="B8584" s="1" t="s">
        <v>2024</v>
      </c>
      <c r="C8584" s="1" t="s">
        <v>3096</v>
      </c>
      <c r="D8584" s="1" t="s">
        <v>52</v>
      </c>
      <c r="E8584" s="1" t="s">
        <v>81</v>
      </c>
      <c r="F8584" s="2" t="s">
        <v>2353</v>
      </c>
      <c r="G8584" s="1">
        <v>20.783999999999999</v>
      </c>
      <c r="H8584" s="1">
        <v>2</v>
      </c>
      <c r="I8584" s="1">
        <v>-3.6372</v>
      </c>
    </row>
    <row r="8585" spans="1:9" x14ac:dyDescent="0.35">
      <c r="A8585" s="3" t="s">
        <v>3822</v>
      </c>
      <c r="B8585" s="1" t="s">
        <v>2024</v>
      </c>
      <c r="C8585" s="1" t="s">
        <v>3096</v>
      </c>
      <c r="D8585" s="1" t="s">
        <v>52</v>
      </c>
      <c r="E8585" s="1" t="s">
        <v>26</v>
      </c>
      <c r="F8585" s="2" t="s">
        <v>2949</v>
      </c>
      <c r="G8585" s="1">
        <v>66.959999999999994</v>
      </c>
      <c r="H8585" s="1">
        <v>5</v>
      </c>
      <c r="I8585" s="1">
        <v>-13.391999999999999</v>
      </c>
    </row>
    <row r="8586" spans="1:9" x14ac:dyDescent="0.35">
      <c r="A8586" s="3">
        <v>41731</v>
      </c>
      <c r="B8586" s="1" t="s">
        <v>2977</v>
      </c>
      <c r="C8586" s="1" t="s">
        <v>1449</v>
      </c>
      <c r="D8586" s="1" t="s">
        <v>18</v>
      </c>
      <c r="E8586" s="1" t="s">
        <v>35</v>
      </c>
      <c r="F8586" s="2" t="s">
        <v>1409</v>
      </c>
      <c r="G8586" s="1">
        <v>17.248000000000001</v>
      </c>
      <c r="H8586" s="1">
        <v>2</v>
      </c>
      <c r="I8586" s="1">
        <v>6.0368000000000004</v>
      </c>
    </row>
    <row r="8587" spans="1:9" x14ac:dyDescent="0.35">
      <c r="A8587" s="3">
        <v>42990</v>
      </c>
      <c r="B8587" s="1" t="s">
        <v>2748</v>
      </c>
      <c r="C8587" s="1" t="s">
        <v>74</v>
      </c>
      <c r="D8587" s="1" t="s">
        <v>75</v>
      </c>
      <c r="E8587" s="1" t="s">
        <v>35</v>
      </c>
      <c r="F8587" s="2" t="s">
        <v>1819</v>
      </c>
      <c r="G8587" s="1">
        <v>11.087999999999999</v>
      </c>
      <c r="H8587" s="1">
        <v>7</v>
      </c>
      <c r="I8587" s="1">
        <v>-8.1311999999999998</v>
      </c>
    </row>
    <row r="8588" spans="1:9" x14ac:dyDescent="0.35">
      <c r="A8588" s="3">
        <v>43046</v>
      </c>
      <c r="B8588" s="1" t="s">
        <v>841</v>
      </c>
      <c r="C8588" s="1" t="s">
        <v>17</v>
      </c>
      <c r="D8588" s="1" t="s">
        <v>18</v>
      </c>
      <c r="E8588" s="1" t="s">
        <v>81</v>
      </c>
      <c r="F8588" s="2" t="s">
        <v>442</v>
      </c>
      <c r="G8588" s="1">
        <v>1287.45</v>
      </c>
      <c r="H8588" s="1">
        <v>5</v>
      </c>
      <c r="I8588" s="1">
        <v>244.6155</v>
      </c>
    </row>
    <row r="8589" spans="1:9" x14ac:dyDescent="0.35">
      <c r="A8589" s="3">
        <v>43046</v>
      </c>
      <c r="B8589" s="1" t="s">
        <v>841</v>
      </c>
      <c r="C8589" s="1" t="s">
        <v>17</v>
      </c>
      <c r="D8589" s="1" t="s">
        <v>18</v>
      </c>
      <c r="E8589" s="1" t="s">
        <v>37</v>
      </c>
      <c r="F8589" s="2" t="s">
        <v>1265</v>
      </c>
      <c r="G8589" s="1">
        <v>168.1</v>
      </c>
      <c r="H8589" s="1">
        <v>5</v>
      </c>
      <c r="I8589" s="1">
        <v>43.706000000000003</v>
      </c>
    </row>
    <row r="8590" spans="1:9" x14ac:dyDescent="0.35">
      <c r="A8590" s="3" t="s">
        <v>3665</v>
      </c>
      <c r="B8590" s="1" t="s">
        <v>2590</v>
      </c>
      <c r="C8590" s="1" t="s">
        <v>74</v>
      </c>
      <c r="D8590" s="1" t="s">
        <v>75</v>
      </c>
      <c r="E8590" s="1" t="s">
        <v>26</v>
      </c>
      <c r="F8590" s="2" t="s">
        <v>1009</v>
      </c>
      <c r="G8590" s="1">
        <v>51.968000000000004</v>
      </c>
      <c r="H8590" s="1">
        <v>2</v>
      </c>
      <c r="I8590" s="1">
        <v>-10.393599999999999</v>
      </c>
    </row>
    <row r="8591" spans="1:9" x14ac:dyDescent="0.35">
      <c r="A8591" s="3" t="s">
        <v>3470</v>
      </c>
      <c r="B8591" s="1" t="s">
        <v>1533</v>
      </c>
      <c r="C8591" s="1" t="s">
        <v>74</v>
      </c>
      <c r="D8591" s="1" t="s">
        <v>75</v>
      </c>
      <c r="E8591" s="1" t="s">
        <v>31</v>
      </c>
      <c r="F8591" s="2" t="s">
        <v>186</v>
      </c>
      <c r="G8591" s="1">
        <v>4.7679999999999998</v>
      </c>
      <c r="H8591" s="1">
        <v>2</v>
      </c>
      <c r="I8591" s="1">
        <v>0.4768</v>
      </c>
    </row>
    <row r="8592" spans="1:9" x14ac:dyDescent="0.35">
      <c r="A8592" s="3" t="s">
        <v>3555</v>
      </c>
      <c r="B8592" s="1" t="s">
        <v>389</v>
      </c>
      <c r="C8592" s="1" t="s">
        <v>2410</v>
      </c>
      <c r="D8592" s="1" t="s">
        <v>136</v>
      </c>
      <c r="E8592" s="1" t="s">
        <v>87</v>
      </c>
      <c r="F8592" s="2" t="s">
        <v>2511</v>
      </c>
      <c r="G8592" s="1">
        <v>7.98</v>
      </c>
      <c r="H8592" s="1">
        <v>3</v>
      </c>
      <c r="I8592" s="1">
        <v>3.9102000000000001</v>
      </c>
    </row>
    <row r="8593" spans="1:9" x14ac:dyDescent="0.35">
      <c r="A8593" s="3" t="s">
        <v>3209</v>
      </c>
      <c r="B8593" s="1" t="s">
        <v>21</v>
      </c>
      <c r="C8593" s="1" t="s">
        <v>3097</v>
      </c>
      <c r="D8593" s="1" t="s">
        <v>229</v>
      </c>
      <c r="E8593" s="1" t="s">
        <v>87</v>
      </c>
      <c r="F8593" s="2" t="s">
        <v>332</v>
      </c>
      <c r="G8593" s="1">
        <v>18.687999999999999</v>
      </c>
      <c r="H8593" s="1">
        <v>2</v>
      </c>
      <c r="I8593" s="1">
        <v>7.008</v>
      </c>
    </row>
    <row r="8594" spans="1:9" x14ac:dyDescent="0.35">
      <c r="A8594" s="3" t="s">
        <v>3209</v>
      </c>
      <c r="B8594" s="1" t="s">
        <v>21</v>
      </c>
      <c r="C8594" s="1" t="s">
        <v>3097</v>
      </c>
      <c r="D8594" s="1" t="s">
        <v>229</v>
      </c>
      <c r="E8594" s="1" t="s">
        <v>29</v>
      </c>
      <c r="F8594" s="2" t="s">
        <v>2867</v>
      </c>
      <c r="G8594" s="1">
        <v>11.664</v>
      </c>
      <c r="H8594" s="1">
        <v>3</v>
      </c>
      <c r="I8594" s="1">
        <v>3.3534000000000002</v>
      </c>
    </row>
    <row r="8595" spans="1:9" x14ac:dyDescent="0.35">
      <c r="A8595" s="3">
        <v>42989</v>
      </c>
      <c r="B8595" s="1" t="s">
        <v>1211</v>
      </c>
      <c r="C8595" s="1" t="s">
        <v>719</v>
      </c>
      <c r="D8595" s="1" t="s">
        <v>23</v>
      </c>
      <c r="E8595" s="1" t="s">
        <v>81</v>
      </c>
      <c r="F8595" s="2" t="s">
        <v>777</v>
      </c>
      <c r="G8595" s="1">
        <v>191.976</v>
      </c>
      <c r="H8595" s="1">
        <v>3</v>
      </c>
      <c r="I8595" s="1">
        <v>38.395200000000003</v>
      </c>
    </row>
    <row r="8596" spans="1:9" x14ac:dyDescent="0.35">
      <c r="A8596" s="3">
        <v>42989</v>
      </c>
      <c r="B8596" s="1" t="s">
        <v>1211</v>
      </c>
      <c r="C8596" s="1" t="s">
        <v>719</v>
      </c>
      <c r="D8596" s="1" t="s">
        <v>23</v>
      </c>
      <c r="E8596" s="1" t="s">
        <v>33</v>
      </c>
      <c r="F8596" s="2" t="s">
        <v>3035</v>
      </c>
      <c r="G8596" s="1">
        <v>499.16800000000001</v>
      </c>
      <c r="H8596" s="1">
        <v>4</v>
      </c>
      <c r="I8596" s="1">
        <v>31.198</v>
      </c>
    </row>
    <row r="8597" spans="1:9" x14ac:dyDescent="0.35">
      <c r="A8597" s="3">
        <v>41764</v>
      </c>
      <c r="B8597" s="1" t="s">
        <v>932</v>
      </c>
      <c r="C8597" s="1" t="s">
        <v>540</v>
      </c>
      <c r="D8597" s="1" t="s">
        <v>163</v>
      </c>
      <c r="E8597" s="1" t="s">
        <v>35</v>
      </c>
      <c r="F8597" s="2" t="s">
        <v>578</v>
      </c>
      <c r="G8597" s="1">
        <v>11.88</v>
      </c>
      <c r="H8597" s="1">
        <v>2</v>
      </c>
      <c r="I8597" s="1">
        <v>5.3460000000000001</v>
      </c>
    </row>
    <row r="8598" spans="1:9" x14ac:dyDescent="0.35">
      <c r="A8598" s="3">
        <v>41764</v>
      </c>
      <c r="B8598" s="1" t="s">
        <v>932</v>
      </c>
      <c r="C8598" s="1" t="s">
        <v>540</v>
      </c>
      <c r="D8598" s="1" t="s">
        <v>163</v>
      </c>
      <c r="E8598" s="1" t="s">
        <v>44</v>
      </c>
      <c r="F8598" s="2" t="s">
        <v>94</v>
      </c>
      <c r="G8598" s="1">
        <v>35.44</v>
      </c>
      <c r="H8598" s="1">
        <v>1</v>
      </c>
      <c r="I8598" s="1">
        <v>16.6568</v>
      </c>
    </row>
    <row r="8599" spans="1:9" x14ac:dyDescent="0.35">
      <c r="A8599" s="3" t="s">
        <v>3545</v>
      </c>
      <c r="B8599" s="1" t="s">
        <v>238</v>
      </c>
      <c r="C8599" s="1" t="s">
        <v>64</v>
      </c>
      <c r="D8599" s="1" t="s">
        <v>18</v>
      </c>
      <c r="E8599" s="1" t="s">
        <v>35</v>
      </c>
      <c r="F8599" s="2" t="s">
        <v>2998</v>
      </c>
      <c r="G8599" s="1">
        <v>67.135999999999996</v>
      </c>
      <c r="H8599" s="1">
        <v>4</v>
      </c>
      <c r="I8599" s="1">
        <v>25.175999999999998</v>
      </c>
    </row>
    <row r="8600" spans="1:9" x14ac:dyDescent="0.35">
      <c r="A8600" s="3" t="s">
        <v>3164</v>
      </c>
      <c r="B8600" s="1" t="s">
        <v>2249</v>
      </c>
      <c r="C8600" s="1" t="s">
        <v>1510</v>
      </c>
      <c r="D8600" s="1" t="s">
        <v>18</v>
      </c>
      <c r="E8600" s="1" t="s">
        <v>35</v>
      </c>
      <c r="F8600" s="2" t="s">
        <v>1292</v>
      </c>
      <c r="G8600" s="1">
        <v>4.32</v>
      </c>
      <c r="H8600" s="1">
        <v>3</v>
      </c>
      <c r="I8600" s="1">
        <v>1.512</v>
      </c>
    </row>
    <row r="8601" spans="1:9" x14ac:dyDescent="0.35">
      <c r="A8601" s="3" t="s">
        <v>3164</v>
      </c>
      <c r="B8601" s="1" t="s">
        <v>2249</v>
      </c>
      <c r="C8601" s="1" t="s">
        <v>1510</v>
      </c>
      <c r="D8601" s="1" t="s">
        <v>18</v>
      </c>
      <c r="E8601" s="1" t="s">
        <v>44</v>
      </c>
      <c r="F8601" s="2" t="s">
        <v>1724</v>
      </c>
      <c r="G8601" s="1">
        <v>14.94</v>
      </c>
      <c r="H8601" s="1">
        <v>3</v>
      </c>
      <c r="I8601" s="1">
        <v>7.0217999999999998</v>
      </c>
    </row>
    <row r="8602" spans="1:9" x14ac:dyDescent="0.35">
      <c r="A8602" s="3" t="s">
        <v>3164</v>
      </c>
      <c r="B8602" s="1" t="s">
        <v>2249</v>
      </c>
      <c r="C8602" s="1" t="s">
        <v>1510</v>
      </c>
      <c r="D8602" s="1" t="s">
        <v>18</v>
      </c>
      <c r="E8602" s="1" t="s">
        <v>37</v>
      </c>
      <c r="F8602" s="2" t="s">
        <v>2097</v>
      </c>
      <c r="G8602" s="1">
        <v>40.54</v>
      </c>
      <c r="H8602" s="1">
        <v>2</v>
      </c>
      <c r="I8602" s="1">
        <v>11.3512</v>
      </c>
    </row>
    <row r="8603" spans="1:9" x14ac:dyDescent="0.35">
      <c r="A8603" s="3" t="s">
        <v>3164</v>
      </c>
      <c r="B8603" s="1" t="s">
        <v>2249</v>
      </c>
      <c r="C8603" s="1" t="s">
        <v>1510</v>
      </c>
      <c r="D8603" s="1" t="s">
        <v>18</v>
      </c>
      <c r="E8603" s="1" t="s">
        <v>35</v>
      </c>
      <c r="F8603" s="2" t="s">
        <v>2183</v>
      </c>
      <c r="G8603" s="1">
        <v>7.3120000000000003</v>
      </c>
      <c r="H8603" s="1">
        <v>1</v>
      </c>
      <c r="I8603" s="1">
        <v>2.5592000000000001</v>
      </c>
    </row>
    <row r="8604" spans="1:9" x14ac:dyDescent="0.35">
      <c r="A8604" s="3" t="s">
        <v>3569</v>
      </c>
      <c r="B8604" s="1" t="s">
        <v>1168</v>
      </c>
      <c r="C8604" s="1" t="s">
        <v>1440</v>
      </c>
      <c r="D8604" s="1" t="s">
        <v>659</v>
      </c>
      <c r="E8604" s="1" t="s">
        <v>33</v>
      </c>
      <c r="F8604" s="2" t="s">
        <v>2487</v>
      </c>
      <c r="G8604" s="1">
        <v>475.94400000000002</v>
      </c>
      <c r="H8604" s="1">
        <v>7</v>
      </c>
      <c r="I8604" s="1">
        <v>59.493000000000002</v>
      </c>
    </row>
    <row r="8605" spans="1:9" x14ac:dyDescent="0.35">
      <c r="A8605" s="3">
        <v>42430</v>
      </c>
      <c r="B8605" s="1" t="s">
        <v>484</v>
      </c>
      <c r="C8605" s="1" t="s">
        <v>336</v>
      </c>
      <c r="D8605" s="1" t="s">
        <v>52</v>
      </c>
      <c r="E8605" s="1" t="s">
        <v>81</v>
      </c>
      <c r="F8605" s="2" t="s">
        <v>1989</v>
      </c>
      <c r="G8605" s="1">
        <v>30.08</v>
      </c>
      <c r="H8605" s="1">
        <v>2</v>
      </c>
      <c r="I8605" s="1">
        <v>-5.2640000000000002</v>
      </c>
    </row>
    <row r="8606" spans="1:9" x14ac:dyDescent="0.35">
      <c r="A8606" s="3">
        <v>42430</v>
      </c>
      <c r="B8606" s="1" t="s">
        <v>484</v>
      </c>
      <c r="C8606" s="1" t="s">
        <v>336</v>
      </c>
      <c r="D8606" s="1" t="s">
        <v>52</v>
      </c>
      <c r="E8606" s="1" t="s">
        <v>81</v>
      </c>
      <c r="F8606" s="2" t="s">
        <v>2687</v>
      </c>
      <c r="G8606" s="1">
        <v>165.6</v>
      </c>
      <c r="H8606" s="1">
        <v>3</v>
      </c>
      <c r="I8606" s="1">
        <v>-6.21</v>
      </c>
    </row>
    <row r="8607" spans="1:9" x14ac:dyDescent="0.35">
      <c r="A8607" s="3">
        <v>42430</v>
      </c>
      <c r="B8607" s="1" t="s">
        <v>484</v>
      </c>
      <c r="C8607" s="1" t="s">
        <v>336</v>
      </c>
      <c r="D8607" s="1" t="s">
        <v>52</v>
      </c>
      <c r="E8607" s="1" t="s">
        <v>33</v>
      </c>
      <c r="F8607" s="2" t="s">
        <v>2334</v>
      </c>
      <c r="G8607" s="1">
        <v>180.96</v>
      </c>
      <c r="H8607" s="1">
        <v>5</v>
      </c>
      <c r="I8607" s="1">
        <v>13.571999999999999</v>
      </c>
    </row>
    <row r="8608" spans="1:9" x14ac:dyDescent="0.35">
      <c r="A8608" s="3" t="s">
        <v>3529</v>
      </c>
      <c r="B8608" s="1" t="s">
        <v>1372</v>
      </c>
      <c r="C8608" s="1" t="s">
        <v>1674</v>
      </c>
      <c r="D8608" s="1" t="s">
        <v>592</v>
      </c>
      <c r="E8608" s="1" t="s">
        <v>81</v>
      </c>
      <c r="F8608" s="2" t="s">
        <v>1005</v>
      </c>
      <c r="G8608" s="1">
        <v>23.18</v>
      </c>
      <c r="H8608" s="1">
        <v>2</v>
      </c>
      <c r="I8608" s="1">
        <v>7.6494</v>
      </c>
    </row>
    <row r="8609" spans="1:9" x14ac:dyDescent="0.35">
      <c r="A8609" s="3">
        <v>41735</v>
      </c>
      <c r="B8609" s="1" t="s">
        <v>2116</v>
      </c>
      <c r="C8609" s="1" t="s">
        <v>135</v>
      </c>
      <c r="D8609" s="1" t="s">
        <v>136</v>
      </c>
      <c r="E8609" s="1" t="s">
        <v>29</v>
      </c>
      <c r="F8609" s="2" t="s">
        <v>1911</v>
      </c>
      <c r="G8609" s="1">
        <v>56.96</v>
      </c>
      <c r="H8609" s="1">
        <v>2</v>
      </c>
      <c r="I8609" s="1">
        <v>21.075199999999999</v>
      </c>
    </row>
    <row r="8610" spans="1:9" x14ac:dyDescent="0.35">
      <c r="A8610" s="3">
        <v>41735</v>
      </c>
      <c r="B8610" s="1" t="s">
        <v>2116</v>
      </c>
      <c r="C8610" s="1" t="s">
        <v>135</v>
      </c>
      <c r="D8610" s="1" t="s">
        <v>136</v>
      </c>
      <c r="E8610" s="1" t="s">
        <v>37</v>
      </c>
      <c r="F8610" s="2" t="s">
        <v>1737</v>
      </c>
      <c r="G8610" s="1">
        <v>15.56</v>
      </c>
      <c r="H8610" s="1">
        <v>4</v>
      </c>
      <c r="I8610" s="1">
        <v>4.0456000000000003</v>
      </c>
    </row>
    <row r="8611" spans="1:9" x14ac:dyDescent="0.35">
      <c r="A8611" s="3">
        <v>41735</v>
      </c>
      <c r="B8611" s="1" t="s">
        <v>2116</v>
      </c>
      <c r="C8611" s="1" t="s">
        <v>135</v>
      </c>
      <c r="D8611" s="1" t="s">
        <v>136</v>
      </c>
      <c r="E8611" s="1" t="s">
        <v>12</v>
      </c>
      <c r="F8611" s="2" t="s">
        <v>1036</v>
      </c>
      <c r="G8611" s="1">
        <v>353.56799999999998</v>
      </c>
      <c r="H8611" s="1">
        <v>2</v>
      </c>
      <c r="I8611" s="1">
        <v>-44.195999999999998</v>
      </c>
    </row>
    <row r="8612" spans="1:9" x14ac:dyDescent="0.35">
      <c r="A8612" s="3">
        <v>41735</v>
      </c>
      <c r="B8612" s="1" t="s">
        <v>2116</v>
      </c>
      <c r="C8612" s="1" t="s">
        <v>135</v>
      </c>
      <c r="D8612" s="1" t="s">
        <v>136</v>
      </c>
      <c r="E8612" s="1" t="s">
        <v>29</v>
      </c>
      <c r="F8612" s="2" t="s">
        <v>1325</v>
      </c>
      <c r="G8612" s="1">
        <v>13.96</v>
      </c>
      <c r="H8612" s="1">
        <v>2</v>
      </c>
      <c r="I8612" s="1">
        <v>6.7008000000000001</v>
      </c>
    </row>
    <row r="8613" spans="1:9" x14ac:dyDescent="0.35">
      <c r="A8613" s="3" t="s">
        <v>3165</v>
      </c>
      <c r="B8613" s="1" t="s">
        <v>1248</v>
      </c>
      <c r="C8613" s="1" t="s">
        <v>2992</v>
      </c>
      <c r="D8613" s="1" t="s">
        <v>18</v>
      </c>
      <c r="E8613" s="1" t="s">
        <v>81</v>
      </c>
      <c r="F8613" s="2" t="s">
        <v>2234</v>
      </c>
      <c r="G8613" s="1">
        <v>82.95</v>
      </c>
      <c r="H8613" s="1">
        <v>5</v>
      </c>
      <c r="I8613" s="1">
        <v>29.032499999999999</v>
      </c>
    </row>
    <row r="8614" spans="1:9" x14ac:dyDescent="0.35">
      <c r="A8614" s="3" t="s">
        <v>3823</v>
      </c>
      <c r="B8614" s="1" t="s">
        <v>1563</v>
      </c>
      <c r="C8614" s="1" t="s">
        <v>17</v>
      </c>
      <c r="D8614" s="1" t="s">
        <v>18</v>
      </c>
      <c r="E8614" s="1" t="s">
        <v>31</v>
      </c>
      <c r="F8614" s="2" t="s">
        <v>735</v>
      </c>
      <c r="G8614" s="1">
        <v>39.68</v>
      </c>
      <c r="H8614" s="1">
        <v>2</v>
      </c>
      <c r="I8614" s="1">
        <v>10.316800000000001</v>
      </c>
    </row>
    <row r="8615" spans="1:9" x14ac:dyDescent="0.35">
      <c r="A8615" s="3">
        <v>42624</v>
      </c>
      <c r="B8615" s="1" t="s">
        <v>268</v>
      </c>
      <c r="C8615" s="1" t="s">
        <v>1391</v>
      </c>
      <c r="D8615" s="1" t="s">
        <v>18</v>
      </c>
      <c r="E8615" s="1" t="s">
        <v>81</v>
      </c>
      <c r="F8615" s="2" t="s">
        <v>515</v>
      </c>
      <c r="G8615" s="1">
        <v>479.97</v>
      </c>
      <c r="H8615" s="1">
        <v>3</v>
      </c>
      <c r="I8615" s="1">
        <v>177.5889</v>
      </c>
    </row>
    <row r="8616" spans="1:9" x14ac:dyDescent="0.35">
      <c r="A8616" s="3">
        <v>42652</v>
      </c>
      <c r="B8616" s="1" t="s">
        <v>1533</v>
      </c>
      <c r="C8616" s="1" t="s">
        <v>1140</v>
      </c>
      <c r="D8616" s="1" t="s">
        <v>48</v>
      </c>
      <c r="E8616" s="1" t="s">
        <v>19</v>
      </c>
      <c r="F8616" s="2" t="s">
        <v>2741</v>
      </c>
      <c r="G8616" s="1">
        <v>7.38</v>
      </c>
      <c r="H8616" s="1">
        <v>2</v>
      </c>
      <c r="I8616" s="1">
        <v>3.4685999999999999</v>
      </c>
    </row>
    <row r="8617" spans="1:9" x14ac:dyDescent="0.35">
      <c r="A8617" s="3">
        <v>42652</v>
      </c>
      <c r="B8617" s="1" t="s">
        <v>1533</v>
      </c>
      <c r="C8617" s="1" t="s">
        <v>1140</v>
      </c>
      <c r="D8617" s="1" t="s">
        <v>48</v>
      </c>
      <c r="E8617" s="1" t="s">
        <v>35</v>
      </c>
      <c r="F8617" s="2" t="s">
        <v>578</v>
      </c>
      <c r="G8617" s="1">
        <v>14.256</v>
      </c>
      <c r="H8617" s="1">
        <v>3</v>
      </c>
      <c r="I8617" s="1">
        <v>4.4550000000000001</v>
      </c>
    </row>
    <row r="8618" spans="1:9" x14ac:dyDescent="0.35">
      <c r="A8618" s="3">
        <v>42652</v>
      </c>
      <c r="B8618" s="1" t="s">
        <v>1533</v>
      </c>
      <c r="C8618" s="1" t="s">
        <v>1140</v>
      </c>
      <c r="D8618" s="1" t="s">
        <v>48</v>
      </c>
      <c r="E8618" s="1" t="s">
        <v>44</v>
      </c>
      <c r="F8618" s="2" t="s">
        <v>1422</v>
      </c>
      <c r="G8618" s="1">
        <v>81.98</v>
      </c>
      <c r="H8618" s="1">
        <v>2</v>
      </c>
      <c r="I8618" s="1">
        <v>40.170200000000001</v>
      </c>
    </row>
    <row r="8619" spans="1:9" x14ac:dyDescent="0.35">
      <c r="A8619" s="3">
        <v>42652</v>
      </c>
      <c r="B8619" s="1" t="s">
        <v>1533</v>
      </c>
      <c r="C8619" s="1" t="s">
        <v>1140</v>
      </c>
      <c r="D8619" s="1" t="s">
        <v>48</v>
      </c>
      <c r="E8619" s="1" t="s">
        <v>35</v>
      </c>
      <c r="F8619" s="2" t="s">
        <v>1261</v>
      </c>
      <c r="G8619" s="1">
        <v>39.624000000000002</v>
      </c>
      <c r="H8619" s="1">
        <v>3</v>
      </c>
      <c r="I8619" s="1">
        <v>13.868399999999999</v>
      </c>
    </row>
    <row r="8620" spans="1:9" x14ac:dyDescent="0.35">
      <c r="A8620" s="3">
        <v>42797</v>
      </c>
      <c r="B8620" s="1" t="s">
        <v>1385</v>
      </c>
      <c r="C8620" s="1" t="s">
        <v>17</v>
      </c>
      <c r="D8620" s="1" t="s">
        <v>18</v>
      </c>
      <c r="E8620" s="1" t="s">
        <v>24</v>
      </c>
      <c r="F8620" s="2" t="s">
        <v>1244</v>
      </c>
      <c r="G8620" s="1">
        <v>399.67200000000003</v>
      </c>
      <c r="H8620" s="1">
        <v>7</v>
      </c>
      <c r="I8620" s="1">
        <v>-14.9877</v>
      </c>
    </row>
    <row r="8621" spans="1:9" x14ac:dyDescent="0.35">
      <c r="A8621" s="3">
        <v>42956</v>
      </c>
      <c r="B8621" s="1" t="s">
        <v>1173</v>
      </c>
      <c r="C8621" s="1" t="s">
        <v>135</v>
      </c>
      <c r="D8621" s="1" t="s">
        <v>136</v>
      </c>
      <c r="E8621" s="1" t="s">
        <v>26</v>
      </c>
      <c r="F8621" s="2" t="s">
        <v>2613</v>
      </c>
      <c r="G8621" s="1">
        <v>65.12</v>
      </c>
      <c r="H8621" s="1">
        <v>4</v>
      </c>
      <c r="I8621" s="1">
        <v>16.9312</v>
      </c>
    </row>
    <row r="8622" spans="1:9" x14ac:dyDescent="0.35">
      <c r="A8622" s="3">
        <v>42897</v>
      </c>
      <c r="B8622" s="1" t="s">
        <v>2547</v>
      </c>
      <c r="C8622" s="1" t="s">
        <v>399</v>
      </c>
      <c r="D8622" s="1" t="s">
        <v>52</v>
      </c>
      <c r="E8622" s="1" t="s">
        <v>29</v>
      </c>
      <c r="F8622" s="2" t="s">
        <v>1181</v>
      </c>
      <c r="G8622" s="1">
        <v>30.56</v>
      </c>
      <c r="H8622" s="1">
        <v>5</v>
      </c>
      <c r="I8622" s="1">
        <v>-19.864000000000001</v>
      </c>
    </row>
    <row r="8623" spans="1:9" x14ac:dyDescent="0.35">
      <c r="A8623" s="3" t="s">
        <v>3208</v>
      </c>
      <c r="B8623" s="1" t="s">
        <v>1426</v>
      </c>
      <c r="C8623" s="1" t="s">
        <v>306</v>
      </c>
      <c r="D8623" s="1" t="s">
        <v>171</v>
      </c>
      <c r="E8623" s="1" t="s">
        <v>37</v>
      </c>
      <c r="F8623" s="2" t="s">
        <v>220</v>
      </c>
      <c r="G8623" s="1">
        <v>20.768000000000001</v>
      </c>
      <c r="H8623" s="1">
        <v>2</v>
      </c>
      <c r="I8623" s="1">
        <v>2.3363999999999998</v>
      </c>
    </row>
    <row r="8624" spans="1:9" x14ac:dyDescent="0.35">
      <c r="A8624" s="3" t="s">
        <v>3401</v>
      </c>
      <c r="B8624" s="1" t="s">
        <v>2278</v>
      </c>
      <c r="C8624" s="1" t="s">
        <v>272</v>
      </c>
      <c r="D8624" s="1" t="s">
        <v>158</v>
      </c>
      <c r="E8624" s="1" t="s">
        <v>26</v>
      </c>
      <c r="F8624" s="2" t="s">
        <v>500</v>
      </c>
      <c r="G8624" s="1">
        <v>39.808</v>
      </c>
      <c r="H8624" s="1">
        <v>4</v>
      </c>
      <c r="I8624" s="1">
        <v>3.9807999999999999</v>
      </c>
    </row>
    <row r="8625" spans="1:9" x14ac:dyDescent="0.35">
      <c r="A8625" s="3" t="s">
        <v>3171</v>
      </c>
      <c r="B8625" s="1" t="s">
        <v>954</v>
      </c>
      <c r="C8625" s="1" t="s">
        <v>672</v>
      </c>
      <c r="D8625" s="1" t="s">
        <v>23</v>
      </c>
      <c r="E8625" s="1" t="s">
        <v>35</v>
      </c>
      <c r="F8625" s="2" t="s">
        <v>1812</v>
      </c>
      <c r="G8625" s="1">
        <v>121.104</v>
      </c>
      <c r="H8625" s="1">
        <v>6</v>
      </c>
      <c r="I8625" s="1">
        <v>-100.92</v>
      </c>
    </row>
    <row r="8626" spans="1:9" x14ac:dyDescent="0.35">
      <c r="A8626" s="3" t="s">
        <v>3171</v>
      </c>
      <c r="B8626" s="1" t="s">
        <v>954</v>
      </c>
      <c r="C8626" s="1" t="s">
        <v>672</v>
      </c>
      <c r="D8626" s="1" t="s">
        <v>23</v>
      </c>
      <c r="E8626" s="1" t="s">
        <v>81</v>
      </c>
      <c r="F8626" s="2" t="s">
        <v>1885</v>
      </c>
      <c r="G8626" s="1">
        <v>111.96</v>
      </c>
      <c r="H8626" s="1">
        <v>5</v>
      </c>
      <c r="I8626" s="1">
        <v>-1.3995</v>
      </c>
    </row>
    <row r="8627" spans="1:9" x14ac:dyDescent="0.35">
      <c r="A8627" s="3">
        <v>42228</v>
      </c>
      <c r="B8627" s="1" t="s">
        <v>1563</v>
      </c>
      <c r="C8627" s="1" t="s">
        <v>518</v>
      </c>
      <c r="D8627" s="1" t="s">
        <v>229</v>
      </c>
      <c r="E8627" s="1" t="s">
        <v>44</v>
      </c>
      <c r="F8627" s="2" t="s">
        <v>2017</v>
      </c>
      <c r="G8627" s="1">
        <v>15.696</v>
      </c>
      <c r="H8627" s="1">
        <v>3</v>
      </c>
      <c r="I8627" s="1">
        <v>5.1012000000000004</v>
      </c>
    </row>
    <row r="8628" spans="1:9" x14ac:dyDescent="0.35">
      <c r="A8628" s="3">
        <v>42194</v>
      </c>
      <c r="B8628" s="1" t="s">
        <v>549</v>
      </c>
      <c r="C8628" s="1" t="s">
        <v>135</v>
      </c>
      <c r="D8628" s="1" t="s">
        <v>136</v>
      </c>
      <c r="E8628" s="1" t="s">
        <v>26</v>
      </c>
      <c r="F8628" s="2" t="s">
        <v>2058</v>
      </c>
      <c r="G8628" s="1">
        <v>70.260000000000005</v>
      </c>
      <c r="H8628" s="1">
        <v>3</v>
      </c>
      <c r="I8628" s="1">
        <v>18.970199999999998</v>
      </c>
    </row>
    <row r="8629" spans="1:9" x14ac:dyDescent="0.35">
      <c r="A8629" s="3">
        <v>42194</v>
      </c>
      <c r="B8629" s="1" t="s">
        <v>549</v>
      </c>
      <c r="C8629" s="1" t="s">
        <v>135</v>
      </c>
      <c r="D8629" s="1" t="s">
        <v>136</v>
      </c>
      <c r="E8629" s="1" t="s">
        <v>81</v>
      </c>
      <c r="F8629" s="2" t="s">
        <v>2574</v>
      </c>
      <c r="G8629" s="1">
        <v>90</v>
      </c>
      <c r="H8629" s="1">
        <v>5</v>
      </c>
      <c r="I8629" s="1">
        <v>16.2</v>
      </c>
    </row>
    <row r="8630" spans="1:9" x14ac:dyDescent="0.35">
      <c r="A8630" s="3">
        <v>42194</v>
      </c>
      <c r="B8630" s="1" t="s">
        <v>549</v>
      </c>
      <c r="C8630" s="1" t="s">
        <v>135</v>
      </c>
      <c r="D8630" s="1" t="s">
        <v>136</v>
      </c>
      <c r="E8630" s="1" t="s">
        <v>35</v>
      </c>
      <c r="F8630" s="2" t="s">
        <v>953</v>
      </c>
      <c r="G8630" s="1">
        <v>6.0960000000000001</v>
      </c>
      <c r="H8630" s="1">
        <v>2</v>
      </c>
      <c r="I8630" s="1">
        <v>2.0573999999999999</v>
      </c>
    </row>
    <row r="8631" spans="1:9" x14ac:dyDescent="0.35">
      <c r="A8631" s="3">
        <v>42194</v>
      </c>
      <c r="B8631" s="1" t="s">
        <v>549</v>
      </c>
      <c r="C8631" s="1" t="s">
        <v>135</v>
      </c>
      <c r="D8631" s="1" t="s">
        <v>136</v>
      </c>
      <c r="E8631" s="1" t="s">
        <v>24</v>
      </c>
      <c r="F8631" s="2" t="s">
        <v>2287</v>
      </c>
      <c r="G8631" s="1">
        <v>481.17599999999999</v>
      </c>
      <c r="H8631" s="1">
        <v>2</v>
      </c>
      <c r="I8631" s="1">
        <v>-120.294</v>
      </c>
    </row>
    <row r="8632" spans="1:9" x14ac:dyDescent="0.35">
      <c r="A8632" s="3">
        <v>42194</v>
      </c>
      <c r="B8632" s="1" t="s">
        <v>549</v>
      </c>
      <c r="C8632" s="1" t="s">
        <v>135</v>
      </c>
      <c r="D8632" s="1" t="s">
        <v>136</v>
      </c>
      <c r="E8632" s="1" t="s">
        <v>137</v>
      </c>
      <c r="F8632" s="2" t="s">
        <v>1369</v>
      </c>
      <c r="G8632" s="1">
        <v>7.24</v>
      </c>
      <c r="H8632" s="1">
        <v>4</v>
      </c>
      <c r="I8632" s="1">
        <v>2.3892000000000002</v>
      </c>
    </row>
    <row r="8633" spans="1:9" x14ac:dyDescent="0.35">
      <c r="A8633" s="3" t="s">
        <v>3668</v>
      </c>
      <c r="B8633" s="1" t="s">
        <v>875</v>
      </c>
      <c r="C8633" s="1" t="s">
        <v>2879</v>
      </c>
      <c r="D8633" s="1" t="s">
        <v>75</v>
      </c>
      <c r="E8633" s="1" t="s">
        <v>12</v>
      </c>
      <c r="F8633" s="2" t="s">
        <v>1111</v>
      </c>
      <c r="G8633" s="1">
        <v>177.45</v>
      </c>
      <c r="H8633" s="1">
        <v>5</v>
      </c>
      <c r="I8633" s="1">
        <v>-78.078000000000003</v>
      </c>
    </row>
    <row r="8634" spans="1:9" x14ac:dyDescent="0.35">
      <c r="A8634" s="3" t="s">
        <v>3668</v>
      </c>
      <c r="B8634" s="1" t="s">
        <v>875</v>
      </c>
      <c r="C8634" s="1" t="s">
        <v>2879</v>
      </c>
      <c r="D8634" s="1" t="s">
        <v>75</v>
      </c>
      <c r="E8634" s="1" t="s">
        <v>35</v>
      </c>
      <c r="F8634" s="2" t="s">
        <v>1202</v>
      </c>
      <c r="G8634" s="1">
        <v>1369.7639999999999</v>
      </c>
      <c r="H8634" s="1">
        <v>6</v>
      </c>
      <c r="I8634" s="1">
        <v>-913.17600000000004</v>
      </c>
    </row>
    <row r="8635" spans="1:9" x14ac:dyDescent="0.35">
      <c r="A8635" s="3" t="s">
        <v>3668</v>
      </c>
      <c r="B8635" s="1" t="s">
        <v>875</v>
      </c>
      <c r="C8635" s="1" t="s">
        <v>2879</v>
      </c>
      <c r="D8635" s="1" t="s">
        <v>75</v>
      </c>
      <c r="E8635" s="1" t="s">
        <v>37</v>
      </c>
      <c r="F8635" s="2" t="s">
        <v>2802</v>
      </c>
      <c r="G8635" s="1">
        <v>9.48</v>
      </c>
      <c r="H8635" s="1">
        <v>3</v>
      </c>
      <c r="I8635" s="1">
        <v>0.71099999999999997</v>
      </c>
    </row>
    <row r="8636" spans="1:9" x14ac:dyDescent="0.35">
      <c r="A8636" s="3" t="s">
        <v>3800</v>
      </c>
      <c r="B8636" s="1" t="s">
        <v>1046</v>
      </c>
      <c r="C8636" s="1" t="s">
        <v>74</v>
      </c>
      <c r="D8636" s="1" t="s">
        <v>75</v>
      </c>
      <c r="E8636" s="1" t="s">
        <v>12</v>
      </c>
      <c r="F8636" s="2" t="s">
        <v>13</v>
      </c>
      <c r="G8636" s="1">
        <v>130.97999999999999</v>
      </c>
      <c r="H8636" s="1">
        <v>2</v>
      </c>
      <c r="I8636" s="1">
        <v>-89.066400000000002</v>
      </c>
    </row>
    <row r="8637" spans="1:9" x14ac:dyDescent="0.35">
      <c r="A8637" s="3" t="s">
        <v>3604</v>
      </c>
      <c r="B8637" s="1" t="s">
        <v>2129</v>
      </c>
      <c r="C8637" s="1" t="s">
        <v>697</v>
      </c>
      <c r="D8637" s="1" t="s">
        <v>11</v>
      </c>
      <c r="E8637" s="1" t="s">
        <v>31</v>
      </c>
      <c r="F8637" s="2" t="s">
        <v>2925</v>
      </c>
      <c r="G8637" s="1">
        <v>174.95</v>
      </c>
      <c r="H8637" s="1">
        <v>5</v>
      </c>
      <c r="I8637" s="1">
        <v>45.487000000000002</v>
      </c>
    </row>
    <row r="8638" spans="1:9" x14ac:dyDescent="0.35">
      <c r="A8638" s="3" t="s">
        <v>3604</v>
      </c>
      <c r="B8638" s="1" t="s">
        <v>2129</v>
      </c>
      <c r="C8638" s="1" t="s">
        <v>697</v>
      </c>
      <c r="D8638" s="1" t="s">
        <v>11</v>
      </c>
      <c r="E8638" s="1" t="s">
        <v>26</v>
      </c>
      <c r="F8638" s="2" t="s">
        <v>970</v>
      </c>
      <c r="G8638" s="1">
        <v>826</v>
      </c>
      <c r="H8638" s="1">
        <v>5</v>
      </c>
      <c r="I8638" s="1">
        <v>214.76</v>
      </c>
    </row>
    <row r="8639" spans="1:9" x14ac:dyDescent="0.35">
      <c r="A8639" s="3" t="s">
        <v>3337</v>
      </c>
      <c r="B8639" s="1" t="s">
        <v>165</v>
      </c>
      <c r="C8639" s="1" t="s">
        <v>47</v>
      </c>
      <c r="D8639" s="1" t="s">
        <v>48</v>
      </c>
      <c r="E8639" s="1" t="s">
        <v>29</v>
      </c>
      <c r="F8639" s="2" t="s">
        <v>152</v>
      </c>
      <c r="G8639" s="1">
        <v>139.58000000000001</v>
      </c>
      <c r="H8639" s="1">
        <v>7</v>
      </c>
      <c r="I8639" s="1">
        <v>39.0824</v>
      </c>
    </row>
    <row r="8640" spans="1:9" x14ac:dyDescent="0.35">
      <c r="A8640" s="3" t="s">
        <v>3542</v>
      </c>
      <c r="B8640" s="1" t="s">
        <v>721</v>
      </c>
      <c r="C8640" s="1" t="s">
        <v>1884</v>
      </c>
      <c r="D8640" s="1" t="s">
        <v>57</v>
      </c>
      <c r="E8640" s="1" t="s">
        <v>81</v>
      </c>
      <c r="F8640" s="2" t="s">
        <v>1850</v>
      </c>
      <c r="G8640" s="1">
        <v>399.95</v>
      </c>
      <c r="H8640" s="1">
        <v>5</v>
      </c>
      <c r="I8640" s="1">
        <v>143.982</v>
      </c>
    </row>
    <row r="8641" spans="1:9" x14ac:dyDescent="0.35">
      <c r="A8641" s="3" t="s">
        <v>3419</v>
      </c>
      <c r="B8641" s="1" t="s">
        <v>686</v>
      </c>
      <c r="C8641" s="1" t="s">
        <v>10</v>
      </c>
      <c r="D8641" s="1" t="s">
        <v>11</v>
      </c>
      <c r="E8641" s="1" t="s">
        <v>35</v>
      </c>
      <c r="F8641" s="2" t="s">
        <v>1548</v>
      </c>
      <c r="G8641" s="1">
        <v>12.39</v>
      </c>
      <c r="H8641" s="1">
        <v>3</v>
      </c>
      <c r="I8641" s="1">
        <v>5.8232999999999997</v>
      </c>
    </row>
    <row r="8642" spans="1:9" x14ac:dyDescent="0.35">
      <c r="A8642" s="3">
        <v>43070</v>
      </c>
      <c r="B8642" s="1" t="s">
        <v>443</v>
      </c>
      <c r="C8642" s="1" t="s">
        <v>399</v>
      </c>
      <c r="D8642" s="1" t="s">
        <v>52</v>
      </c>
      <c r="E8642" s="1" t="s">
        <v>35</v>
      </c>
      <c r="F8642" s="2" t="s">
        <v>1202</v>
      </c>
      <c r="G8642" s="1">
        <v>760.98</v>
      </c>
      <c r="H8642" s="1">
        <v>5</v>
      </c>
      <c r="I8642" s="1">
        <v>-1141.47</v>
      </c>
    </row>
    <row r="8643" spans="1:9" x14ac:dyDescent="0.35">
      <c r="A8643" s="3">
        <v>42778</v>
      </c>
      <c r="B8643" s="1" t="s">
        <v>2158</v>
      </c>
      <c r="C8643" s="1" t="s">
        <v>655</v>
      </c>
      <c r="D8643" s="1" t="s">
        <v>158</v>
      </c>
      <c r="E8643" s="1" t="s">
        <v>35</v>
      </c>
      <c r="F8643" s="2" t="s">
        <v>805</v>
      </c>
      <c r="G8643" s="1">
        <v>67.86</v>
      </c>
      <c r="H8643" s="1">
        <v>6</v>
      </c>
      <c r="I8643" s="1">
        <v>-45.24</v>
      </c>
    </row>
    <row r="8644" spans="1:9" x14ac:dyDescent="0.35">
      <c r="A8644" s="3">
        <v>42227</v>
      </c>
      <c r="B8644" s="1" t="s">
        <v>1351</v>
      </c>
      <c r="C8644" s="1" t="s">
        <v>719</v>
      </c>
      <c r="D8644" s="1" t="s">
        <v>43</v>
      </c>
      <c r="E8644" s="1" t="s">
        <v>137</v>
      </c>
      <c r="F8644" s="2" t="s">
        <v>560</v>
      </c>
      <c r="G8644" s="1">
        <v>31.504000000000001</v>
      </c>
      <c r="H8644" s="1">
        <v>11</v>
      </c>
      <c r="I8644" s="1">
        <v>11.814</v>
      </c>
    </row>
    <row r="8645" spans="1:9" x14ac:dyDescent="0.35">
      <c r="A8645" s="3">
        <v>42227</v>
      </c>
      <c r="B8645" s="1" t="s">
        <v>1351</v>
      </c>
      <c r="C8645" s="1" t="s">
        <v>719</v>
      </c>
      <c r="D8645" s="1" t="s">
        <v>43</v>
      </c>
      <c r="E8645" s="1" t="s">
        <v>19</v>
      </c>
      <c r="F8645" s="2" t="s">
        <v>2698</v>
      </c>
      <c r="G8645" s="1">
        <v>5.04</v>
      </c>
      <c r="H8645" s="1">
        <v>1</v>
      </c>
      <c r="I8645" s="1">
        <v>1.6379999999999999</v>
      </c>
    </row>
    <row r="8646" spans="1:9" x14ac:dyDescent="0.35">
      <c r="A8646" s="3">
        <v>42227</v>
      </c>
      <c r="B8646" s="1" t="s">
        <v>1351</v>
      </c>
      <c r="C8646" s="1" t="s">
        <v>719</v>
      </c>
      <c r="D8646" s="1" t="s">
        <v>43</v>
      </c>
      <c r="E8646" s="1" t="s">
        <v>35</v>
      </c>
      <c r="F8646" s="2" t="s">
        <v>752</v>
      </c>
      <c r="G8646" s="1">
        <v>39.878999999999998</v>
      </c>
      <c r="H8646" s="1">
        <v>7</v>
      </c>
      <c r="I8646" s="1">
        <v>-29.244599999999998</v>
      </c>
    </row>
    <row r="8647" spans="1:9" x14ac:dyDescent="0.35">
      <c r="A8647" s="3">
        <v>42227</v>
      </c>
      <c r="B8647" s="1" t="s">
        <v>1351</v>
      </c>
      <c r="C8647" s="1" t="s">
        <v>719</v>
      </c>
      <c r="D8647" s="1" t="s">
        <v>43</v>
      </c>
      <c r="E8647" s="1" t="s">
        <v>29</v>
      </c>
      <c r="F8647" s="2" t="s">
        <v>609</v>
      </c>
      <c r="G8647" s="1">
        <v>4.7119999999999997</v>
      </c>
      <c r="H8647" s="1">
        <v>1</v>
      </c>
      <c r="I8647" s="1">
        <v>1.4136</v>
      </c>
    </row>
    <row r="8648" spans="1:9" x14ac:dyDescent="0.35">
      <c r="A8648" s="3" t="s">
        <v>3399</v>
      </c>
      <c r="B8648" s="1" t="s">
        <v>2567</v>
      </c>
      <c r="C8648" s="1" t="s">
        <v>17</v>
      </c>
      <c r="D8648" s="1" t="s">
        <v>18</v>
      </c>
      <c r="E8648" s="1" t="s">
        <v>14</v>
      </c>
      <c r="F8648" s="2" t="s">
        <v>354</v>
      </c>
      <c r="G8648" s="1">
        <v>194.352</v>
      </c>
      <c r="H8648" s="1">
        <v>3</v>
      </c>
      <c r="I8648" s="1">
        <v>19.435199999999998</v>
      </c>
    </row>
    <row r="8649" spans="1:9" x14ac:dyDescent="0.35">
      <c r="A8649" s="3">
        <v>42136</v>
      </c>
      <c r="B8649" s="1" t="s">
        <v>2322</v>
      </c>
      <c r="C8649" s="1" t="s">
        <v>2272</v>
      </c>
      <c r="D8649" s="1" t="s">
        <v>171</v>
      </c>
      <c r="E8649" s="1" t="s">
        <v>14</v>
      </c>
      <c r="F8649" s="2" t="s">
        <v>435</v>
      </c>
      <c r="G8649" s="1">
        <v>97.424000000000007</v>
      </c>
      <c r="H8649" s="1">
        <v>2</v>
      </c>
      <c r="I8649" s="1">
        <v>10.9602</v>
      </c>
    </row>
    <row r="8650" spans="1:9" x14ac:dyDescent="0.35">
      <c r="A8650" s="3" t="s">
        <v>3396</v>
      </c>
      <c r="B8650" s="1" t="s">
        <v>2357</v>
      </c>
      <c r="C8650" s="1" t="s">
        <v>234</v>
      </c>
      <c r="D8650" s="1" t="s">
        <v>43</v>
      </c>
      <c r="E8650" s="1" t="s">
        <v>26</v>
      </c>
      <c r="F8650" s="2" t="s">
        <v>1241</v>
      </c>
      <c r="G8650" s="1">
        <v>704.76</v>
      </c>
      <c r="H8650" s="1">
        <v>5</v>
      </c>
      <c r="I8650" s="1">
        <v>26.4285</v>
      </c>
    </row>
    <row r="8651" spans="1:9" x14ac:dyDescent="0.35">
      <c r="A8651" s="3" t="s">
        <v>3396</v>
      </c>
      <c r="B8651" s="1" t="s">
        <v>2357</v>
      </c>
      <c r="C8651" s="1" t="s">
        <v>234</v>
      </c>
      <c r="D8651" s="1" t="s">
        <v>43</v>
      </c>
      <c r="E8651" s="1" t="s">
        <v>35</v>
      </c>
      <c r="F8651" s="2" t="s">
        <v>852</v>
      </c>
      <c r="G8651" s="1">
        <v>27.396000000000001</v>
      </c>
      <c r="H8651" s="1">
        <v>3</v>
      </c>
      <c r="I8651" s="1">
        <v>-20.090399999999999</v>
      </c>
    </row>
    <row r="8652" spans="1:9" x14ac:dyDescent="0.35">
      <c r="A8652" s="3" t="s">
        <v>3434</v>
      </c>
      <c r="B8652" s="1" t="s">
        <v>993</v>
      </c>
      <c r="C8652" s="1" t="s">
        <v>47</v>
      </c>
      <c r="D8652" s="1" t="s">
        <v>48</v>
      </c>
      <c r="E8652" s="1" t="s">
        <v>137</v>
      </c>
      <c r="F8652" s="2" t="s">
        <v>2839</v>
      </c>
      <c r="G8652" s="1">
        <v>5.7</v>
      </c>
      <c r="H8652" s="1">
        <v>5</v>
      </c>
      <c r="I8652" s="1">
        <v>2.6789999999999998</v>
      </c>
    </row>
    <row r="8653" spans="1:9" x14ac:dyDescent="0.35">
      <c r="A8653" s="3" t="s">
        <v>3434</v>
      </c>
      <c r="B8653" s="1" t="s">
        <v>993</v>
      </c>
      <c r="C8653" s="1" t="s">
        <v>47</v>
      </c>
      <c r="D8653" s="1" t="s">
        <v>48</v>
      </c>
      <c r="E8653" s="1" t="s">
        <v>29</v>
      </c>
      <c r="F8653" s="2" t="s">
        <v>543</v>
      </c>
      <c r="G8653" s="1">
        <v>14.19</v>
      </c>
      <c r="H8653" s="1">
        <v>3</v>
      </c>
      <c r="I8653" s="1">
        <v>5.5340999999999996</v>
      </c>
    </row>
    <row r="8654" spans="1:9" x14ac:dyDescent="0.35">
      <c r="A8654" s="3" t="s">
        <v>3434</v>
      </c>
      <c r="B8654" s="1" t="s">
        <v>993</v>
      </c>
      <c r="C8654" s="1" t="s">
        <v>47</v>
      </c>
      <c r="D8654" s="1" t="s">
        <v>48</v>
      </c>
      <c r="E8654" s="1" t="s">
        <v>289</v>
      </c>
      <c r="F8654" s="2" t="s">
        <v>898</v>
      </c>
      <c r="G8654" s="1">
        <v>7.3</v>
      </c>
      <c r="H8654" s="1">
        <v>2</v>
      </c>
      <c r="I8654" s="1">
        <v>2.19</v>
      </c>
    </row>
    <row r="8655" spans="1:9" x14ac:dyDescent="0.35">
      <c r="A8655" s="3" t="s">
        <v>3434</v>
      </c>
      <c r="B8655" s="1" t="s">
        <v>993</v>
      </c>
      <c r="C8655" s="1" t="s">
        <v>47</v>
      </c>
      <c r="D8655" s="1" t="s">
        <v>48</v>
      </c>
      <c r="E8655" s="1" t="s">
        <v>81</v>
      </c>
      <c r="F8655" s="2" t="s">
        <v>1044</v>
      </c>
      <c r="G8655" s="1">
        <v>199.98</v>
      </c>
      <c r="H8655" s="1">
        <v>2</v>
      </c>
      <c r="I8655" s="1">
        <v>75.992400000000004</v>
      </c>
    </row>
    <row r="8656" spans="1:9" x14ac:dyDescent="0.35">
      <c r="A8656" s="3" t="s">
        <v>3434</v>
      </c>
      <c r="B8656" s="1" t="s">
        <v>993</v>
      </c>
      <c r="C8656" s="1" t="s">
        <v>47</v>
      </c>
      <c r="D8656" s="1" t="s">
        <v>48</v>
      </c>
      <c r="E8656" s="1" t="s">
        <v>81</v>
      </c>
      <c r="F8656" s="2" t="s">
        <v>2531</v>
      </c>
      <c r="G8656" s="1">
        <v>144.96</v>
      </c>
      <c r="H8656" s="1">
        <v>4</v>
      </c>
      <c r="I8656" s="1">
        <v>60.883200000000002</v>
      </c>
    </row>
    <row r="8657" spans="1:9" x14ac:dyDescent="0.35">
      <c r="A8657" s="3" t="s">
        <v>3434</v>
      </c>
      <c r="B8657" s="1" t="s">
        <v>993</v>
      </c>
      <c r="C8657" s="1" t="s">
        <v>47</v>
      </c>
      <c r="D8657" s="1" t="s">
        <v>48</v>
      </c>
      <c r="E8657" s="1" t="s">
        <v>81</v>
      </c>
      <c r="F8657" s="2" t="s">
        <v>1699</v>
      </c>
      <c r="G8657" s="1">
        <v>118</v>
      </c>
      <c r="H8657" s="1">
        <v>2</v>
      </c>
      <c r="I8657" s="1">
        <v>20.059999999999999</v>
      </c>
    </row>
    <row r="8658" spans="1:9" x14ac:dyDescent="0.35">
      <c r="A8658" s="3" t="s">
        <v>3434</v>
      </c>
      <c r="B8658" s="1" t="s">
        <v>993</v>
      </c>
      <c r="C8658" s="1" t="s">
        <v>47</v>
      </c>
      <c r="D8658" s="1" t="s">
        <v>48</v>
      </c>
      <c r="E8658" s="1" t="s">
        <v>44</v>
      </c>
      <c r="F8658" s="2" t="s">
        <v>2387</v>
      </c>
      <c r="G8658" s="1">
        <v>48.94</v>
      </c>
      <c r="H8658" s="1">
        <v>1</v>
      </c>
      <c r="I8658" s="1">
        <v>24.47</v>
      </c>
    </row>
    <row r="8659" spans="1:9" x14ac:dyDescent="0.35">
      <c r="A8659" s="3" t="s">
        <v>3434</v>
      </c>
      <c r="B8659" s="1" t="s">
        <v>993</v>
      </c>
      <c r="C8659" s="1" t="s">
        <v>47</v>
      </c>
      <c r="D8659" s="1" t="s">
        <v>48</v>
      </c>
      <c r="E8659" s="1" t="s">
        <v>37</v>
      </c>
      <c r="F8659" s="2" t="s">
        <v>1988</v>
      </c>
      <c r="G8659" s="1">
        <v>22.66</v>
      </c>
      <c r="H8659" s="1">
        <v>2</v>
      </c>
      <c r="I8659" s="1">
        <v>9.7438000000000002</v>
      </c>
    </row>
    <row r="8660" spans="1:9" x14ac:dyDescent="0.35">
      <c r="A8660" s="3" t="s">
        <v>3623</v>
      </c>
      <c r="B8660" s="1" t="s">
        <v>175</v>
      </c>
      <c r="C8660" s="1" t="s">
        <v>154</v>
      </c>
      <c r="D8660" s="1" t="s">
        <v>106</v>
      </c>
      <c r="E8660" s="1" t="s">
        <v>35</v>
      </c>
      <c r="F8660" s="2" t="s">
        <v>1379</v>
      </c>
      <c r="G8660" s="1">
        <v>0.83599999999999997</v>
      </c>
      <c r="H8660" s="1">
        <v>1</v>
      </c>
      <c r="I8660" s="1">
        <v>-1.3375999999999999</v>
      </c>
    </row>
    <row r="8661" spans="1:9" x14ac:dyDescent="0.35">
      <c r="A8661" s="3">
        <v>42438</v>
      </c>
      <c r="B8661" s="1" t="s">
        <v>2112</v>
      </c>
      <c r="C8661" s="1" t="s">
        <v>485</v>
      </c>
      <c r="D8661" s="1" t="s">
        <v>250</v>
      </c>
      <c r="E8661" s="1" t="s">
        <v>44</v>
      </c>
      <c r="F8661" s="2" t="s">
        <v>2333</v>
      </c>
      <c r="G8661" s="1">
        <v>30.96</v>
      </c>
      <c r="H8661" s="1">
        <v>6</v>
      </c>
      <c r="I8661" s="1">
        <v>11.223000000000001</v>
      </c>
    </row>
    <row r="8662" spans="1:9" x14ac:dyDescent="0.35">
      <c r="A8662" s="3" t="s">
        <v>3462</v>
      </c>
      <c r="B8662" s="1" t="s">
        <v>1841</v>
      </c>
      <c r="C8662" s="1" t="s">
        <v>22</v>
      </c>
      <c r="D8662" s="1" t="s">
        <v>23</v>
      </c>
      <c r="E8662" s="1" t="s">
        <v>12</v>
      </c>
      <c r="F8662" s="2" t="s">
        <v>1848</v>
      </c>
      <c r="G8662" s="1">
        <v>723.92</v>
      </c>
      <c r="H8662" s="1">
        <v>5</v>
      </c>
      <c r="I8662" s="1">
        <v>-81.441000000000003</v>
      </c>
    </row>
    <row r="8663" spans="1:9" x14ac:dyDescent="0.35">
      <c r="A8663" s="3">
        <v>42343</v>
      </c>
      <c r="B8663" s="1" t="s">
        <v>1796</v>
      </c>
      <c r="C8663" s="1" t="s">
        <v>93</v>
      </c>
      <c r="D8663" s="1" t="s">
        <v>52</v>
      </c>
      <c r="E8663" s="1" t="s">
        <v>29</v>
      </c>
      <c r="F8663" s="2" t="s">
        <v>2746</v>
      </c>
      <c r="G8663" s="1">
        <v>21.968</v>
      </c>
      <c r="H8663" s="1">
        <v>4</v>
      </c>
      <c r="I8663" s="1">
        <v>-15.9268</v>
      </c>
    </row>
    <row r="8664" spans="1:9" x14ac:dyDescent="0.35">
      <c r="A8664" s="3">
        <v>42343</v>
      </c>
      <c r="B8664" s="1" t="s">
        <v>1796</v>
      </c>
      <c r="C8664" s="1" t="s">
        <v>93</v>
      </c>
      <c r="D8664" s="1" t="s">
        <v>52</v>
      </c>
      <c r="E8664" s="1" t="s">
        <v>33</v>
      </c>
      <c r="F8664" s="2" t="s">
        <v>1609</v>
      </c>
      <c r="G8664" s="1">
        <v>619.15200000000004</v>
      </c>
      <c r="H8664" s="1">
        <v>6</v>
      </c>
      <c r="I8664" s="1">
        <v>69.654600000000002</v>
      </c>
    </row>
    <row r="8665" spans="1:9" x14ac:dyDescent="0.35">
      <c r="A8665" s="3">
        <v>42343</v>
      </c>
      <c r="B8665" s="1" t="s">
        <v>1796</v>
      </c>
      <c r="C8665" s="1" t="s">
        <v>93</v>
      </c>
      <c r="D8665" s="1" t="s">
        <v>52</v>
      </c>
      <c r="E8665" s="1" t="s">
        <v>44</v>
      </c>
      <c r="F8665" s="2" t="s">
        <v>1062</v>
      </c>
      <c r="G8665" s="1">
        <v>127.904</v>
      </c>
      <c r="H8665" s="1">
        <v>7</v>
      </c>
      <c r="I8665" s="1">
        <v>41.568800000000003</v>
      </c>
    </row>
    <row r="8666" spans="1:9" x14ac:dyDescent="0.35">
      <c r="A8666" s="3" t="s">
        <v>3565</v>
      </c>
      <c r="B8666" s="1" t="s">
        <v>1020</v>
      </c>
      <c r="C8666" s="1" t="s">
        <v>536</v>
      </c>
      <c r="D8666" s="1" t="s">
        <v>18</v>
      </c>
      <c r="E8666" s="1" t="s">
        <v>29</v>
      </c>
      <c r="F8666" s="2" t="s">
        <v>1928</v>
      </c>
      <c r="G8666" s="1">
        <v>94.2</v>
      </c>
      <c r="H8666" s="1">
        <v>5</v>
      </c>
      <c r="I8666" s="1">
        <v>39.564</v>
      </c>
    </row>
    <row r="8667" spans="1:9" x14ac:dyDescent="0.35">
      <c r="A8667" s="3" t="s">
        <v>3613</v>
      </c>
      <c r="B8667" s="1" t="s">
        <v>2566</v>
      </c>
      <c r="C8667" s="1" t="s">
        <v>64</v>
      </c>
      <c r="D8667" s="1" t="s">
        <v>18</v>
      </c>
      <c r="E8667" s="1" t="s">
        <v>289</v>
      </c>
      <c r="F8667" s="2" t="s">
        <v>991</v>
      </c>
      <c r="G8667" s="1">
        <v>49.5</v>
      </c>
      <c r="H8667" s="1">
        <v>5</v>
      </c>
      <c r="I8667" s="1">
        <v>13.365</v>
      </c>
    </row>
    <row r="8668" spans="1:9" x14ac:dyDescent="0.35">
      <c r="A8668" s="3" t="s">
        <v>3507</v>
      </c>
      <c r="B8668" s="1" t="s">
        <v>3098</v>
      </c>
      <c r="C8668" s="1" t="s">
        <v>74</v>
      </c>
      <c r="D8668" s="1" t="s">
        <v>75</v>
      </c>
      <c r="E8668" s="1" t="s">
        <v>31</v>
      </c>
      <c r="F8668" s="2" t="s">
        <v>2602</v>
      </c>
      <c r="G8668" s="1">
        <v>16.52</v>
      </c>
      <c r="H8668" s="1">
        <v>5</v>
      </c>
      <c r="I8668" s="1">
        <v>1.6519999999999999</v>
      </c>
    </row>
    <row r="8669" spans="1:9" x14ac:dyDescent="0.35">
      <c r="A8669" s="3" t="s">
        <v>3820</v>
      </c>
      <c r="B8669" s="1" t="s">
        <v>1859</v>
      </c>
      <c r="C8669" s="1" t="s">
        <v>47</v>
      </c>
      <c r="D8669" s="1" t="s">
        <v>48</v>
      </c>
      <c r="E8669" s="1" t="s">
        <v>35</v>
      </c>
      <c r="F8669" s="2" t="s">
        <v>334</v>
      </c>
      <c r="G8669" s="1">
        <v>55.36</v>
      </c>
      <c r="H8669" s="1">
        <v>4</v>
      </c>
      <c r="I8669" s="1">
        <v>19.376000000000001</v>
      </c>
    </row>
    <row r="8670" spans="1:9" x14ac:dyDescent="0.35">
      <c r="A8670" s="3" t="s">
        <v>3820</v>
      </c>
      <c r="B8670" s="1" t="s">
        <v>1859</v>
      </c>
      <c r="C8670" s="1" t="s">
        <v>47</v>
      </c>
      <c r="D8670" s="1" t="s">
        <v>48</v>
      </c>
      <c r="E8670" s="1" t="s">
        <v>338</v>
      </c>
      <c r="F8670" s="2" t="s">
        <v>2834</v>
      </c>
      <c r="G8670" s="1">
        <v>11.56</v>
      </c>
      <c r="H8670" s="1">
        <v>1</v>
      </c>
      <c r="I8670" s="1">
        <v>3.7570000000000001</v>
      </c>
    </row>
    <row r="8671" spans="1:9" x14ac:dyDescent="0.35">
      <c r="A8671" s="3" t="s">
        <v>3538</v>
      </c>
      <c r="B8671" s="1" t="s">
        <v>1718</v>
      </c>
      <c r="C8671" s="1" t="s">
        <v>17</v>
      </c>
      <c r="D8671" s="1" t="s">
        <v>18</v>
      </c>
      <c r="E8671" s="1" t="s">
        <v>44</v>
      </c>
      <c r="F8671" s="2" t="s">
        <v>94</v>
      </c>
      <c r="G8671" s="1">
        <v>17.12</v>
      </c>
      <c r="H8671" s="1">
        <v>4</v>
      </c>
      <c r="I8671" s="1">
        <v>7.7039999999999997</v>
      </c>
    </row>
    <row r="8672" spans="1:9" x14ac:dyDescent="0.35">
      <c r="A8672" s="3" t="s">
        <v>3310</v>
      </c>
      <c r="B8672" s="1" t="s">
        <v>205</v>
      </c>
      <c r="C8672" s="1" t="s">
        <v>994</v>
      </c>
      <c r="D8672" s="1" t="s">
        <v>250</v>
      </c>
      <c r="E8672" s="1" t="s">
        <v>29</v>
      </c>
      <c r="F8672" s="2" t="s">
        <v>2659</v>
      </c>
      <c r="G8672" s="1">
        <v>182.352</v>
      </c>
      <c r="H8672" s="1">
        <v>3</v>
      </c>
      <c r="I8672" s="1">
        <v>-18.235199999999999</v>
      </c>
    </row>
    <row r="8673" spans="1:9" x14ac:dyDescent="0.35">
      <c r="A8673" s="3" t="s">
        <v>3310</v>
      </c>
      <c r="B8673" s="1" t="s">
        <v>205</v>
      </c>
      <c r="C8673" s="1" t="s">
        <v>994</v>
      </c>
      <c r="D8673" s="1" t="s">
        <v>250</v>
      </c>
      <c r="E8673" s="1" t="s">
        <v>26</v>
      </c>
      <c r="F8673" s="2" t="s">
        <v>471</v>
      </c>
      <c r="G8673" s="1">
        <v>118.16</v>
      </c>
      <c r="H8673" s="1">
        <v>2</v>
      </c>
      <c r="I8673" s="1">
        <v>-25.109000000000002</v>
      </c>
    </row>
    <row r="8674" spans="1:9" x14ac:dyDescent="0.35">
      <c r="A8674" s="3" t="s">
        <v>3448</v>
      </c>
      <c r="B8674" s="1" t="s">
        <v>2007</v>
      </c>
      <c r="C8674" s="1" t="s">
        <v>181</v>
      </c>
      <c r="D8674" s="1" t="s">
        <v>106</v>
      </c>
      <c r="E8674" s="1" t="s">
        <v>137</v>
      </c>
      <c r="F8674" s="2" t="s">
        <v>523</v>
      </c>
      <c r="G8674" s="1">
        <v>18.367999999999999</v>
      </c>
      <c r="H8674" s="1">
        <v>2</v>
      </c>
      <c r="I8674" s="1">
        <v>6.1992000000000003</v>
      </c>
    </row>
    <row r="8675" spans="1:9" x14ac:dyDescent="0.35">
      <c r="A8675" s="3" t="s">
        <v>3448</v>
      </c>
      <c r="B8675" s="1" t="s">
        <v>2007</v>
      </c>
      <c r="C8675" s="1" t="s">
        <v>181</v>
      </c>
      <c r="D8675" s="1" t="s">
        <v>106</v>
      </c>
      <c r="E8675" s="1" t="s">
        <v>14</v>
      </c>
      <c r="F8675" s="2" t="s">
        <v>267</v>
      </c>
      <c r="G8675" s="1">
        <v>600.55799999999999</v>
      </c>
      <c r="H8675" s="1">
        <v>3</v>
      </c>
      <c r="I8675" s="1">
        <v>-8.5793999999999997</v>
      </c>
    </row>
    <row r="8676" spans="1:9" x14ac:dyDescent="0.35">
      <c r="A8676" s="3" t="s">
        <v>3448</v>
      </c>
      <c r="B8676" s="1" t="s">
        <v>2007</v>
      </c>
      <c r="C8676" s="1" t="s">
        <v>181</v>
      </c>
      <c r="D8676" s="1" t="s">
        <v>106</v>
      </c>
      <c r="E8676" s="1" t="s">
        <v>26</v>
      </c>
      <c r="F8676" s="2" t="s">
        <v>407</v>
      </c>
      <c r="G8676" s="1">
        <v>50.351999999999997</v>
      </c>
      <c r="H8676" s="1">
        <v>3</v>
      </c>
      <c r="I8676" s="1">
        <v>-8.1821999999999999</v>
      </c>
    </row>
    <row r="8677" spans="1:9" x14ac:dyDescent="0.35">
      <c r="A8677" s="3" t="s">
        <v>3448</v>
      </c>
      <c r="B8677" s="1" t="s">
        <v>2007</v>
      </c>
      <c r="C8677" s="1" t="s">
        <v>181</v>
      </c>
      <c r="D8677" s="1" t="s">
        <v>106</v>
      </c>
      <c r="E8677" s="1" t="s">
        <v>31</v>
      </c>
      <c r="F8677" s="2" t="s">
        <v>915</v>
      </c>
      <c r="G8677" s="1">
        <v>28.032</v>
      </c>
      <c r="H8677" s="1">
        <v>6</v>
      </c>
      <c r="I8677" s="1">
        <v>3.504</v>
      </c>
    </row>
    <row r="8678" spans="1:9" x14ac:dyDescent="0.35">
      <c r="A8678" s="3" t="s">
        <v>3448</v>
      </c>
      <c r="B8678" s="1" t="s">
        <v>2007</v>
      </c>
      <c r="C8678" s="1" t="s">
        <v>181</v>
      </c>
      <c r="D8678" s="1" t="s">
        <v>106</v>
      </c>
      <c r="E8678" s="1" t="s">
        <v>29</v>
      </c>
      <c r="F8678" s="2" t="s">
        <v>2312</v>
      </c>
      <c r="G8678" s="1">
        <v>7.6920000000000002</v>
      </c>
      <c r="H8678" s="1">
        <v>1</v>
      </c>
      <c r="I8678" s="1">
        <v>-3.6537000000000002</v>
      </c>
    </row>
    <row r="8679" spans="1:9" x14ac:dyDescent="0.35">
      <c r="A8679" s="3" t="s">
        <v>3824</v>
      </c>
      <c r="B8679" s="1" t="s">
        <v>567</v>
      </c>
      <c r="C8679" s="1" t="s">
        <v>3099</v>
      </c>
      <c r="D8679" s="1" t="s">
        <v>52</v>
      </c>
      <c r="E8679" s="1" t="s">
        <v>24</v>
      </c>
      <c r="F8679" s="2" t="s">
        <v>1862</v>
      </c>
      <c r="G8679" s="1">
        <v>517.40499999999997</v>
      </c>
      <c r="H8679" s="1">
        <v>5</v>
      </c>
      <c r="I8679" s="1">
        <v>-81.3065</v>
      </c>
    </row>
    <row r="8680" spans="1:9" x14ac:dyDescent="0.35">
      <c r="A8680" s="3">
        <v>42409</v>
      </c>
      <c r="B8680" s="1" t="s">
        <v>1049</v>
      </c>
      <c r="C8680" s="1" t="s">
        <v>93</v>
      </c>
      <c r="D8680" s="1" t="s">
        <v>52</v>
      </c>
      <c r="E8680" s="1" t="s">
        <v>35</v>
      </c>
      <c r="F8680" s="2" t="s">
        <v>1118</v>
      </c>
      <c r="G8680" s="1">
        <v>8.6080000000000005</v>
      </c>
      <c r="H8680" s="1">
        <v>8</v>
      </c>
      <c r="I8680" s="1">
        <v>-13.3424</v>
      </c>
    </row>
    <row r="8681" spans="1:9" x14ac:dyDescent="0.35">
      <c r="A8681" s="3">
        <v>42409</v>
      </c>
      <c r="B8681" s="1" t="s">
        <v>1049</v>
      </c>
      <c r="C8681" s="1" t="s">
        <v>93</v>
      </c>
      <c r="D8681" s="1" t="s">
        <v>52</v>
      </c>
      <c r="E8681" s="1" t="s">
        <v>81</v>
      </c>
      <c r="F8681" s="2" t="s">
        <v>1195</v>
      </c>
      <c r="G8681" s="1">
        <v>159.56</v>
      </c>
      <c r="H8681" s="1">
        <v>5</v>
      </c>
      <c r="I8681" s="1">
        <v>33.906500000000001</v>
      </c>
    </row>
    <row r="8682" spans="1:9" x14ac:dyDescent="0.35">
      <c r="A8682" s="3">
        <v>42381</v>
      </c>
      <c r="B8682" s="1" t="s">
        <v>291</v>
      </c>
      <c r="C8682" s="1" t="s">
        <v>693</v>
      </c>
      <c r="D8682" s="1" t="s">
        <v>163</v>
      </c>
      <c r="E8682" s="1" t="s">
        <v>37</v>
      </c>
      <c r="F8682" s="2" t="s">
        <v>457</v>
      </c>
      <c r="G8682" s="1">
        <v>2104.5500000000002</v>
      </c>
      <c r="H8682" s="1">
        <v>7</v>
      </c>
      <c r="I8682" s="1">
        <v>694.50149999999996</v>
      </c>
    </row>
    <row r="8683" spans="1:9" x14ac:dyDescent="0.35">
      <c r="A8683" s="3">
        <v>42381</v>
      </c>
      <c r="B8683" s="1" t="s">
        <v>291</v>
      </c>
      <c r="C8683" s="1" t="s">
        <v>693</v>
      </c>
      <c r="D8683" s="1" t="s">
        <v>163</v>
      </c>
      <c r="E8683" s="1" t="s">
        <v>289</v>
      </c>
      <c r="F8683" s="2" t="s">
        <v>1056</v>
      </c>
      <c r="G8683" s="1">
        <v>40.700000000000003</v>
      </c>
      <c r="H8683" s="1">
        <v>5</v>
      </c>
      <c r="I8683" s="1">
        <v>11.803000000000001</v>
      </c>
    </row>
    <row r="8684" spans="1:9" x14ac:dyDescent="0.35">
      <c r="A8684" s="3">
        <v>41770</v>
      </c>
      <c r="B8684" s="1" t="s">
        <v>981</v>
      </c>
      <c r="C8684" s="1" t="s">
        <v>540</v>
      </c>
      <c r="D8684" s="1" t="s">
        <v>163</v>
      </c>
      <c r="E8684" s="1" t="s">
        <v>81</v>
      </c>
      <c r="F8684" s="2" t="s">
        <v>2259</v>
      </c>
      <c r="G8684" s="1">
        <v>47.79</v>
      </c>
      <c r="H8684" s="1">
        <v>3</v>
      </c>
      <c r="I8684" s="1">
        <v>16.2486</v>
      </c>
    </row>
    <row r="8685" spans="1:9" x14ac:dyDescent="0.35">
      <c r="A8685" s="3" t="s">
        <v>3462</v>
      </c>
      <c r="B8685" s="1" t="s">
        <v>1295</v>
      </c>
      <c r="C8685" s="1" t="s">
        <v>64</v>
      </c>
      <c r="D8685" s="1" t="s">
        <v>18</v>
      </c>
      <c r="E8685" s="1" t="s">
        <v>31</v>
      </c>
      <c r="F8685" s="2" t="s">
        <v>1186</v>
      </c>
      <c r="G8685" s="1">
        <v>5.16</v>
      </c>
      <c r="H8685" s="1">
        <v>2</v>
      </c>
      <c r="I8685" s="1">
        <v>1.3415999999999999</v>
      </c>
    </row>
    <row r="8686" spans="1:9" x14ac:dyDescent="0.35">
      <c r="A8686" s="3" t="s">
        <v>3704</v>
      </c>
      <c r="B8686" s="1" t="s">
        <v>750</v>
      </c>
      <c r="C8686" s="1" t="s">
        <v>461</v>
      </c>
      <c r="D8686" s="1" t="s">
        <v>18</v>
      </c>
      <c r="E8686" s="1" t="s">
        <v>81</v>
      </c>
      <c r="F8686" s="2" t="s">
        <v>775</v>
      </c>
      <c r="G8686" s="1">
        <v>21.21</v>
      </c>
      <c r="H8686" s="1">
        <v>7</v>
      </c>
      <c r="I8686" s="1">
        <v>4.4541000000000004</v>
      </c>
    </row>
    <row r="8687" spans="1:9" x14ac:dyDescent="0.35">
      <c r="A8687" s="3" t="s">
        <v>3621</v>
      </c>
      <c r="B8687" s="1" t="s">
        <v>1662</v>
      </c>
      <c r="C8687" s="1" t="s">
        <v>1741</v>
      </c>
      <c r="D8687" s="1" t="s">
        <v>136</v>
      </c>
      <c r="E8687" s="1" t="s">
        <v>26</v>
      </c>
      <c r="F8687" s="2" t="s">
        <v>2029</v>
      </c>
      <c r="G8687" s="1">
        <v>96.36</v>
      </c>
      <c r="H8687" s="1">
        <v>6</v>
      </c>
      <c r="I8687" s="1">
        <v>25.053599999999999</v>
      </c>
    </row>
    <row r="8688" spans="1:9" x14ac:dyDescent="0.35">
      <c r="A8688" s="3" t="s">
        <v>3479</v>
      </c>
      <c r="B8688" s="1" t="s">
        <v>1252</v>
      </c>
      <c r="C8688" s="1" t="s">
        <v>17</v>
      </c>
      <c r="D8688" s="1" t="s">
        <v>18</v>
      </c>
      <c r="E8688" s="1" t="s">
        <v>289</v>
      </c>
      <c r="F8688" s="2" t="s">
        <v>753</v>
      </c>
      <c r="G8688" s="1">
        <v>231.72</v>
      </c>
      <c r="H8688" s="1">
        <v>2</v>
      </c>
      <c r="I8688" s="1">
        <v>11.586</v>
      </c>
    </row>
    <row r="8689" spans="1:9" x14ac:dyDescent="0.35">
      <c r="A8689" s="3" t="s">
        <v>3479</v>
      </c>
      <c r="B8689" s="1" t="s">
        <v>1252</v>
      </c>
      <c r="C8689" s="1" t="s">
        <v>17</v>
      </c>
      <c r="D8689" s="1" t="s">
        <v>18</v>
      </c>
      <c r="E8689" s="1" t="s">
        <v>137</v>
      </c>
      <c r="F8689" s="2" t="s">
        <v>560</v>
      </c>
      <c r="G8689" s="1">
        <v>17.899999999999999</v>
      </c>
      <c r="H8689" s="1">
        <v>5</v>
      </c>
      <c r="I8689" s="1">
        <v>8.9499999999999993</v>
      </c>
    </row>
    <row r="8690" spans="1:9" x14ac:dyDescent="0.35">
      <c r="A8690" s="3" t="s">
        <v>3479</v>
      </c>
      <c r="B8690" s="1" t="s">
        <v>1252</v>
      </c>
      <c r="C8690" s="1" t="s">
        <v>17</v>
      </c>
      <c r="D8690" s="1" t="s">
        <v>18</v>
      </c>
      <c r="E8690" s="1" t="s">
        <v>44</v>
      </c>
      <c r="F8690" s="2" t="s">
        <v>1528</v>
      </c>
      <c r="G8690" s="1">
        <v>12.48</v>
      </c>
      <c r="H8690" s="1">
        <v>2</v>
      </c>
      <c r="I8690" s="1">
        <v>5.6159999999999997</v>
      </c>
    </row>
    <row r="8691" spans="1:9" x14ac:dyDescent="0.35">
      <c r="A8691" s="3" t="s">
        <v>3176</v>
      </c>
      <c r="B8691" s="1" t="s">
        <v>2426</v>
      </c>
      <c r="C8691" s="1" t="s">
        <v>74</v>
      </c>
      <c r="D8691" s="1" t="s">
        <v>75</v>
      </c>
      <c r="E8691" s="1" t="s">
        <v>31</v>
      </c>
      <c r="F8691" s="2" t="s">
        <v>2005</v>
      </c>
      <c r="G8691" s="1">
        <v>8.016</v>
      </c>
      <c r="H8691" s="1">
        <v>3</v>
      </c>
      <c r="I8691" s="1">
        <v>1.1022000000000001</v>
      </c>
    </row>
    <row r="8692" spans="1:9" x14ac:dyDescent="0.35">
      <c r="A8692" s="3" t="s">
        <v>3641</v>
      </c>
      <c r="B8692" s="1" t="s">
        <v>313</v>
      </c>
      <c r="C8692" s="1" t="s">
        <v>392</v>
      </c>
      <c r="D8692" s="1" t="s">
        <v>250</v>
      </c>
      <c r="E8692" s="1" t="s">
        <v>33</v>
      </c>
      <c r="F8692" s="2" t="s">
        <v>1702</v>
      </c>
      <c r="G8692" s="1">
        <v>259.89600000000002</v>
      </c>
      <c r="H8692" s="1">
        <v>2</v>
      </c>
      <c r="I8692" s="1">
        <v>-56.3108</v>
      </c>
    </row>
    <row r="8693" spans="1:9" x14ac:dyDescent="0.35">
      <c r="A8693" s="3" t="s">
        <v>3641</v>
      </c>
      <c r="B8693" s="1" t="s">
        <v>313</v>
      </c>
      <c r="C8693" s="1" t="s">
        <v>392</v>
      </c>
      <c r="D8693" s="1" t="s">
        <v>250</v>
      </c>
      <c r="E8693" s="1" t="s">
        <v>33</v>
      </c>
      <c r="F8693" s="2" t="s">
        <v>1308</v>
      </c>
      <c r="G8693" s="1">
        <v>247.18799999999999</v>
      </c>
      <c r="H8693" s="1">
        <v>2</v>
      </c>
      <c r="I8693" s="1">
        <v>-49.437600000000003</v>
      </c>
    </row>
    <row r="8694" spans="1:9" x14ac:dyDescent="0.35">
      <c r="A8694" s="3" t="s">
        <v>3641</v>
      </c>
      <c r="B8694" s="1" t="s">
        <v>313</v>
      </c>
      <c r="C8694" s="1" t="s">
        <v>392</v>
      </c>
      <c r="D8694" s="1" t="s">
        <v>250</v>
      </c>
      <c r="E8694" s="1" t="s">
        <v>81</v>
      </c>
      <c r="F8694" s="2" t="s">
        <v>2508</v>
      </c>
      <c r="G8694" s="1">
        <v>279.95999999999998</v>
      </c>
      <c r="H8694" s="1">
        <v>5</v>
      </c>
      <c r="I8694" s="1">
        <v>48.993000000000002</v>
      </c>
    </row>
    <row r="8695" spans="1:9" x14ac:dyDescent="0.35">
      <c r="A8695" s="3" t="s">
        <v>3663</v>
      </c>
      <c r="B8695" s="1" t="s">
        <v>1859</v>
      </c>
      <c r="C8695" s="1" t="s">
        <v>64</v>
      </c>
      <c r="D8695" s="1" t="s">
        <v>18</v>
      </c>
      <c r="E8695" s="1" t="s">
        <v>81</v>
      </c>
      <c r="F8695" s="2" t="s">
        <v>557</v>
      </c>
      <c r="G8695" s="1">
        <v>450</v>
      </c>
      <c r="H8695" s="1">
        <v>5</v>
      </c>
      <c r="I8695" s="1">
        <v>162</v>
      </c>
    </row>
    <row r="8696" spans="1:9" x14ac:dyDescent="0.35">
      <c r="A8696" s="3" t="s">
        <v>3739</v>
      </c>
      <c r="B8696" s="1" t="s">
        <v>535</v>
      </c>
      <c r="C8696" s="1" t="s">
        <v>2520</v>
      </c>
      <c r="D8696" s="1" t="s">
        <v>120</v>
      </c>
      <c r="E8696" s="1" t="s">
        <v>44</v>
      </c>
      <c r="F8696" s="2" t="s">
        <v>974</v>
      </c>
      <c r="G8696" s="1">
        <v>19.440000000000001</v>
      </c>
      <c r="H8696" s="1">
        <v>3</v>
      </c>
      <c r="I8696" s="1">
        <v>9.5256000000000007</v>
      </c>
    </row>
    <row r="8697" spans="1:9" x14ac:dyDescent="0.35">
      <c r="A8697" s="3" t="s">
        <v>3687</v>
      </c>
      <c r="B8697" s="1" t="s">
        <v>191</v>
      </c>
      <c r="C8697" s="1" t="s">
        <v>64</v>
      </c>
      <c r="D8697" s="1" t="s">
        <v>18</v>
      </c>
      <c r="E8697" s="1" t="s">
        <v>24</v>
      </c>
      <c r="F8697" s="2" t="s">
        <v>440</v>
      </c>
      <c r="G8697" s="1">
        <v>300.904</v>
      </c>
      <c r="H8697" s="1">
        <v>1</v>
      </c>
      <c r="I8697" s="1">
        <v>11.283899999999999</v>
      </c>
    </row>
    <row r="8698" spans="1:9" x14ac:dyDescent="0.35">
      <c r="A8698" s="3" t="s">
        <v>3282</v>
      </c>
      <c r="B8698" s="1" t="s">
        <v>547</v>
      </c>
      <c r="C8698" s="1" t="s">
        <v>2272</v>
      </c>
      <c r="D8698" s="1" t="s">
        <v>171</v>
      </c>
      <c r="E8698" s="1" t="s">
        <v>33</v>
      </c>
      <c r="F8698" s="2" t="s">
        <v>2121</v>
      </c>
      <c r="G8698" s="1">
        <v>239.976</v>
      </c>
      <c r="H8698" s="1">
        <v>3</v>
      </c>
      <c r="I8698" s="1">
        <v>26.997299999999999</v>
      </c>
    </row>
    <row r="8699" spans="1:9" x14ac:dyDescent="0.35">
      <c r="A8699" s="3" t="s">
        <v>3282</v>
      </c>
      <c r="B8699" s="1" t="s">
        <v>547</v>
      </c>
      <c r="C8699" s="1" t="s">
        <v>2272</v>
      </c>
      <c r="D8699" s="1" t="s">
        <v>171</v>
      </c>
      <c r="E8699" s="1" t="s">
        <v>29</v>
      </c>
      <c r="F8699" s="2" t="s">
        <v>449</v>
      </c>
      <c r="G8699" s="1">
        <v>31.167999999999999</v>
      </c>
      <c r="H8699" s="1">
        <v>4</v>
      </c>
      <c r="I8699" s="1">
        <v>9.3504000000000005</v>
      </c>
    </row>
    <row r="8700" spans="1:9" x14ac:dyDescent="0.35">
      <c r="A8700" s="3" t="s">
        <v>3282</v>
      </c>
      <c r="B8700" s="1" t="s">
        <v>547</v>
      </c>
      <c r="C8700" s="1" t="s">
        <v>2272</v>
      </c>
      <c r="D8700" s="1" t="s">
        <v>171</v>
      </c>
      <c r="E8700" s="1" t="s">
        <v>24</v>
      </c>
      <c r="F8700" s="2" t="s">
        <v>2544</v>
      </c>
      <c r="G8700" s="1">
        <v>120.96</v>
      </c>
      <c r="H8700" s="1">
        <v>2</v>
      </c>
      <c r="I8700" s="1">
        <v>-28.224</v>
      </c>
    </row>
    <row r="8701" spans="1:9" x14ac:dyDescent="0.35">
      <c r="A8701" s="3" t="s">
        <v>3282</v>
      </c>
      <c r="B8701" s="1" t="s">
        <v>547</v>
      </c>
      <c r="C8701" s="1" t="s">
        <v>2272</v>
      </c>
      <c r="D8701" s="1" t="s">
        <v>171</v>
      </c>
      <c r="E8701" s="1" t="s">
        <v>33</v>
      </c>
      <c r="F8701" s="2" t="s">
        <v>1297</v>
      </c>
      <c r="G8701" s="1">
        <v>2239.9360000000001</v>
      </c>
      <c r="H8701" s="1">
        <v>8</v>
      </c>
      <c r="I8701" s="1">
        <v>223.99359999999999</v>
      </c>
    </row>
    <row r="8702" spans="1:9" x14ac:dyDescent="0.35">
      <c r="A8702" s="3" t="s">
        <v>3282</v>
      </c>
      <c r="B8702" s="1" t="s">
        <v>547</v>
      </c>
      <c r="C8702" s="1" t="s">
        <v>2272</v>
      </c>
      <c r="D8702" s="1" t="s">
        <v>171</v>
      </c>
      <c r="E8702" s="1" t="s">
        <v>37</v>
      </c>
      <c r="F8702" s="2" t="s">
        <v>676</v>
      </c>
      <c r="G8702" s="1">
        <v>76.608000000000004</v>
      </c>
      <c r="H8702" s="1">
        <v>8</v>
      </c>
      <c r="I8702" s="1">
        <v>6.7031999999999998</v>
      </c>
    </row>
    <row r="8703" spans="1:9" x14ac:dyDescent="0.35">
      <c r="A8703" s="3" t="s">
        <v>3282</v>
      </c>
      <c r="B8703" s="1" t="s">
        <v>547</v>
      </c>
      <c r="C8703" s="1" t="s">
        <v>2272</v>
      </c>
      <c r="D8703" s="1" t="s">
        <v>171</v>
      </c>
      <c r="E8703" s="1" t="s">
        <v>26</v>
      </c>
      <c r="F8703" s="2" t="s">
        <v>925</v>
      </c>
      <c r="G8703" s="1">
        <v>142.77600000000001</v>
      </c>
      <c r="H8703" s="1">
        <v>1</v>
      </c>
      <c r="I8703" s="1">
        <v>17.847000000000001</v>
      </c>
    </row>
    <row r="8704" spans="1:9" x14ac:dyDescent="0.35">
      <c r="A8704" s="3" t="s">
        <v>3282</v>
      </c>
      <c r="B8704" s="1" t="s">
        <v>547</v>
      </c>
      <c r="C8704" s="1" t="s">
        <v>2272</v>
      </c>
      <c r="D8704" s="1" t="s">
        <v>171</v>
      </c>
      <c r="E8704" s="1" t="s">
        <v>44</v>
      </c>
      <c r="F8704" s="2" t="s">
        <v>3100</v>
      </c>
      <c r="G8704" s="1">
        <v>91.36</v>
      </c>
      <c r="H8704" s="1">
        <v>5</v>
      </c>
      <c r="I8704" s="1">
        <v>29.692</v>
      </c>
    </row>
    <row r="8705" spans="1:9" x14ac:dyDescent="0.35">
      <c r="A8705" s="3">
        <v>42007</v>
      </c>
      <c r="B8705" s="1" t="s">
        <v>993</v>
      </c>
      <c r="C8705" s="1" t="s">
        <v>74</v>
      </c>
      <c r="D8705" s="1" t="s">
        <v>75</v>
      </c>
      <c r="E8705" s="1" t="s">
        <v>37</v>
      </c>
      <c r="F8705" s="2" t="s">
        <v>1853</v>
      </c>
      <c r="G8705" s="1">
        <v>3.552</v>
      </c>
      <c r="H8705" s="1">
        <v>2</v>
      </c>
      <c r="I8705" s="1">
        <v>0.44400000000000001</v>
      </c>
    </row>
    <row r="8706" spans="1:9" x14ac:dyDescent="0.35">
      <c r="A8706" s="3" t="s">
        <v>3520</v>
      </c>
      <c r="B8706" s="1" t="s">
        <v>2090</v>
      </c>
      <c r="C8706" s="1" t="s">
        <v>93</v>
      </c>
      <c r="D8706" s="1" t="s">
        <v>52</v>
      </c>
      <c r="E8706" s="1" t="s">
        <v>33</v>
      </c>
      <c r="F8706" s="2" t="s">
        <v>2948</v>
      </c>
      <c r="G8706" s="1">
        <v>115.136</v>
      </c>
      <c r="H8706" s="1">
        <v>8</v>
      </c>
      <c r="I8706" s="1">
        <v>11.5136</v>
      </c>
    </row>
    <row r="8707" spans="1:9" x14ac:dyDescent="0.35">
      <c r="A8707" s="3">
        <v>41649</v>
      </c>
      <c r="B8707" s="1" t="s">
        <v>2734</v>
      </c>
      <c r="C8707" s="1" t="s">
        <v>1440</v>
      </c>
      <c r="D8707" s="1" t="s">
        <v>659</v>
      </c>
      <c r="E8707" s="1" t="s">
        <v>137</v>
      </c>
      <c r="F8707" s="2" t="s">
        <v>3083</v>
      </c>
      <c r="G8707" s="1">
        <v>4.71</v>
      </c>
      <c r="H8707" s="1">
        <v>1</v>
      </c>
      <c r="I8707" s="1">
        <v>0</v>
      </c>
    </row>
    <row r="8708" spans="1:9" x14ac:dyDescent="0.35">
      <c r="A8708" s="3">
        <v>41860</v>
      </c>
      <c r="B8708" s="1" t="s">
        <v>1626</v>
      </c>
      <c r="C8708" s="1" t="s">
        <v>135</v>
      </c>
      <c r="D8708" s="1" t="s">
        <v>136</v>
      </c>
      <c r="E8708" s="1" t="s">
        <v>14</v>
      </c>
      <c r="F8708" s="2" t="s">
        <v>1664</v>
      </c>
      <c r="G8708" s="1">
        <v>172.76400000000001</v>
      </c>
      <c r="H8708" s="1">
        <v>2</v>
      </c>
      <c r="I8708" s="1">
        <v>13.437200000000001</v>
      </c>
    </row>
    <row r="8709" spans="1:9" x14ac:dyDescent="0.35">
      <c r="A8709" s="3">
        <v>41860</v>
      </c>
      <c r="B8709" s="1" t="s">
        <v>1626</v>
      </c>
      <c r="C8709" s="1" t="s">
        <v>135</v>
      </c>
      <c r="D8709" s="1" t="s">
        <v>136</v>
      </c>
      <c r="E8709" s="1" t="s">
        <v>31</v>
      </c>
      <c r="F8709" s="2" t="s">
        <v>2111</v>
      </c>
      <c r="G8709" s="1">
        <v>3.52</v>
      </c>
      <c r="H8709" s="1">
        <v>2</v>
      </c>
      <c r="I8709" s="1">
        <v>1.6896</v>
      </c>
    </row>
    <row r="8710" spans="1:9" x14ac:dyDescent="0.35">
      <c r="A8710" s="3" t="s">
        <v>3449</v>
      </c>
      <c r="B8710" s="1" t="s">
        <v>966</v>
      </c>
      <c r="C8710" s="1" t="s">
        <v>17</v>
      </c>
      <c r="D8710" s="1" t="s">
        <v>18</v>
      </c>
      <c r="E8710" s="1" t="s">
        <v>33</v>
      </c>
      <c r="F8710" s="2" t="s">
        <v>1326</v>
      </c>
      <c r="G8710" s="1">
        <v>79.968000000000004</v>
      </c>
      <c r="H8710" s="1">
        <v>4</v>
      </c>
      <c r="I8710" s="1">
        <v>-17.992799999999999</v>
      </c>
    </row>
    <row r="8711" spans="1:9" x14ac:dyDescent="0.35">
      <c r="A8711" s="3" t="s">
        <v>3449</v>
      </c>
      <c r="B8711" s="1" t="s">
        <v>966</v>
      </c>
      <c r="C8711" s="1" t="s">
        <v>17</v>
      </c>
      <c r="D8711" s="1" t="s">
        <v>18</v>
      </c>
      <c r="E8711" s="1" t="s">
        <v>12</v>
      </c>
      <c r="F8711" s="2" t="s">
        <v>1015</v>
      </c>
      <c r="G8711" s="1">
        <v>305.97449999999998</v>
      </c>
      <c r="H8711" s="1">
        <v>3</v>
      </c>
      <c r="I8711" s="1">
        <v>25.197900000000001</v>
      </c>
    </row>
    <row r="8712" spans="1:9" x14ac:dyDescent="0.35">
      <c r="A8712" s="3" t="s">
        <v>3449</v>
      </c>
      <c r="B8712" s="1" t="s">
        <v>966</v>
      </c>
      <c r="C8712" s="1" t="s">
        <v>17</v>
      </c>
      <c r="D8712" s="1" t="s">
        <v>18</v>
      </c>
      <c r="E8712" s="1" t="s">
        <v>26</v>
      </c>
      <c r="F8712" s="2" t="s">
        <v>340</v>
      </c>
      <c r="G8712" s="1">
        <v>344.91</v>
      </c>
      <c r="H8712" s="1">
        <v>3</v>
      </c>
      <c r="I8712" s="1">
        <v>10.347300000000001</v>
      </c>
    </row>
    <row r="8713" spans="1:9" x14ac:dyDescent="0.35">
      <c r="A8713" s="3">
        <v>41701</v>
      </c>
      <c r="B8713" s="1" t="s">
        <v>1506</v>
      </c>
      <c r="C8713" s="1" t="s">
        <v>461</v>
      </c>
      <c r="D8713" s="1" t="s">
        <v>18</v>
      </c>
      <c r="E8713" s="1" t="s">
        <v>24</v>
      </c>
      <c r="F8713" s="2" t="s">
        <v>1633</v>
      </c>
      <c r="G8713" s="1">
        <v>626.35199999999998</v>
      </c>
      <c r="H8713" s="1">
        <v>3</v>
      </c>
      <c r="I8713" s="1">
        <v>-23.488199999999999</v>
      </c>
    </row>
    <row r="8714" spans="1:9" x14ac:dyDescent="0.35">
      <c r="A8714" s="3">
        <v>42075</v>
      </c>
      <c r="B8714" s="1" t="s">
        <v>2220</v>
      </c>
      <c r="C8714" s="1" t="s">
        <v>64</v>
      </c>
      <c r="D8714" s="1" t="s">
        <v>18</v>
      </c>
      <c r="E8714" s="1" t="s">
        <v>12</v>
      </c>
      <c r="F8714" s="2" t="s">
        <v>2232</v>
      </c>
      <c r="G8714" s="1">
        <v>359.49900000000002</v>
      </c>
      <c r="H8714" s="1">
        <v>3</v>
      </c>
      <c r="I8714" s="1">
        <v>-29.605799999999999</v>
      </c>
    </row>
    <row r="8715" spans="1:9" x14ac:dyDescent="0.35">
      <c r="A8715" s="3">
        <v>43046</v>
      </c>
      <c r="B8715" s="1" t="s">
        <v>2798</v>
      </c>
      <c r="C8715" s="1" t="s">
        <v>461</v>
      </c>
      <c r="D8715" s="1" t="s">
        <v>18</v>
      </c>
      <c r="E8715" s="1" t="s">
        <v>33</v>
      </c>
      <c r="F8715" s="2" t="s">
        <v>1078</v>
      </c>
      <c r="G8715" s="1">
        <v>71.951999999999998</v>
      </c>
      <c r="H8715" s="1">
        <v>6</v>
      </c>
      <c r="I8715" s="1">
        <v>5.3963999999999999</v>
      </c>
    </row>
    <row r="8716" spans="1:9" x14ac:dyDescent="0.35">
      <c r="A8716" s="3">
        <v>43046</v>
      </c>
      <c r="B8716" s="1" t="s">
        <v>2798</v>
      </c>
      <c r="C8716" s="1" t="s">
        <v>461</v>
      </c>
      <c r="D8716" s="1" t="s">
        <v>18</v>
      </c>
      <c r="E8716" s="1" t="s">
        <v>35</v>
      </c>
      <c r="F8716" s="2" t="s">
        <v>1653</v>
      </c>
      <c r="G8716" s="1">
        <v>29.8</v>
      </c>
      <c r="H8716" s="1">
        <v>5</v>
      </c>
      <c r="I8716" s="1">
        <v>9.3125</v>
      </c>
    </row>
    <row r="8717" spans="1:9" x14ac:dyDescent="0.35">
      <c r="A8717" s="3" t="s">
        <v>3283</v>
      </c>
      <c r="B8717" s="1" t="s">
        <v>1170</v>
      </c>
      <c r="C8717" s="1" t="s">
        <v>3101</v>
      </c>
      <c r="D8717" s="1" t="s">
        <v>250</v>
      </c>
      <c r="E8717" s="1" t="s">
        <v>35</v>
      </c>
      <c r="F8717" s="2" t="s">
        <v>936</v>
      </c>
      <c r="G8717" s="1">
        <v>1.8240000000000001</v>
      </c>
      <c r="H8717" s="1">
        <v>1</v>
      </c>
      <c r="I8717" s="1">
        <v>-1.3984000000000001</v>
      </c>
    </row>
    <row r="8718" spans="1:9" x14ac:dyDescent="0.35">
      <c r="A8718" s="3">
        <v>42710</v>
      </c>
      <c r="B8718" s="1" t="s">
        <v>2104</v>
      </c>
      <c r="C8718" s="1" t="s">
        <v>93</v>
      </c>
      <c r="D8718" s="1" t="s">
        <v>52</v>
      </c>
      <c r="E8718" s="1" t="s">
        <v>37</v>
      </c>
      <c r="F8718" s="2" t="s">
        <v>2369</v>
      </c>
      <c r="G8718" s="1">
        <v>64.384</v>
      </c>
      <c r="H8718" s="1">
        <v>4</v>
      </c>
      <c r="I8718" s="1">
        <v>-160.96</v>
      </c>
    </row>
    <row r="8719" spans="1:9" x14ac:dyDescent="0.35">
      <c r="A8719" s="3">
        <v>42710</v>
      </c>
      <c r="B8719" s="1" t="s">
        <v>2104</v>
      </c>
      <c r="C8719" s="1" t="s">
        <v>93</v>
      </c>
      <c r="D8719" s="1" t="s">
        <v>52</v>
      </c>
      <c r="E8719" s="1" t="s">
        <v>29</v>
      </c>
      <c r="F8719" s="2" t="s">
        <v>1213</v>
      </c>
      <c r="G8719" s="1">
        <v>6.984</v>
      </c>
      <c r="H8719" s="1">
        <v>2</v>
      </c>
      <c r="I8719" s="1">
        <v>-4.5396000000000001</v>
      </c>
    </row>
    <row r="8720" spans="1:9" x14ac:dyDescent="0.35">
      <c r="A8720" s="3">
        <v>42710</v>
      </c>
      <c r="B8720" s="1" t="s">
        <v>2104</v>
      </c>
      <c r="C8720" s="1" t="s">
        <v>93</v>
      </c>
      <c r="D8720" s="1" t="s">
        <v>52</v>
      </c>
      <c r="E8720" s="1" t="s">
        <v>31</v>
      </c>
      <c r="F8720" s="2" t="s">
        <v>2111</v>
      </c>
      <c r="G8720" s="1">
        <v>11.263999999999999</v>
      </c>
      <c r="H8720" s="1">
        <v>8</v>
      </c>
      <c r="I8720" s="1">
        <v>3.9424000000000001</v>
      </c>
    </row>
    <row r="8721" spans="1:9" x14ac:dyDescent="0.35">
      <c r="A8721" s="3">
        <v>42710</v>
      </c>
      <c r="B8721" s="1" t="s">
        <v>2104</v>
      </c>
      <c r="C8721" s="1" t="s">
        <v>93</v>
      </c>
      <c r="D8721" s="1" t="s">
        <v>52</v>
      </c>
      <c r="E8721" s="1" t="s">
        <v>44</v>
      </c>
      <c r="F8721" s="2" t="s">
        <v>2733</v>
      </c>
      <c r="G8721" s="1">
        <v>15.552</v>
      </c>
      <c r="H8721" s="1">
        <v>3</v>
      </c>
      <c r="I8721" s="1">
        <v>5.6375999999999999</v>
      </c>
    </row>
    <row r="8722" spans="1:9" x14ac:dyDescent="0.35">
      <c r="A8722" s="3">
        <v>42710</v>
      </c>
      <c r="B8722" s="1" t="s">
        <v>2104</v>
      </c>
      <c r="C8722" s="1" t="s">
        <v>93</v>
      </c>
      <c r="D8722" s="1" t="s">
        <v>52</v>
      </c>
      <c r="E8722" s="1" t="s">
        <v>14</v>
      </c>
      <c r="F8722" s="2" t="s">
        <v>2715</v>
      </c>
      <c r="G8722" s="1">
        <v>379.37200000000001</v>
      </c>
      <c r="H8722" s="1">
        <v>2</v>
      </c>
      <c r="I8722" s="1">
        <v>-119.2312</v>
      </c>
    </row>
    <row r="8723" spans="1:9" x14ac:dyDescent="0.35">
      <c r="A8723" s="3">
        <v>42710</v>
      </c>
      <c r="B8723" s="1" t="s">
        <v>2104</v>
      </c>
      <c r="C8723" s="1" t="s">
        <v>93</v>
      </c>
      <c r="D8723" s="1" t="s">
        <v>52</v>
      </c>
      <c r="E8723" s="1" t="s">
        <v>26</v>
      </c>
      <c r="F8723" s="2" t="s">
        <v>1191</v>
      </c>
      <c r="G8723" s="1">
        <v>67.536000000000001</v>
      </c>
      <c r="H8723" s="1">
        <v>9</v>
      </c>
      <c r="I8723" s="1">
        <v>6.7535999999999996</v>
      </c>
    </row>
    <row r="8724" spans="1:9" x14ac:dyDescent="0.35">
      <c r="A8724" s="3">
        <v>42710</v>
      </c>
      <c r="B8724" s="1" t="s">
        <v>2104</v>
      </c>
      <c r="C8724" s="1" t="s">
        <v>93</v>
      </c>
      <c r="D8724" s="1" t="s">
        <v>52</v>
      </c>
      <c r="E8724" s="1" t="s">
        <v>35</v>
      </c>
      <c r="F8724" s="2" t="s">
        <v>90</v>
      </c>
      <c r="G8724" s="1">
        <v>1.524</v>
      </c>
      <c r="H8724" s="1">
        <v>2</v>
      </c>
      <c r="I8724" s="1">
        <v>-2.6669999999999998</v>
      </c>
    </row>
    <row r="8725" spans="1:9" x14ac:dyDescent="0.35">
      <c r="A8725" s="3" t="s">
        <v>3218</v>
      </c>
      <c r="B8725" s="1" t="s">
        <v>2900</v>
      </c>
      <c r="C8725" s="1" t="s">
        <v>672</v>
      </c>
      <c r="D8725" s="1" t="s">
        <v>23</v>
      </c>
      <c r="E8725" s="1" t="s">
        <v>44</v>
      </c>
      <c r="F8725" s="2" t="s">
        <v>865</v>
      </c>
      <c r="G8725" s="1">
        <v>37.408000000000001</v>
      </c>
      <c r="H8725" s="1">
        <v>7</v>
      </c>
      <c r="I8725" s="1">
        <v>13.0928</v>
      </c>
    </row>
    <row r="8726" spans="1:9" x14ac:dyDescent="0.35">
      <c r="A8726" s="3" t="s">
        <v>3218</v>
      </c>
      <c r="B8726" s="1" t="s">
        <v>2900</v>
      </c>
      <c r="C8726" s="1" t="s">
        <v>672</v>
      </c>
      <c r="D8726" s="1" t="s">
        <v>23</v>
      </c>
      <c r="E8726" s="1" t="s">
        <v>44</v>
      </c>
      <c r="F8726" s="2" t="s">
        <v>2854</v>
      </c>
      <c r="G8726" s="1">
        <v>25.344000000000001</v>
      </c>
      <c r="H8726" s="1">
        <v>6</v>
      </c>
      <c r="I8726" s="1">
        <v>8.8704000000000001</v>
      </c>
    </row>
    <row r="8727" spans="1:9" x14ac:dyDescent="0.35">
      <c r="A8727" s="3" t="s">
        <v>3436</v>
      </c>
      <c r="B8727" s="1" t="s">
        <v>1278</v>
      </c>
      <c r="C8727" s="1" t="s">
        <v>47</v>
      </c>
      <c r="D8727" s="1" t="s">
        <v>48</v>
      </c>
      <c r="E8727" s="1" t="s">
        <v>31</v>
      </c>
      <c r="F8727" s="2" t="s">
        <v>1194</v>
      </c>
      <c r="G8727" s="1">
        <v>46.2</v>
      </c>
      <c r="H8727" s="1">
        <v>4</v>
      </c>
      <c r="I8727" s="1">
        <v>21.251999999999999</v>
      </c>
    </row>
    <row r="8728" spans="1:9" x14ac:dyDescent="0.35">
      <c r="A8728" s="3" t="s">
        <v>3152</v>
      </c>
      <c r="B8728" s="1" t="s">
        <v>553</v>
      </c>
      <c r="C8728" s="1" t="s">
        <v>565</v>
      </c>
      <c r="D8728" s="1" t="s">
        <v>171</v>
      </c>
      <c r="E8728" s="1" t="s">
        <v>81</v>
      </c>
      <c r="F8728" s="2" t="s">
        <v>3085</v>
      </c>
      <c r="G8728" s="1">
        <v>4.7279999999999998</v>
      </c>
      <c r="H8728" s="1">
        <v>3</v>
      </c>
      <c r="I8728" s="1">
        <v>0.70920000000000005</v>
      </c>
    </row>
    <row r="8729" spans="1:9" x14ac:dyDescent="0.35">
      <c r="A8729" s="3" t="s">
        <v>3152</v>
      </c>
      <c r="B8729" s="1" t="s">
        <v>553</v>
      </c>
      <c r="C8729" s="1" t="s">
        <v>565</v>
      </c>
      <c r="D8729" s="1" t="s">
        <v>171</v>
      </c>
      <c r="E8729" s="1" t="s">
        <v>29</v>
      </c>
      <c r="F8729" s="2" t="s">
        <v>3082</v>
      </c>
      <c r="G8729" s="1">
        <v>53.351999999999997</v>
      </c>
      <c r="H8729" s="1">
        <v>3</v>
      </c>
      <c r="I8729" s="1">
        <v>16.005600000000001</v>
      </c>
    </row>
    <row r="8730" spans="1:9" x14ac:dyDescent="0.35">
      <c r="A8730" s="3" t="s">
        <v>3152</v>
      </c>
      <c r="B8730" s="1" t="s">
        <v>553</v>
      </c>
      <c r="C8730" s="1" t="s">
        <v>565</v>
      </c>
      <c r="D8730" s="1" t="s">
        <v>171</v>
      </c>
      <c r="E8730" s="1" t="s">
        <v>12</v>
      </c>
      <c r="F8730" s="2" t="s">
        <v>2718</v>
      </c>
      <c r="G8730" s="1">
        <v>131.10400000000001</v>
      </c>
      <c r="H8730" s="1">
        <v>2</v>
      </c>
      <c r="I8730" s="1">
        <v>8.1940000000000008</v>
      </c>
    </row>
    <row r="8731" spans="1:9" x14ac:dyDescent="0.35">
      <c r="A8731" s="3" t="s">
        <v>3152</v>
      </c>
      <c r="B8731" s="1" t="s">
        <v>553</v>
      </c>
      <c r="C8731" s="1" t="s">
        <v>565</v>
      </c>
      <c r="D8731" s="1" t="s">
        <v>171</v>
      </c>
      <c r="E8731" s="1" t="s">
        <v>26</v>
      </c>
      <c r="F8731" s="2" t="s">
        <v>1191</v>
      </c>
      <c r="G8731" s="1">
        <v>22.512</v>
      </c>
      <c r="H8731" s="1">
        <v>3</v>
      </c>
      <c r="I8731" s="1">
        <v>2.2511999999999999</v>
      </c>
    </row>
    <row r="8732" spans="1:9" x14ac:dyDescent="0.35">
      <c r="A8732" s="3" t="s">
        <v>3152</v>
      </c>
      <c r="B8732" s="1" t="s">
        <v>553</v>
      </c>
      <c r="C8732" s="1" t="s">
        <v>565</v>
      </c>
      <c r="D8732" s="1" t="s">
        <v>171</v>
      </c>
      <c r="E8732" s="1" t="s">
        <v>81</v>
      </c>
      <c r="F8732" s="2" t="s">
        <v>2353</v>
      </c>
      <c r="G8732" s="1">
        <v>72.744</v>
      </c>
      <c r="H8732" s="1">
        <v>7</v>
      </c>
      <c r="I8732" s="1">
        <v>-12.7302</v>
      </c>
    </row>
    <row r="8733" spans="1:9" x14ac:dyDescent="0.35">
      <c r="A8733" s="3" t="s">
        <v>3573</v>
      </c>
      <c r="B8733" s="1" t="s">
        <v>1054</v>
      </c>
      <c r="C8733" s="1" t="s">
        <v>2082</v>
      </c>
      <c r="D8733" s="1" t="s">
        <v>298</v>
      </c>
      <c r="E8733" s="1" t="s">
        <v>289</v>
      </c>
      <c r="F8733" s="2" t="s">
        <v>666</v>
      </c>
      <c r="G8733" s="1">
        <v>52.59</v>
      </c>
      <c r="H8733" s="1">
        <v>3</v>
      </c>
      <c r="I8733" s="1">
        <v>15.776999999999999</v>
      </c>
    </row>
    <row r="8734" spans="1:9" x14ac:dyDescent="0.35">
      <c r="A8734" s="3" t="s">
        <v>3307</v>
      </c>
      <c r="B8734" s="1" t="s">
        <v>1662</v>
      </c>
      <c r="C8734" s="1" t="s">
        <v>47</v>
      </c>
      <c r="D8734" s="1" t="s">
        <v>48</v>
      </c>
      <c r="E8734" s="1" t="s">
        <v>44</v>
      </c>
      <c r="F8734" s="2" t="s">
        <v>2432</v>
      </c>
      <c r="G8734" s="1">
        <v>19.440000000000001</v>
      </c>
      <c r="H8734" s="1">
        <v>3</v>
      </c>
      <c r="I8734" s="1">
        <v>9.3312000000000008</v>
      </c>
    </row>
    <row r="8735" spans="1:9" x14ac:dyDescent="0.35">
      <c r="A8735" s="3" t="s">
        <v>3307</v>
      </c>
      <c r="B8735" s="1" t="s">
        <v>1662</v>
      </c>
      <c r="C8735" s="1" t="s">
        <v>47</v>
      </c>
      <c r="D8735" s="1" t="s">
        <v>48</v>
      </c>
      <c r="E8735" s="1" t="s">
        <v>29</v>
      </c>
      <c r="F8735" s="2" t="s">
        <v>817</v>
      </c>
      <c r="G8735" s="1">
        <v>126.3</v>
      </c>
      <c r="H8735" s="1">
        <v>3</v>
      </c>
      <c r="I8735" s="1">
        <v>40.415999999999997</v>
      </c>
    </row>
    <row r="8736" spans="1:9" x14ac:dyDescent="0.35">
      <c r="A8736" s="3" t="s">
        <v>3307</v>
      </c>
      <c r="B8736" s="1" t="s">
        <v>1662</v>
      </c>
      <c r="C8736" s="1" t="s">
        <v>47</v>
      </c>
      <c r="D8736" s="1" t="s">
        <v>48</v>
      </c>
      <c r="E8736" s="1" t="s">
        <v>81</v>
      </c>
      <c r="F8736" s="2" t="s">
        <v>442</v>
      </c>
      <c r="G8736" s="1">
        <v>1287.45</v>
      </c>
      <c r="H8736" s="1">
        <v>5</v>
      </c>
      <c r="I8736" s="1">
        <v>244.6155</v>
      </c>
    </row>
    <row r="8737" spans="1:9" x14ac:dyDescent="0.35">
      <c r="A8737" s="3">
        <v>41822</v>
      </c>
      <c r="B8737" s="1" t="s">
        <v>1092</v>
      </c>
      <c r="C8737" s="1" t="s">
        <v>135</v>
      </c>
      <c r="D8737" s="1" t="s">
        <v>136</v>
      </c>
      <c r="E8737" s="1" t="s">
        <v>26</v>
      </c>
      <c r="F8737" s="2" t="s">
        <v>1246</v>
      </c>
      <c r="G8737" s="1">
        <v>64.959999999999994</v>
      </c>
      <c r="H8737" s="1">
        <v>4</v>
      </c>
      <c r="I8737" s="1">
        <v>9.7439999999999998</v>
      </c>
    </row>
    <row r="8738" spans="1:9" x14ac:dyDescent="0.35">
      <c r="A8738" s="3">
        <v>42469</v>
      </c>
      <c r="B8738" s="1" t="s">
        <v>1883</v>
      </c>
      <c r="C8738" s="1" t="s">
        <v>2887</v>
      </c>
      <c r="D8738" s="1" t="s">
        <v>115</v>
      </c>
      <c r="E8738" s="1" t="s">
        <v>26</v>
      </c>
      <c r="F8738" s="2" t="s">
        <v>925</v>
      </c>
      <c r="G8738" s="1">
        <v>535.41</v>
      </c>
      <c r="H8738" s="1">
        <v>3</v>
      </c>
      <c r="I8738" s="1">
        <v>160.62299999999999</v>
      </c>
    </row>
    <row r="8739" spans="1:9" x14ac:dyDescent="0.35">
      <c r="A8739" s="3">
        <v>42890</v>
      </c>
      <c r="B8739" s="1" t="s">
        <v>2682</v>
      </c>
      <c r="C8739" s="1" t="s">
        <v>2453</v>
      </c>
      <c r="D8739" s="1" t="s">
        <v>171</v>
      </c>
      <c r="E8739" s="1" t="s">
        <v>35</v>
      </c>
      <c r="F8739" s="2" t="s">
        <v>1377</v>
      </c>
      <c r="G8739" s="1">
        <v>8.1</v>
      </c>
      <c r="H8739" s="1">
        <v>5</v>
      </c>
      <c r="I8739" s="1">
        <v>-5.94</v>
      </c>
    </row>
    <row r="8740" spans="1:9" x14ac:dyDescent="0.35">
      <c r="A8740" s="3">
        <v>42959</v>
      </c>
      <c r="B8740" s="1" t="s">
        <v>333</v>
      </c>
      <c r="C8740" s="1" t="s">
        <v>74</v>
      </c>
      <c r="D8740" s="1" t="s">
        <v>75</v>
      </c>
      <c r="E8740" s="1" t="s">
        <v>31</v>
      </c>
      <c r="F8740" s="2" t="s">
        <v>337</v>
      </c>
      <c r="G8740" s="1">
        <v>13.247999999999999</v>
      </c>
      <c r="H8740" s="1">
        <v>4</v>
      </c>
      <c r="I8740" s="1">
        <v>3.6432000000000002</v>
      </c>
    </row>
    <row r="8741" spans="1:9" x14ac:dyDescent="0.35">
      <c r="A8741" s="3">
        <v>42959</v>
      </c>
      <c r="B8741" s="1" t="s">
        <v>333</v>
      </c>
      <c r="C8741" s="1" t="s">
        <v>74</v>
      </c>
      <c r="D8741" s="1" t="s">
        <v>75</v>
      </c>
      <c r="E8741" s="1" t="s">
        <v>33</v>
      </c>
      <c r="F8741" s="2" t="s">
        <v>781</v>
      </c>
      <c r="G8741" s="1">
        <v>83.988</v>
      </c>
      <c r="H8741" s="1">
        <v>2</v>
      </c>
      <c r="I8741" s="1">
        <v>-20.997</v>
      </c>
    </row>
    <row r="8742" spans="1:9" x14ac:dyDescent="0.35">
      <c r="A8742" s="3" t="s">
        <v>3745</v>
      </c>
      <c r="B8742" s="1" t="s">
        <v>1796</v>
      </c>
      <c r="C8742" s="1" t="s">
        <v>1799</v>
      </c>
      <c r="D8742" s="1" t="s">
        <v>362</v>
      </c>
      <c r="E8742" s="1" t="s">
        <v>31</v>
      </c>
      <c r="F8742" s="2" t="s">
        <v>1785</v>
      </c>
      <c r="G8742" s="1">
        <v>73.2</v>
      </c>
      <c r="H8742" s="1">
        <v>5</v>
      </c>
      <c r="I8742" s="1">
        <v>21.228000000000002</v>
      </c>
    </row>
    <row r="8743" spans="1:9" x14ac:dyDescent="0.35">
      <c r="A8743" s="3">
        <v>42258</v>
      </c>
      <c r="B8743" s="1" t="s">
        <v>1208</v>
      </c>
      <c r="C8743" s="1" t="s">
        <v>700</v>
      </c>
      <c r="D8743" s="1" t="s">
        <v>129</v>
      </c>
      <c r="E8743" s="1" t="s">
        <v>35</v>
      </c>
      <c r="F8743" s="2" t="s">
        <v>369</v>
      </c>
      <c r="G8743" s="1">
        <v>10.74</v>
      </c>
      <c r="H8743" s="1">
        <v>3</v>
      </c>
      <c r="I8743" s="1">
        <v>5.1551999999999998</v>
      </c>
    </row>
    <row r="8744" spans="1:9" x14ac:dyDescent="0.35">
      <c r="A8744" s="3">
        <v>42045</v>
      </c>
      <c r="B8744" s="1" t="s">
        <v>921</v>
      </c>
      <c r="C8744" s="1" t="s">
        <v>3051</v>
      </c>
      <c r="D8744" s="1" t="s">
        <v>212</v>
      </c>
      <c r="E8744" s="1" t="s">
        <v>29</v>
      </c>
      <c r="F8744" s="2" t="s">
        <v>215</v>
      </c>
      <c r="G8744" s="1">
        <v>11.032</v>
      </c>
      <c r="H8744" s="1">
        <v>1</v>
      </c>
      <c r="I8744" s="1">
        <v>3.0337999999999998</v>
      </c>
    </row>
    <row r="8745" spans="1:9" x14ac:dyDescent="0.35">
      <c r="A8745" s="3">
        <v>42045</v>
      </c>
      <c r="B8745" s="1" t="s">
        <v>921</v>
      </c>
      <c r="C8745" s="1" t="s">
        <v>3051</v>
      </c>
      <c r="D8745" s="1" t="s">
        <v>212</v>
      </c>
      <c r="E8745" s="1" t="s">
        <v>81</v>
      </c>
      <c r="F8745" s="2" t="s">
        <v>371</v>
      </c>
      <c r="G8745" s="1">
        <v>53.04</v>
      </c>
      <c r="H8745" s="1">
        <v>3</v>
      </c>
      <c r="I8745" s="1">
        <v>-4.641</v>
      </c>
    </row>
    <row r="8746" spans="1:9" x14ac:dyDescent="0.35">
      <c r="A8746" s="3" t="s">
        <v>3145</v>
      </c>
      <c r="B8746" s="1" t="s">
        <v>3094</v>
      </c>
      <c r="C8746" s="1" t="s">
        <v>2985</v>
      </c>
      <c r="D8746" s="1" t="s">
        <v>592</v>
      </c>
      <c r="E8746" s="1" t="s">
        <v>31</v>
      </c>
      <c r="F8746" s="2" t="s">
        <v>65</v>
      </c>
      <c r="G8746" s="1">
        <v>17.12</v>
      </c>
      <c r="H8746" s="1">
        <v>4</v>
      </c>
      <c r="I8746" s="1">
        <v>4.9648000000000003</v>
      </c>
    </row>
    <row r="8747" spans="1:9" x14ac:dyDescent="0.35">
      <c r="A8747" s="3" t="s">
        <v>3145</v>
      </c>
      <c r="B8747" s="1" t="s">
        <v>3094</v>
      </c>
      <c r="C8747" s="1" t="s">
        <v>2985</v>
      </c>
      <c r="D8747" s="1" t="s">
        <v>592</v>
      </c>
      <c r="E8747" s="1" t="s">
        <v>44</v>
      </c>
      <c r="F8747" s="2" t="s">
        <v>2997</v>
      </c>
      <c r="G8747" s="1">
        <v>59.94</v>
      </c>
      <c r="H8747" s="1">
        <v>3</v>
      </c>
      <c r="I8747" s="1">
        <v>28.171800000000001</v>
      </c>
    </row>
    <row r="8748" spans="1:9" x14ac:dyDescent="0.35">
      <c r="A8748" s="3">
        <v>42768</v>
      </c>
      <c r="B8748" s="1" t="s">
        <v>2296</v>
      </c>
      <c r="C8748" s="1" t="s">
        <v>461</v>
      </c>
      <c r="D8748" s="1" t="s">
        <v>18</v>
      </c>
      <c r="E8748" s="1" t="s">
        <v>29</v>
      </c>
      <c r="F8748" s="2" t="s">
        <v>1357</v>
      </c>
      <c r="G8748" s="1">
        <v>210.58</v>
      </c>
      <c r="H8748" s="1">
        <v>2</v>
      </c>
      <c r="I8748" s="1">
        <v>12.6348</v>
      </c>
    </row>
    <row r="8749" spans="1:9" x14ac:dyDescent="0.35">
      <c r="A8749" s="3">
        <v>42768</v>
      </c>
      <c r="B8749" s="1" t="s">
        <v>2296</v>
      </c>
      <c r="C8749" s="1" t="s">
        <v>461</v>
      </c>
      <c r="D8749" s="1" t="s">
        <v>18</v>
      </c>
      <c r="E8749" s="1" t="s">
        <v>35</v>
      </c>
      <c r="F8749" s="2" t="s">
        <v>1081</v>
      </c>
      <c r="G8749" s="1">
        <v>30.96</v>
      </c>
      <c r="H8749" s="1">
        <v>2</v>
      </c>
      <c r="I8749" s="1">
        <v>10.061999999999999</v>
      </c>
    </row>
    <row r="8750" spans="1:9" x14ac:dyDescent="0.35">
      <c r="A8750" s="3">
        <v>42768</v>
      </c>
      <c r="B8750" s="1" t="s">
        <v>2296</v>
      </c>
      <c r="C8750" s="1" t="s">
        <v>461</v>
      </c>
      <c r="D8750" s="1" t="s">
        <v>18</v>
      </c>
      <c r="E8750" s="1" t="s">
        <v>338</v>
      </c>
      <c r="F8750" s="2" t="s">
        <v>2919</v>
      </c>
      <c r="G8750" s="1">
        <v>239.98400000000001</v>
      </c>
      <c r="H8750" s="1">
        <v>2</v>
      </c>
      <c r="I8750" s="1">
        <v>38.997399999999999</v>
      </c>
    </row>
    <row r="8751" spans="1:9" x14ac:dyDescent="0.35">
      <c r="A8751" s="3" t="s">
        <v>3475</v>
      </c>
      <c r="B8751" s="1" t="s">
        <v>282</v>
      </c>
      <c r="C8751" s="1" t="s">
        <v>135</v>
      </c>
      <c r="D8751" s="1" t="s">
        <v>136</v>
      </c>
      <c r="E8751" s="1" t="s">
        <v>35</v>
      </c>
      <c r="F8751" s="2" t="s">
        <v>815</v>
      </c>
      <c r="G8751" s="1">
        <v>3050.3760000000002</v>
      </c>
      <c r="H8751" s="1">
        <v>3</v>
      </c>
      <c r="I8751" s="1">
        <v>1143.8910000000001</v>
      </c>
    </row>
    <row r="8752" spans="1:9" x14ac:dyDescent="0.35">
      <c r="A8752" s="3" t="s">
        <v>3475</v>
      </c>
      <c r="B8752" s="1" t="s">
        <v>282</v>
      </c>
      <c r="C8752" s="1" t="s">
        <v>135</v>
      </c>
      <c r="D8752" s="1" t="s">
        <v>136</v>
      </c>
      <c r="E8752" s="1" t="s">
        <v>33</v>
      </c>
      <c r="F8752" s="2" t="s">
        <v>1821</v>
      </c>
      <c r="G8752" s="1">
        <v>133.97999999999999</v>
      </c>
      <c r="H8752" s="1">
        <v>2</v>
      </c>
      <c r="I8752" s="1">
        <v>33.494999999999997</v>
      </c>
    </row>
    <row r="8753" spans="1:9" x14ac:dyDescent="0.35">
      <c r="A8753" s="3">
        <v>42495</v>
      </c>
      <c r="B8753" s="1" t="s">
        <v>221</v>
      </c>
      <c r="C8753" s="1" t="s">
        <v>2267</v>
      </c>
      <c r="D8753" s="1" t="s">
        <v>23</v>
      </c>
      <c r="E8753" s="1" t="s">
        <v>44</v>
      </c>
      <c r="F8753" s="2" t="s">
        <v>3102</v>
      </c>
      <c r="G8753" s="1">
        <v>93.248000000000005</v>
      </c>
      <c r="H8753" s="1">
        <v>4</v>
      </c>
      <c r="I8753" s="1">
        <v>31.4712</v>
      </c>
    </row>
    <row r="8754" spans="1:9" x14ac:dyDescent="0.35">
      <c r="A8754" s="3">
        <v>42495</v>
      </c>
      <c r="B8754" s="1" t="s">
        <v>221</v>
      </c>
      <c r="C8754" s="1" t="s">
        <v>2267</v>
      </c>
      <c r="D8754" s="1" t="s">
        <v>23</v>
      </c>
      <c r="E8754" s="1" t="s">
        <v>33</v>
      </c>
      <c r="F8754" s="2" t="s">
        <v>1976</v>
      </c>
      <c r="G8754" s="1">
        <v>177.48</v>
      </c>
      <c r="H8754" s="1">
        <v>3</v>
      </c>
      <c r="I8754" s="1">
        <v>19.9665</v>
      </c>
    </row>
    <row r="8755" spans="1:9" x14ac:dyDescent="0.35">
      <c r="A8755" s="3">
        <v>42987</v>
      </c>
      <c r="B8755" s="1" t="s">
        <v>1994</v>
      </c>
      <c r="C8755" s="1" t="s">
        <v>1256</v>
      </c>
      <c r="D8755" s="1" t="s">
        <v>250</v>
      </c>
      <c r="E8755" s="1" t="s">
        <v>19</v>
      </c>
      <c r="F8755" s="2" t="s">
        <v>1902</v>
      </c>
      <c r="G8755" s="1">
        <v>17.712</v>
      </c>
      <c r="H8755" s="1">
        <v>6</v>
      </c>
      <c r="I8755" s="1">
        <v>5.9778000000000002</v>
      </c>
    </row>
    <row r="8756" spans="1:9" x14ac:dyDescent="0.35">
      <c r="A8756" s="3">
        <v>42987</v>
      </c>
      <c r="B8756" s="1" t="s">
        <v>1994</v>
      </c>
      <c r="C8756" s="1" t="s">
        <v>1256</v>
      </c>
      <c r="D8756" s="1" t="s">
        <v>250</v>
      </c>
      <c r="E8756" s="1" t="s">
        <v>35</v>
      </c>
      <c r="F8756" s="2" t="s">
        <v>1377</v>
      </c>
      <c r="G8756" s="1">
        <v>4.8600000000000003</v>
      </c>
      <c r="H8756" s="1">
        <v>3</v>
      </c>
      <c r="I8756" s="1">
        <v>-3.5640000000000001</v>
      </c>
    </row>
    <row r="8757" spans="1:9" x14ac:dyDescent="0.35">
      <c r="A8757" s="3">
        <v>42987</v>
      </c>
      <c r="B8757" s="1" t="s">
        <v>1994</v>
      </c>
      <c r="C8757" s="1" t="s">
        <v>1256</v>
      </c>
      <c r="D8757" s="1" t="s">
        <v>250</v>
      </c>
      <c r="E8757" s="1" t="s">
        <v>35</v>
      </c>
      <c r="F8757" s="2" t="s">
        <v>1876</v>
      </c>
      <c r="G8757" s="1">
        <v>6.258</v>
      </c>
      <c r="H8757" s="1">
        <v>2</v>
      </c>
      <c r="I8757" s="1">
        <v>-5.2149999999999999</v>
      </c>
    </row>
    <row r="8758" spans="1:9" x14ac:dyDescent="0.35">
      <c r="A8758" s="3" t="s">
        <v>3552</v>
      </c>
      <c r="B8758" s="1" t="s">
        <v>2620</v>
      </c>
      <c r="C8758" s="1" t="s">
        <v>193</v>
      </c>
      <c r="D8758" s="1" t="s">
        <v>1217</v>
      </c>
      <c r="E8758" s="1" t="s">
        <v>37</v>
      </c>
      <c r="F8758" s="2" t="s">
        <v>978</v>
      </c>
      <c r="G8758" s="1">
        <v>37.68</v>
      </c>
      <c r="H8758" s="1">
        <v>2</v>
      </c>
      <c r="I8758" s="1">
        <v>10.5504</v>
      </c>
    </row>
    <row r="8759" spans="1:9" x14ac:dyDescent="0.35">
      <c r="A8759" s="3" t="s">
        <v>3552</v>
      </c>
      <c r="B8759" s="1" t="s">
        <v>2620</v>
      </c>
      <c r="C8759" s="1" t="s">
        <v>193</v>
      </c>
      <c r="D8759" s="1" t="s">
        <v>1217</v>
      </c>
      <c r="E8759" s="1" t="s">
        <v>44</v>
      </c>
      <c r="F8759" s="2" t="s">
        <v>507</v>
      </c>
      <c r="G8759" s="1">
        <v>51.84</v>
      </c>
      <c r="H8759" s="1">
        <v>8</v>
      </c>
      <c r="I8759" s="1">
        <v>24.883199999999999</v>
      </c>
    </row>
    <row r="8760" spans="1:9" x14ac:dyDescent="0.35">
      <c r="A8760" s="3" t="s">
        <v>3552</v>
      </c>
      <c r="B8760" s="1" t="s">
        <v>2620</v>
      </c>
      <c r="C8760" s="1" t="s">
        <v>193</v>
      </c>
      <c r="D8760" s="1" t="s">
        <v>1217</v>
      </c>
      <c r="E8760" s="1" t="s">
        <v>29</v>
      </c>
      <c r="F8760" s="2" t="s">
        <v>1135</v>
      </c>
      <c r="G8760" s="1">
        <v>27.42</v>
      </c>
      <c r="H8760" s="1">
        <v>3</v>
      </c>
      <c r="I8760" s="1">
        <v>9.3228000000000009</v>
      </c>
    </row>
    <row r="8761" spans="1:9" x14ac:dyDescent="0.35">
      <c r="A8761" s="3" t="s">
        <v>3552</v>
      </c>
      <c r="B8761" s="1" t="s">
        <v>2620</v>
      </c>
      <c r="C8761" s="1" t="s">
        <v>193</v>
      </c>
      <c r="D8761" s="1" t="s">
        <v>1217</v>
      </c>
      <c r="E8761" s="1" t="s">
        <v>35</v>
      </c>
      <c r="F8761" s="2" t="s">
        <v>1292</v>
      </c>
      <c r="G8761" s="1">
        <v>5.4</v>
      </c>
      <c r="H8761" s="1">
        <v>3</v>
      </c>
      <c r="I8761" s="1">
        <v>2.5920000000000001</v>
      </c>
    </row>
    <row r="8762" spans="1:9" x14ac:dyDescent="0.35">
      <c r="A8762" s="3" t="s">
        <v>3602</v>
      </c>
      <c r="B8762" s="1" t="s">
        <v>1488</v>
      </c>
      <c r="C8762" s="1" t="s">
        <v>811</v>
      </c>
      <c r="D8762" s="1" t="s">
        <v>604</v>
      </c>
      <c r="E8762" s="1" t="s">
        <v>35</v>
      </c>
      <c r="F8762" s="2" t="s">
        <v>815</v>
      </c>
      <c r="G8762" s="1">
        <v>1270.99</v>
      </c>
      <c r="H8762" s="1">
        <v>1</v>
      </c>
      <c r="I8762" s="1">
        <v>635.495</v>
      </c>
    </row>
    <row r="8763" spans="1:9" x14ac:dyDescent="0.35">
      <c r="A8763" s="3" t="s">
        <v>3602</v>
      </c>
      <c r="B8763" s="1" t="s">
        <v>1488</v>
      </c>
      <c r="C8763" s="1" t="s">
        <v>811</v>
      </c>
      <c r="D8763" s="1" t="s">
        <v>604</v>
      </c>
      <c r="E8763" s="1" t="s">
        <v>87</v>
      </c>
      <c r="F8763" s="2" t="s">
        <v>2248</v>
      </c>
      <c r="G8763" s="1">
        <v>125.36</v>
      </c>
      <c r="H8763" s="1">
        <v>8</v>
      </c>
      <c r="I8763" s="1">
        <v>58.919199999999996</v>
      </c>
    </row>
    <row r="8764" spans="1:9" x14ac:dyDescent="0.35">
      <c r="A8764" s="3" t="s">
        <v>3218</v>
      </c>
      <c r="B8764" s="1" t="s">
        <v>1376</v>
      </c>
      <c r="C8764" s="1" t="s">
        <v>2185</v>
      </c>
      <c r="D8764" s="1" t="s">
        <v>18</v>
      </c>
      <c r="E8764" s="1" t="s">
        <v>26</v>
      </c>
      <c r="F8764" s="2" t="s">
        <v>1321</v>
      </c>
      <c r="G8764" s="1">
        <v>14.03</v>
      </c>
      <c r="H8764" s="1">
        <v>1</v>
      </c>
      <c r="I8764" s="1">
        <v>4.0686999999999998</v>
      </c>
    </row>
    <row r="8765" spans="1:9" x14ac:dyDescent="0.35">
      <c r="A8765" s="3" t="s">
        <v>3218</v>
      </c>
      <c r="B8765" s="1" t="s">
        <v>1376</v>
      </c>
      <c r="C8765" s="1" t="s">
        <v>2185</v>
      </c>
      <c r="D8765" s="1" t="s">
        <v>18</v>
      </c>
      <c r="E8765" s="1" t="s">
        <v>289</v>
      </c>
      <c r="F8765" s="2" t="s">
        <v>2237</v>
      </c>
      <c r="G8765" s="1">
        <v>27.96</v>
      </c>
      <c r="H8765" s="1">
        <v>2</v>
      </c>
      <c r="I8765" s="1">
        <v>7.2695999999999996</v>
      </c>
    </row>
    <row r="8766" spans="1:9" x14ac:dyDescent="0.35">
      <c r="A8766" s="3" t="s">
        <v>3383</v>
      </c>
      <c r="B8766" s="1" t="s">
        <v>722</v>
      </c>
      <c r="C8766" s="1" t="s">
        <v>51</v>
      </c>
      <c r="D8766" s="1" t="s">
        <v>52</v>
      </c>
      <c r="E8766" s="1" t="s">
        <v>31</v>
      </c>
      <c r="F8766" s="2" t="s">
        <v>2005</v>
      </c>
      <c r="G8766" s="1">
        <v>5.3440000000000003</v>
      </c>
      <c r="H8766" s="1">
        <v>2</v>
      </c>
      <c r="I8766" s="1">
        <v>0.73480000000000001</v>
      </c>
    </row>
    <row r="8767" spans="1:9" x14ac:dyDescent="0.35">
      <c r="A8767" s="3" t="s">
        <v>3383</v>
      </c>
      <c r="B8767" s="1" t="s">
        <v>722</v>
      </c>
      <c r="C8767" s="1" t="s">
        <v>51</v>
      </c>
      <c r="D8767" s="1" t="s">
        <v>52</v>
      </c>
      <c r="E8767" s="1" t="s">
        <v>35</v>
      </c>
      <c r="F8767" s="2" t="s">
        <v>54</v>
      </c>
      <c r="G8767" s="1">
        <v>1.696</v>
      </c>
      <c r="H8767" s="1">
        <v>2</v>
      </c>
      <c r="I8767" s="1">
        <v>-2.544</v>
      </c>
    </row>
    <row r="8768" spans="1:9" x14ac:dyDescent="0.35">
      <c r="A8768" s="3" t="s">
        <v>3383</v>
      </c>
      <c r="B8768" s="1" t="s">
        <v>722</v>
      </c>
      <c r="C8768" s="1" t="s">
        <v>51</v>
      </c>
      <c r="D8768" s="1" t="s">
        <v>52</v>
      </c>
      <c r="E8768" s="1" t="s">
        <v>37</v>
      </c>
      <c r="F8768" s="2" t="s">
        <v>3084</v>
      </c>
      <c r="G8768" s="1">
        <v>24.588000000000001</v>
      </c>
      <c r="H8768" s="1">
        <v>3</v>
      </c>
      <c r="I8768" s="1">
        <v>-67.617000000000004</v>
      </c>
    </row>
    <row r="8769" spans="1:9" x14ac:dyDescent="0.35">
      <c r="A8769" s="3" t="s">
        <v>3383</v>
      </c>
      <c r="B8769" s="1" t="s">
        <v>722</v>
      </c>
      <c r="C8769" s="1" t="s">
        <v>51</v>
      </c>
      <c r="D8769" s="1" t="s">
        <v>52</v>
      </c>
      <c r="E8769" s="1" t="s">
        <v>35</v>
      </c>
      <c r="F8769" s="2" t="s">
        <v>759</v>
      </c>
      <c r="G8769" s="1">
        <v>7.98</v>
      </c>
      <c r="H8769" s="1">
        <v>5</v>
      </c>
      <c r="I8769" s="1">
        <v>-13.167</v>
      </c>
    </row>
    <row r="8770" spans="1:9" x14ac:dyDescent="0.35">
      <c r="A8770" s="3">
        <v>42134</v>
      </c>
      <c r="B8770" s="1" t="s">
        <v>2090</v>
      </c>
      <c r="C8770" s="1" t="s">
        <v>249</v>
      </c>
      <c r="D8770" s="1" t="s">
        <v>250</v>
      </c>
      <c r="E8770" s="1" t="s">
        <v>81</v>
      </c>
      <c r="F8770" s="2" t="s">
        <v>557</v>
      </c>
      <c r="G8770" s="1">
        <v>288</v>
      </c>
      <c r="H8770" s="1">
        <v>4</v>
      </c>
      <c r="I8770" s="1">
        <v>57.6</v>
      </c>
    </row>
    <row r="8771" spans="1:9" x14ac:dyDescent="0.35">
      <c r="A8771" s="3">
        <v>42713</v>
      </c>
      <c r="B8771" s="1" t="s">
        <v>721</v>
      </c>
      <c r="C8771" s="1" t="s">
        <v>697</v>
      </c>
      <c r="D8771" s="1" t="s">
        <v>229</v>
      </c>
      <c r="E8771" s="1" t="s">
        <v>33</v>
      </c>
      <c r="F8771" s="2" t="s">
        <v>2921</v>
      </c>
      <c r="G8771" s="1">
        <v>146.952</v>
      </c>
      <c r="H8771" s="1">
        <v>3</v>
      </c>
      <c r="I8771" s="1">
        <v>9.1844999999999999</v>
      </c>
    </row>
    <row r="8772" spans="1:9" x14ac:dyDescent="0.35">
      <c r="A8772" s="3">
        <v>42713</v>
      </c>
      <c r="B8772" s="1" t="s">
        <v>721</v>
      </c>
      <c r="C8772" s="1" t="s">
        <v>697</v>
      </c>
      <c r="D8772" s="1" t="s">
        <v>229</v>
      </c>
      <c r="E8772" s="1" t="s">
        <v>14</v>
      </c>
      <c r="F8772" s="2" t="s">
        <v>1355</v>
      </c>
      <c r="G8772" s="1">
        <v>83.135999999999996</v>
      </c>
      <c r="H8772" s="1">
        <v>4</v>
      </c>
      <c r="I8772" s="1">
        <v>5.1959999999999997</v>
      </c>
    </row>
    <row r="8773" spans="1:9" x14ac:dyDescent="0.35">
      <c r="A8773" s="3" t="s">
        <v>3162</v>
      </c>
      <c r="B8773" s="1" t="s">
        <v>2110</v>
      </c>
      <c r="C8773" s="1" t="s">
        <v>1912</v>
      </c>
      <c r="D8773" s="1" t="s">
        <v>43</v>
      </c>
      <c r="E8773" s="1" t="s">
        <v>37</v>
      </c>
      <c r="F8773" s="2" t="s">
        <v>2008</v>
      </c>
      <c r="G8773" s="1">
        <v>942.78399999999999</v>
      </c>
      <c r="H8773" s="1">
        <v>4</v>
      </c>
      <c r="I8773" s="1">
        <v>94.278400000000005</v>
      </c>
    </row>
    <row r="8774" spans="1:9" x14ac:dyDescent="0.35">
      <c r="A8774" s="3" t="s">
        <v>3162</v>
      </c>
      <c r="B8774" s="1" t="s">
        <v>2110</v>
      </c>
      <c r="C8774" s="1" t="s">
        <v>1912</v>
      </c>
      <c r="D8774" s="1" t="s">
        <v>43</v>
      </c>
      <c r="E8774" s="1" t="s">
        <v>44</v>
      </c>
      <c r="F8774" s="2" t="s">
        <v>1729</v>
      </c>
      <c r="G8774" s="1">
        <v>74.352000000000004</v>
      </c>
      <c r="H8774" s="1">
        <v>3</v>
      </c>
      <c r="I8774" s="1">
        <v>23.234999999999999</v>
      </c>
    </row>
    <row r="8775" spans="1:9" x14ac:dyDescent="0.35">
      <c r="A8775" s="3" t="s">
        <v>3825</v>
      </c>
      <c r="B8775" s="1" t="s">
        <v>3077</v>
      </c>
      <c r="C8775" s="1" t="s">
        <v>135</v>
      </c>
      <c r="D8775" s="1" t="s">
        <v>136</v>
      </c>
      <c r="E8775" s="1" t="s">
        <v>37</v>
      </c>
      <c r="F8775" s="2" t="s">
        <v>1004</v>
      </c>
      <c r="G8775" s="1">
        <v>26.88</v>
      </c>
      <c r="H8775" s="1">
        <v>6</v>
      </c>
      <c r="I8775" s="1">
        <v>6.72</v>
      </c>
    </row>
    <row r="8776" spans="1:9" x14ac:dyDescent="0.35">
      <c r="A8776" s="3" t="s">
        <v>3825</v>
      </c>
      <c r="B8776" s="1" t="s">
        <v>3077</v>
      </c>
      <c r="C8776" s="1" t="s">
        <v>135</v>
      </c>
      <c r="D8776" s="1" t="s">
        <v>136</v>
      </c>
      <c r="E8776" s="1" t="s">
        <v>35</v>
      </c>
      <c r="F8776" s="2" t="s">
        <v>2127</v>
      </c>
      <c r="G8776" s="1">
        <v>10.896000000000001</v>
      </c>
      <c r="H8776" s="1">
        <v>2</v>
      </c>
      <c r="I8776" s="1">
        <v>3.8136000000000001</v>
      </c>
    </row>
    <row r="8777" spans="1:9" x14ac:dyDescent="0.35">
      <c r="A8777" s="3">
        <v>42502</v>
      </c>
      <c r="B8777" s="1" t="s">
        <v>1733</v>
      </c>
      <c r="C8777" s="1" t="s">
        <v>154</v>
      </c>
      <c r="D8777" s="1" t="s">
        <v>106</v>
      </c>
      <c r="E8777" s="1" t="s">
        <v>31</v>
      </c>
      <c r="F8777" s="2" t="s">
        <v>319</v>
      </c>
      <c r="G8777" s="1">
        <v>3.536</v>
      </c>
      <c r="H8777" s="1">
        <v>2</v>
      </c>
      <c r="I8777" s="1">
        <v>0.30940000000000001</v>
      </c>
    </row>
    <row r="8778" spans="1:9" x14ac:dyDescent="0.35">
      <c r="A8778" s="3">
        <v>42407</v>
      </c>
      <c r="B8778" s="1" t="s">
        <v>436</v>
      </c>
      <c r="C8778" s="1" t="s">
        <v>785</v>
      </c>
      <c r="D8778" s="1" t="s">
        <v>52</v>
      </c>
      <c r="E8778" s="1" t="s">
        <v>14</v>
      </c>
      <c r="F8778" s="2" t="s">
        <v>1161</v>
      </c>
      <c r="G8778" s="1">
        <v>528.42999999999995</v>
      </c>
      <c r="H8778" s="1">
        <v>5</v>
      </c>
      <c r="I8778" s="1">
        <v>0</v>
      </c>
    </row>
    <row r="8779" spans="1:9" x14ac:dyDescent="0.35">
      <c r="A8779" s="3">
        <v>42407</v>
      </c>
      <c r="B8779" s="1" t="s">
        <v>436</v>
      </c>
      <c r="C8779" s="1" t="s">
        <v>785</v>
      </c>
      <c r="D8779" s="1" t="s">
        <v>52</v>
      </c>
      <c r="E8779" s="1" t="s">
        <v>44</v>
      </c>
      <c r="F8779" s="2" t="s">
        <v>2390</v>
      </c>
      <c r="G8779" s="1">
        <v>41.472000000000001</v>
      </c>
      <c r="H8779" s="1">
        <v>8</v>
      </c>
      <c r="I8779" s="1">
        <v>14.5152</v>
      </c>
    </row>
    <row r="8780" spans="1:9" x14ac:dyDescent="0.35">
      <c r="A8780" s="3" t="s">
        <v>3703</v>
      </c>
      <c r="B8780" s="1" t="s">
        <v>654</v>
      </c>
      <c r="C8780" s="1" t="s">
        <v>135</v>
      </c>
      <c r="D8780" s="1" t="s">
        <v>136</v>
      </c>
      <c r="E8780" s="1" t="s">
        <v>12</v>
      </c>
      <c r="F8780" s="2" t="s">
        <v>1015</v>
      </c>
      <c r="G8780" s="1">
        <v>287.976</v>
      </c>
      <c r="H8780" s="1">
        <v>3</v>
      </c>
      <c r="I8780" s="1">
        <v>7.1993999999999998</v>
      </c>
    </row>
    <row r="8781" spans="1:9" x14ac:dyDescent="0.35">
      <c r="A8781" s="3" t="s">
        <v>3601</v>
      </c>
      <c r="B8781" s="1" t="s">
        <v>1110</v>
      </c>
      <c r="C8781" s="1" t="s">
        <v>909</v>
      </c>
      <c r="D8781" s="1" t="s">
        <v>212</v>
      </c>
      <c r="E8781" s="1" t="s">
        <v>26</v>
      </c>
      <c r="F8781" s="2" t="s">
        <v>1311</v>
      </c>
      <c r="G8781" s="1">
        <v>29.303999999999998</v>
      </c>
      <c r="H8781" s="1">
        <v>3</v>
      </c>
      <c r="I8781" s="1">
        <v>2.5640999999999998</v>
      </c>
    </row>
    <row r="8782" spans="1:9" x14ac:dyDescent="0.35">
      <c r="A8782" s="3">
        <v>42007</v>
      </c>
      <c r="B8782" s="1" t="s">
        <v>3058</v>
      </c>
      <c r="C8782" s="1" t="s">
        <v>93</v>
      </c>
      <c r="D8782" s="1" t="s">
        <v>52</v>
      </c>
      <c r="E8782" s="1" t="s">
        <v>31</v>
      </c>
      <c r="F8782" s="2" t="s">
        <v>2084</v>
      </c>
      <c r="G8782" s="1">
        <v>55.328000000000003</v>
      </c>
      <c r="H8782" s="1">
        <v>2</v>
      </c>
      <c r="I8782" s="1">
        <v>6.2244000000000002</v>
      </c>
    </row>
    <row r="8783" spans="1:9" x14ac:dyDescent="0.35">
      <c r="A8783" s="3">
        <v>42007</v>
      </c>
      <c r="B8783" s="1" t="s">
        <v>3058</v>
      </c>
      <c r="C8783" s="1" t="s">
        <v>93</v>
      </c>
      <c r="D8783" s="1" t="s">
        <v>52</v>
      </c>
      <c r="E8783" s="1" t="s">
        <v>12</v>
      </c>
      <c r="F8783" s="2" t="s">
        <v>1350</v>
      </c>
      <c r="G8783" s="1">
        <v>1227.9983999999999</v>
      </c>
      <c r="H8783" s="1">
        <v>6</v>
      </c>
      <c r="I8783" s="1">
        <v>-36.117600000000003</v>
      </c>
    </row>
    <row r="8784" spans="1:9" x14ac:dyDescent="0.35">
      <c r="A8784" s="3" t="s">
        <v>3561</v>
      </c>
      <c r="B8784" s="1" t="s">
        <v>966</v>
      </c>
      <c r="C8784" s="1" t="s">
        <v>3103</v>
      </c>
      <c r="D8784" s="1" t="s">
        <v>2459</v>
      </c>
      <c r="E8784" s="1" t="s">
        <v>35</v>
      </c>
      <c r="F8784" s="2" t="s">
        <v>1995</v>
      </c>
      <c r="G8784" s="1">
        <v>20.416</v>
      </c>
      <c r="H8784" s="1">
        <v>4</v>
      </c>
      <c r="I8784" s="1">
        <v>6.6352000000000002</v>
      </c>
    </row>
    <row r="8785" spans="1:9" x14ac:dyDescent="0.35">
      <c r="A8785" s="3" t="s">
        <v>3561</v>
      </c>
      <c r="B8785" s="1" t="s">
        <v>966</v>
      </c>
      <c r="C8785" s="1" t="s">
        <v>3103</v>
      </c>
      <c r="D8785" s="1" t="s">
        <v>2459</v>
      </c>
      <c r="E8785" s="1" t="s">
        <v>24</v>
      </c>
      <c r="F8785" s="2" t="s">
        <v>440</v>
      </c>
      <c r="G8785" s="1">
        <v>1128.3900000000001</v>
      </c>
      <c r="H8785" s="1">
        <v>3</v>
      </c>
      <c r="I8785" s="1">
        <v>259.52969999999999</v>
      </c>
    </row>
    <row r="8786" spans="1:9" x14ac:dyDescent="0.35">
      <c r="A8786" s="3" t="s">
        <v>3385</v>
      </c>
      <c r="B8786" s="1" t="s">
        <v>1298</v>
      </c>
      <c r="C8786" s="1" t="s">
        <v>2099</v>
      </c>
      <c r="D8786" s="1" t="s">
        <v>171</v>
      </c>
      <c r="E8786" s="1" t="s">
        <v>19</v>
      </c>
      <c r="F8786" s="2" t="s">
        <v>1968</v>
      </c>
      <c r="G8786" s="1">
        <v>4.6079999999999997</v>
      </c>
      <c r="H8786" s="1">
        <v>2</v>
      </c>
      <c r="I8786" s="1">
        <v>1.6704000000000001</v>
      </c>
    </row>
    <row r="8787" spans="1:9" x14ac:dyDescent="0.35">
      <c r="A8787" s="3" t="s">
        <v>3166</v>
      </c>
      <c r="B8787" s="1" t="s">
        <v>2523</v>
      </c>
      <c r="C8787" s="1" t="s">
        <v>272</v>
      </c>
      <c r="D8787" s="1" t="s">
        <v>158</v>
      </c>
      <c r="E8787" s="1" t="s">
        <v>33</v>
      </c>
      <c r="F8787" s="2" t="s">
        <v>2813</v>
      </c>
      <c r="G8787" s="1">
        <v>195.96</v>
      </c>
      <c r="H8787" s="1">
        <v>5</v>
      </c>
      <c r="I8787" s="1">
        <v>19.596</v>
      </c>
    </row>
    <row r="8788" spans="1:9" x14ac:dyDescent="0.35">
      <c r="A8788" s="3" t="s">
        <v>3166</v>
      </c>
      <c r="B8788" s="1" t="s">
        <v>2523</v>
      </c>
      <c r="C8788" s="1" t="s">
        <v>272</v>
      </c>
      <c r="D8788" s="1" t="s">
        <v>158</v>
      </c>
      <c r="E8788" s="1" t="s">
        <v>44</v>
      </c>
      <c r="F8788" s="2" t="s">
        <v>2468</v>
      </c>
      <c r="G8788" s="1">
        <v>15.552</v>
      </c>
      <c r="H8788" s="1">
        <v>3</v>
      </c>
      <c r="I8788" s="1">
        <v>5.4432</v>
      </c>
    </row>
    <row r="8789" spans="1:9" x14ac:dyDescent="0.35">
      <c r="A8789" s="3" t="s">
        <v>3166</v>
      </c>
      <c r="B8789" s="1" t="s">
        <v>2523</v>
      </c>
      <c r="C8789" s="1" t="s">
        <v>272</v>
      </c>
      <c r="D8789" s="1" t="s">
        <v>158</v>
      </c>
      <c r="E8789" s="1" t="s">
        <v>81</v>
      </c>
      <c r="F8789" s="2" t="s">
        <v>240</v>
      </c>
      <c r="G8789" s="1">
        <v>271.96800000000002</v>
      </c>
      <c r="H8789" s="1">
        <v>4</v>
      </c>
      <c r="I8789" s="1">
        <v>54.393599999999999</v>
      </c>
    </row>
    <row r="8790" spans="1:9" x14ac:dyDescent="0.35">
      <c r="A8790" s="3" t="s">
        <v>3282</v>
      </c>
      <c r="B8790" s="1" t="s">
        <v>1981</v>
      </c>
      <c r="C8790" s="1" t="s">
        <v>361</v>
      </c>
      <c r="D8790" s="1" t="s">
        <v>43</v>
      </c>
      <c r="E8790" s="1" t="s">
        <v>14</v>
      </c>
      <c r="F8790" s="2" t="s">
        <v>1683</v>
      </c>
      <c r="G8790" s="1">
        <v>698.35199999999998</v>
      </c>
      <c r="H8790" s="1">
        <v>3</v>
      </c>
      <c r="I8790" s="1">
        <v>52.376399999999997</v>
      </c>
    </row>
    <row r="8791" spans="1:9" x14ac:dyDescent="0.35">
      <c r="A8791" s="3" t="s">
        <v>3282</v>
      </c>
      <c r="B8791" s="1" t="s">
        <v>1981</v>
      </c>
      <c r="C8791" s="1" t="s">
        <v>361</v>
      </c>
      <c r="D8791" s="1" t="s">
        <v>43</v>
      </c>
      <c r="E8791" s="1" t="s">
        <v>12</v>
      </c>
      <c r="F8791" s="2" t="s">
        <v>1979</v>
      </c>
      <c r="G8791" s="1">
        <v>77.727999999999994</v>
      </c>
      <c r="H8791" s="1">
        <v>2</v>
      </c>
      <c r="I8791" s="1">
        <v>-3.8864000000000001</v>
      </c>
    </row>
    <row r="8792" spans="1:9" x14ac:dyDescent="0.35">
      <c r="A8792" s="3">
        <v>42164</v>
      </c>
      <c r="B8792" s="1" t="s">
        <v>549</v>
      </c>
      <c r="C8792" s="1" t="s">
        <v>693</v>
      </c>
      <c r="D8792" s="1" t="s">
        <v>163</v>
      </c>
      <c r="E8792" s="1" t="s">
        <v>35</v>
      </c>
      <c r="F8792" s="2" t="s">
        <v>2448</v>
      </c>
      <c r="G8792" s="1">
        <v>46.62</v>
      </c>
      <c r="H8792" s="1">
        <v>9</v>
      </c>
      <c r="I8792" s="1">
        <v>21.4452</v>
      </c>
    </row>
    <row r="8793" spans="1:9" x14ac:dyDescent="0.35">
      <c r="A8793" s="3" t="s">
        <v>3436</v>
      </c>
      <c r="B8793" s="1" t="s">
        <v>2258</v>
      </c>
      <c r="C8793" s="1" t="s">
        <v>93</v>
      </c>
      <c r="D8793" s="1" t="s">
        <v>52</v>
      </c>
      <c r="E8793" s="1" t="s">
        <v>33</v>
      </c>
      <c r="F8793" s="2" t="s">
        <v>1162</v>
      </c>
      <c r="G8793" s="1">
        <v>537.54399999999998</v>
      </c>
      <c r="H8793" s="1">
        <v>7</v>
      </c>
      <c r="I8793" s="1">
        <v>47.0351</v>
      </c>
    </row>
    <row r="8794" spans="1:9" x14ac:dyDescent="0.35">
      <c r="A8794" s="3" t="s">
        <v>3826</v>
      </c>
      <c r="B8794" s="1" t="s">
        <v>654</v>
      </c>
      <c r="C8794" s="1" t="s">
        <v>17</v>
      </c>
      <c r="D8794" s="1" t="s">
        <v>18</v>
      </c>
      <c r="E8794" s="1" t="s">
        <v>19</v>
      </c>
      <c r="F8794" s="2" t="s">
        <v>1013</v>
      </c>
      <c r="G8794" s="1">
        <v>14.62</v>
      </c>
      <c r="H8794" s="1">
        <v>2</v>
      </c>
      <c r="I8794" s="1">
        <v>6.8714000000000004</v>
      </c>
    </row>
    <row r="8795" spans="1:9" x14ac:dyDescent="0.35">
      <c r="A8795" s="3" t="s">
        <v>3826</v>
      </c>
      <c r="B8795" s="1" t="s">
        <v>654</v>
      </c>
      <c r="C8795" s="1" t="s">
        <v>17</v>
      </c>
      <c r="D8795" s="1" t="s">
        <v>18</v>
      </c>
      <c r="E8795" s="1" t="s">
        <v>137</v>
      </c>
      <c r="F8795" s="2" t="s">
        <v>870</v>
      </c>
      <c r="G8795" s="1">
        <v>22.55</v>
      </c>
      <c r="H8795" s="1">
        <v>5</v>
      </c>
      <c r="I8795" s="1">
        <v>8.7944999999999993</v>
      </c>
    </row>
    <row r="8796" spans="1:9" x14ac:dyDescent="0.35">
      <c r="A8796" s="3" t="s">
        <v>3826</v>
      </c>
      <c r="B8796" s="1" t="s">
        <v>654</v>
      </c>
      <c r="C8796" s="1" t="s">
        <v>17</v>
      </c>
      <c r="D8796" s="1" t="s">
        <v>18</v>
      </c>
      <c r="E8796" s="1" t="s">
        <v>33</v>
      </c>
      <c r="F8796" s="2" t="s">
        <v>2135</v>
      </c>
      <c r="G8796" s="1">
        <v>583.79999999999995</v>
      </c>
      <c r="H8796" s="1">
        <v>5</v>
      </c>
      <c r="I8796" s="1">
        <v>72.974999999999994</v>
      </c>
    </row>
    <row r="8797" spans="1:9" x14ac:dyDescent="0.35">
      <c r="A8797" s="3" t="s">
        <v>3826</v>
      </c>
      <c r="B8797" s="1" t="s">
        <v>654</v>
      </c>
      <c r="C8797" s="1" t="s">
        <v>17</v>
      </c>
      <c r="D8797" s="1" t="s">
        <v>18</v>
      </c>
      <c r="E8797" s="1" t="s">
        <v>33</v>
      </c>
      <c r="F8797" s="2" t="s">
        <v>1163</v>
      </c>
      <c r="G8797" s="1">
        <v>211.16800000000001</v>
      </c>
      <c r="H8797" s="1">
        <v>4</v>
      </c>
      <c r="I8797" s="1">
        <v>15.8376</v>
      </c>
    </row>
    <row r="8798" spans="1:9" x14ac:dyDescent="0.35">
      <c r="A8798" s="3">
        <v>42558</v>
      </c>
      <c r="B8798" s="1" t="s">
        <v>333</v>
      </c>
      <c r="C8798" s="1" t="s">
        <v>78</v>
      </c>
      <c r="D8798" s="1" t="s">
        <v>61</v>
      </c>
      <c r="E8798" s="1" t="s">
        <v>44</v>
      </c>
      <c r="F8798" s="2" t="s">
        <v>878</v>
      </c>
      <c r="G8798" s="1">
        <v>12.96</v>
      </c>
      <c r="H8798" s="1">
        <v>2</v>
      </c>
      <c r="I8798" s="1">
        <v>6.2207999999999997</v>
      </c>
    </row>
    <row r="8799" spans="1:9" x14ac:dyDescent="0.35">
      <c r="A8799" s="3">
        <v>42558</v>
      </c>
      <c r="B8799" s="1" t="s">
        <v>333</v>
      </c>
      <c r="C8799" s="1" t="s">
        <v>78</v>
      </c>
      <c r="D8799" s="1" t="s">
        <v>61</v>
      </c>
      <c r="E8799" s="1" t="s">
        <v>31</v>
      </c>
      <c r="F8799" s="2" t="s">
        <v>2050</v>
      </c>
      <c r="G8799" s="1">
        <v>45.98</v>
      </c>
      <c r="H8799" s="1">
        <v>2</v>
      </c>
      <c r="I8799" s="1">
        <v>12.8744</v>
      </c>
    </row>
    <row r="8800" spans="1:9" x14ac:dyDescent="0.35">
      <c r="A8800" s="3">
        <v>42525</v>
      </c>
      <c r="B8800" s="1" t="s">
        <v>386</v>
      </c>
      <c r="C8800" s="1" t="s">
        <v>1011</v>
      </c>
      <c r="D8800" s="1" t="s">
        <v>2122</v>
      </c>
      <c r="E8800" s="1" t="s">
        <v>33</v>
      </c>
      <c r="F8800" s="2" t="s">
        <v>2262</v>
      </c>
      <c r="G8800" s="1">
        <v>1294.75</v>
      </c>
      <c r="H8800" s="1">
        <v>5</v>
      </c>
      <c r="I8800" s="1">
        <v>336.63499999999999</v>
      </c>
    </row>
    <row r="8801" spans="1:9" x14ac:dyDescent="0.35">
      <c r="A8801" s="3">
        <v>41856</v>
      </c>
      <c r="B8801" s="1" t="s">
        <v>1493</v>
      </c>
      <c r="C8801" s="1" t="s">
        <v>74</v>
      </c>
      <c r="D8801" s="1" t="s">
        <v>75</v>
      </c>
      <c r="E8801" s="1" t="s">
        <v>579</v>
      </c>
      <c r="F8801" s="2" t="s">
        <v>580</v>
      </c>
      <c r="G8801" s="1">
        <v>1799.97</v>
      </c>
      <c r="H8801" s="1">
        <v>5</v>
      </c>
      <c r="I8801" s="1">
        <v>239.99600000000001</v>
      </c>
    </row>
    <row r="8802" spans="1:9" x14ac:dyDescent="0.35">
      <c r="A8802" s="3" t="s">
        <v>3172</v>
      </c>
      <c r="B8802" s="1" t="s">
        <v>1092</v>
      </c>
      <c r="C8802" s="1" t="s">
        <v>154</v>
      </c>
      <c r="D8802" s="1" t="s">
        <v>106</v>
      </c>
      <c r="E8802" s="1" t="s">
        <v>44</v>
      </c>
      <c r="F8802" s="2" t="s">
        <v>2130</v>
      </c>
      <c r="G8802" s="1">
        <v>10.688000000000001</v>
      </c>
      <c r="H8802" s="1">
        <v>2</v>
      </c>
      <c r="I8802" s="1">
        <v>3.7408000000000001</v>
      </c>
    </row>
    <row r="8803" spans="1:9" x14ac:dyDescent="0.35">
      <c r="A8803" s="3">
        <v>42654</v>
      </c>
      <c r="B8803" s="1" t="s">
        <v>2852</v>
      </c>
      <c r="C8803" s="1" t="s">
        <v>1999</v>
      </c>
      <c r="D8803" s="1" t="s">
        <v>322</v>
      </c>
      <c r="E8803" s="1" t="s">
        <v>33</v>
      </c>
      <c r="F8803" s="2" t="s">
        <v>2865</v>
      </c>
      <c r="G8803" s="1">
        <v>221.98</v>
      </c>
      <c r="H8803" s="1">
        <v>2</v>
      </c>
      <c r="I8803" s="1">
        <v>62.154400000000003</v>
      </c>
    </row>
    <row r="8804" spans="1:9" x14ac:dyDescent="0.35">
      <c r="A8804" s="3">
        <v>42654</v>
      </c>
      <c r="B8804" s="1" t="s">
        <v>2852</v>
      </c>
      <c r="C8804" s="1" t="s">
        <v>1999</v>
      </c>
      <c r="D8804" s="1" t="s">
        <v>322</v>
      </c>
      <c r="E8804" s="1" t="s">
        <v>12</v>
      </c>
      <c r="F8804" s="2" t="s">
        <v>1851</v>
      </c>
      <c r="G8804" s="1">
        <v>341.96</v>
      </c>
      <c r="H8804" s="1">
        <v>2</v>
      </c>
      <c r="I8804" s="1">
        <v>54.7136</v>
      </c>
    </row>
    <row r="8805" spans="1:9" x14ac:dyDescent="0.35">
      <c r="A8805" s="3" t="s">
        <v>3569</v>
      </c>
      <c r="B8805" s="1" t="s">
        <v>2506</v>
      </c>
      <c r="C8805" s="1" t="s">
        <v>135</v>
      </c>
      <c r="D8805" s="1" t="s">
        <v>136</v>
      </c>
      <c r="E8805" s="1" t="s">
        <v>81</v>
      </c>
      <c r="F8805" s="2" t="s">
        <v>1005</v>
      </c>
      <c r="G8805" s="1">
        <v>34.770000000000003</v>
      </c>
      <c r="H8805" s="1">
        <v>3</v>
      </c>
      <c r="I8805" s="1">
        <v>11.4741</v>
      </c>
    </row>
    <row r="8806" spans="1:9" x14ac:dyDescent="0.35">
      <c r="A8806" s="3" t="s">
        <v>3569</v>
      </c>
      <c r="B8806" s="1" t="s">
        <v>2506</v>
      </c>
      <c r="C8806" s="1" t="s">
        <v>135</v>
      </c>
      <c r="D8806" s="1" t="s">
        <v>136</v>
      </c>
      <c r="E8806" s="1" t="s">
        <v>19</v>
      </c>
      <c r="F8806" s="2" t="s">
        <v>351</v>
      </c>
      <c r="G8806" s="1">
        <v>18.899999999999999</v>
      </c>
      <c r="H8806" s="1">
        <v>3</v>
      </c>
      <c r="I8806" s="1">
        <v>8.6940000000000008</v>
      </c>
    </row>
    <row r="8807" spans="1:9" x14ac:dyDescent="0.35">
      <c r="A8807" s="3" t="s">
        <v>3547</v>
      </c>
      <c r="B8807" s="1" t="s">
        <v>639</v>
      </c>
      <c r="C8807" s="1" t="s">
        <v>2093</v>
      </c>
      <c r="D8807" s="1" t="s">
        <v>61</v>
      </c>
      <c r="E8807" s="1" t="s">
        <v>35</v>
      </c>
      <c r="F8807" s="2" t="s">
        <v>1932</v>
      </c>
      <c r="G8807" s="1">
        <v>102.72</v>
      </c>
      <c r="H8807" s="1">
        <v>3</v>
      </c>
      <c r="I8807" s="1">
        <v>37.235999999999997</v>
      </c>
    </row>
    <row r="8808" spans="1:9" x14ac:dyDescent="0.35">
      <c r="A8808" s="3">
        <v>42713</v>
      </c>
      <c r="B8808" s="1" t="s">
        <v>2024</v>
      </c>
      <c r="C8808" s="1" t="s">
        <v>2946</v>
      </c>
      <c r="D8808" s="1" t="s">
        <v>136</v>
      </c>
      <c r="E8808" s="1" t="s">
        <v>29</v>
      </c>
      <c r="F8808" s="2" t="s">
        <v>2831</v>
      </c>
      <c r="G8808" s="1">
        <v>40.479999999999997</v>
      </c>
      <c r="H8808" s="1">
        <v>2</v>
      </c>
      <c r="I8808" s="1">
        <v>14.572800000000001</v>
      </c>
    </row>
    <row r="8809" spans="1:9" x14ac:dyDescent="0.35">
      <c r="A8809" s="3" t="s">
        <v>3167</v>
      </c>
      <c r="B8809" s="1" t="s">
        <v>1586</v>
      </c>
      <c r="C8809" s="1" t="s">
        <v>74</v>
      </c>
      <c r="D8809" s="1" t="s">
        <v>75</v>
      </c>
      <c r="E8809" s="1" t="s">
        <v>35</v>
      </c>
      <c r="F8809" s="2" t="s">
        <v>1370</v>
      </c>
      <c r="G8809" s="1">
        <v>33.281999999999996</v>
      </c>
      <c r="H8809" s="1">
        <v>3</v>
      </c>
      <c r="I8809" s="1">
        <v>-27.734999999999999</v>
      </c>
    </row>
    <row r="8810" spans="1:9" x14ac:dyDescent="0.35">
      <c r="A8810" s="3" t="s">
        <v>3167</v>
      </c>
      <c r="B8810" s="1" t="s">
        <v>1586</v>
      </c>
      <c r="C8810" s="1" t="s">
        <v>74</v>
      </c>
      <c r="D8810" s="1" t="s">
        <v>75</v>
      </c>
      <c r="E8810" s="1" t="s">
        <v>33</v>
      </c>
      <c r="F8810" s="2" t="s">
        <v>2072</v>
      </c>
      <c r="G8810" s="1">
        <v>118.65</v>
      </c>
      <c r="H8810" s="1">
        <v>5</v>
      </c>
      <c r="I8810" s="1">
        <v>19.774999999999999</v>
      </c>
    </row>
    <row r="8811" spans="1:9" x14ac:dyDescent="0.35">
      <c r="A8811" s="3" t="s">
        <v>3167</v>
      </c>
      <c r="B8811" s="1" t="s">
        <v>1586</v>
      </c>
      <c r="C8811" s="1" t="s">
        <v>74</v>
      </c>
      <c r="D8811" s="1" t="s">
        <v>75</v>
      </c>
      <c r="E8811" s="1" t="s">
        <v>19</v>
      </c>
      <c r="F8811" s="2" t="s">
        <v>1561</v>
      </c>
      <c r="G8811" s="1">
        <v>14.76</v>
      </c>
      <c r="H8811" s="1">
        <v>5</v>
      </c>
      <c r="I8811" s="1">
        <v>4.9814999999999996</v>
      </c>
    </row>
    <row r="8812" spans="1:9" x14ac:dyDescent="0.35">
      <c r="A8812" s="3" t="s">
        <v>3721</v>
      </c>
      <c r="B8812" s="1" t="s">
        <v>1521</v>
      </c>
      <c r="C8812" s="1" t="s">
        <v>17</v>
      </c>
      <c r="D8812" s="1" t="s">
        <v>18</v>
      </c>
      <c r="E8812" s="1" t="s">
        <v>44</v>
      </c>
      <c r="F8812" s="2" t="s">
        <v>1590</v>
      </c>
      <c r="G8812" s="1">
        <v>37.520000000000003</v>
      </c>
      <c r="H8812" s="1">
        <v>4</v>
      </c>
      <c r="I8812" s="1">
        <v>18.009599999999999</v>
      </c>
    </row>
    <row r="8813" spans="1:9" x14ac:dyDescent="0.35">
      <c r="A8813" s="3">
        <v>42585</v>
      </c>
      <c r="B8813" s="1" t="s">
        <v>313</v>
      </c>
      <c r="C8813" s="1" t="s">
        <v>167</v>
      </c>
      <c r="D8813" s="1" t="s">
        <v>120</v>
      </c>
      <c r="E8813" s="1" t="s">
        <v>37</v>
      </c>
      <c r="F8813" s="2" t="s">
        <v>1907</v>
      </c>
      <c r="G8813" s="1">
        <v>207.14400000000001</v>
      </c>
      <c r="H8813" s="1">
        <v>3</v>
      </c>
      <c r="I8813" s="1">
        <v>48.333599999999997</v>
      </c>
    </row>
    <row r="8814" spans="1:9" x14ac:dyDescent="0.35">
      <c r="A8814" s="3">
        <v>42585</v>
      </c>
      <c r="B8814" s="1" t="s">
        <v>313</v>
      </c>
      <c r="C8814" s="1" t="s">
        <v>167</v>
      </c>
      <c r="D8814" s="1" t="s">
        <v>120</v>
      </c>
      <c r="E8814" s="1" t="s">
        <v>31</v>
      </c>
      <c r="F8814" s="2" t="s">
        <v>1782</v>
      </c>
      <c r="G8814" s="1">
        <v>13.9</v>
      </c>
      <c r="H8814" s="1">
        <v>5</v>
      </c>
      <c r="I8814" s="1">
        <v>3.7530000000000001</v>
      </c>
    </row>
    <row r="8815" spans="1:9" x14ac:dyDescent="0.35">
      <c r="A8815" s="3" t="s">
        <v>3535</v>
      </c>
      <c r="B8815" s="1" t="s">
        <v>1182</v>
      </c>
      <c r="C8815" s="1" t="s">
        <v>1682</v>
      </c>
      <c r="D8815" s="1" t="s">
        <v>158</v>
      </c>
      <c r="E8815" s="1" t="s">
        <v>14</v>
      </c>
      <c r="F8815" s="2" t="s">
        <v>1119</v>
      </c>
      <c r="G8815" s="1">
        <v>266.35199999999998</v>
      </c>
      <c r="H8815" s="1">
        <v>3</v>
      </c>
      <c r="I8815" s="1">
        <v>13.317600000000001</v>
      </c>
    </row>
    <row r="8816" spans="1:9" x14ac:dyDescent="0.35">
      <c r="A8816" s="3" t="s">
        <v>3783</v>
      </c>
      <c r="B8816" s="1" t="s">
        <v>2220</v>
      </c>
      <c r="C8816" s="1" t="s">
        <v>261</v>
      </c>
      <c r="D8816" s="1" t="s">
        <v>124</v>
      </c>
      <c r="E8816" s="1" t="s">
        <v>33</v>
      </c>
      <c r="F8816" s="2" t="s">
        <v>652</v>
      </c>
      <c r="G8816" s="1">
        <v>307.98</v>
      </c>
      <c r="H8816" s="1">
        <v>2</v>
      </c>
      <c r="I8816" s="1">
        <v>89.3142</v>
      </c>
    </row>
    <row r="8817" spans="1:9" x14ac:dyDescent="0.35">
      <c r="A8817" s="3" t="s">
        <v>3783</v>
      </c>
      <c r="B8817" s="1" t="s">
        <v>2220</v>
      </c>
      <c r="C8817" s="1" t="s">
        <v>261</v>
      </c>
      <c r="D8817" s="1" t="s">
        <v>124</v>
      </c>
      <c r="E8817" s="1" t="s">
        <v>44</v>
      </c>
      <c r="F8817" s="2" t="s">
        <v>3104</v>
      </c>
      <c r="G8817" s="1">
        <v>44.1</v>
      </c>
      <c r="H8817" s="1">
        <v>6</v>
      </c>
      <c r="I8817" s="1">
        <v>20.727</v>
      </c>
    </row>
    <row r="8818" spans="1:9" x14ac:dyDescent="0.35">
      <c r="A8818" s="3" t="s">
        <v>3783</v>
      </c>
      <c r="B8818" s="1" t="s">
        <v>2220</v>
      </c>
      <c r="C8818" s="1" t="s">
        <v>261</v>
      </c>
      <c r="D8818" s="1" t="s">
        <v>124</v>
      </c>
      <c r="E8818" s="1" t="s">
        <v>31</v>
      </c>
      <c r="F8818" s="2" t="s">
        <v>357</v>
      </c>
      <c r="G8818" s="1">
        <v>13.12</v>
      </c>
      <c r="H8818" s="1">
        <v>4</v>
      </c>
      <c r="I8818" s="1">
        <v>5.6416000000000004</v>
      </c>
    </row>
    <row r="8819" spans="1:9" x14ac:dyDescent="0.35">
      <c r="A8819" s="3" t="s">
        <v>3783</v>
      </c>
      <c r="B8819" s="1" t="s">
        <v>2220</v>
      </c>
      <c r="C8819" s="1" t="s">
        <v>261</v>
      </c>
      <c r="D8819" s="1" t="s">
        <v>124</v>
      </c>
      <c r="E8819" s="1" t="s">
        <v>87</v>
      </c>
      <c r="F8819" s="2" t="s">
        <v>332</v>
      </c>
      <c r="G8819" s="1">
        <v>16.559999999999999</v>
      </c>
      <c r="H8819" s="1">
        <v>2</v>
      </c>
      <c r="I8819" s="1">
        <v>7.7831999999999999</v>
      </c>
    </row>
    <row r="8820" spans="1:9" x14ac:dyDescent="0.35">
      <c r="A8820" s="3" t="s">
        <v>3783</v>
      </c>
      <c r="B8820" s="1" t="s">
        <v>2220</v>
      </c>
      <c r="C8820" s="1" t="s">
        <v>261</v>
      </c>
      <c r="D8820" s="1" t="s">
        <v>124</v>
      </c>
      <c r="E8820" s="1" t="s">
        <v>44</v>
      </c>
      <c r="F8820" s="2" t="s">
        <v>878</v>
      </c>
      <c r="G8820" s="1">
        <v>38.880000000000003</v>
      </c>
      <c r="H8820" s="1">
        <v>6</v>
      </c>
      <c r="I8820" s="1">
        <v>18.662400000000002</v>
      </c>
    </row>
    <row r="8821" spans="1:9" x14ac:dyDescent="0.35">
      <c r="A8821" s="3" t="s">
        <v>3465</v>
      </c>
      <c r="B8821" s="1" t="s">
        <v>1573</v>
      </c>
      <c r="C8821" s="1" t="s">
        <v>588</v>
      </c>
      <c r="D8821" s="1" t="s">
        <v>52</v>
      </c>
      <c r="E8821" s="1" t="s">
        <v>44</v>
      </c>
      <c r="F8821" s="2" t="s">
        <v>1152</v>
      </c>
      <c r="G8821" s="1">
        <v>335.52</v>
      </c>
      <c r="H8821" s="1">
        <v>4</v>
      </c>
      <c r="I8821" s="1">
        <v>117.432</v>
      </c>
    </row>
    <row r="8822" spans="1:9" x14ac:dyDescent="0.35">
      <c r="A8822" s="3">
        <v>42805</v>
      </c>
      <c r="B8822" s="1" t="s">
        <v>255</v>
      </c>
      <c r="C8822" s="1" t="s">
        <v>2398</v>
      </c>
      <c r="D8822" s="1" t="s">
        <v>23</v>
      </c>
      <c r="E8822" s="1" t="s">
        <v>579</v>
      </c>
      <c r="F8822" s="2" t="s">
        <v>824</v>
      </c>
      <c r="G8822" s="1">
        <v>959.98400000000004</v>
      </c>
      <c r="H8822" s="1">
        <v>2</v>
      </c>
      <c r="I8822" s="1">
        <v>311.9948</v>
      </c>
    </row>
    <row r="8823" spans="1:9" x14ac:dyDescent="0.35">
      <c r="A8823" s="3">
        <v>42805</v>
      </c>
      <c r="B8823" s="1" t="s">
        <v>255</v>
      </c>
      <c r="C8823" s="1" t="s">
        <v>2398</v>
      </c>
      <c r="D8823" s="1" t="s">
        <v>23</v>
      </c>
      <c r="E8823" s="1" t="s">
        <v>35</v>
      </c>
      <c r="F8823" s="2" t="s">
        <v>2127</v>
      </c>
      <c r="G8823" s="1">
        <v>4.0860000000000003</v>
      </c>
      <c r="H8823" s="1">
        <v>2</v>
      </c>
      <c r="I8823" s="1">
        <v>-2.9964</v>
      </c>
    </row>
    <row r="8824" spans="1:9" x14ac:dyDescent="0.35">
      <c r="A8824" s="3">
        <v>42805</v>
      </c>
      <c r="B8824" s="1" t="s">
        <v>255</v>
      </c>
      <c r="C8824" s="1" t="s">
        <v>2398</v>
      </c>
      <c r="D8824" s="1" t="s">
        <v>23</v>
      </c>
      <c r="E8824" s="1" t="s">
        <v>31</v>
      </c>
      <c r="F8824" s="2" t="s">
        <v>2925</v>
      </c>
      <c r="G8824" s="1">
        <v>55.984000000000002</v>
      </c>
      <c r="H8824" s="1">
        <v>2</v>
      </c>
      <c r="I8824" s="1">
        <v>4.1988000000000003</v>
      </c>
    </row>
    <row r="8825" spans="1:9" x14ac:dyDescent="0.35">
      <c r="A8825" s="3">
        <v>42805</v>
      </c>
      <c r="B8825" s="1" t="s">
        <v>255</v>
      </c>
      <c r="C8825" s="1" t="s">
        <v>2398</v>
      </c>
      <c r="D8825" s="1" t="s">
        <v>23</v>
      </c>
      <c r="E8825" s="1" t="s">
        <v>44</v>
      </c>
      <c r="F8825" s="2" t="s">
        <v>1233</v>
      </c>
      <c r="G8825" s="1">
        <v>10.688000000000001</v>
      </c>
      <c r="H8825" s="1">
        <v>2</v>
      </c>
      <c r="I8825" s="1">
        <v>3.7408000000000001</v>
      </c>
    </row>
    <row r="8826" spans="1:9" x14ac:dyDescent="0.35">
      <c r="A8826" s="3" t="s">
        <v>3551</v>
      </c>
      <c r="B8826" s="1" t="s">
        <v>140</v>
      </c>
      <c r="C8826" s="1" t="s">
        <v>1973</v>
      </c>
      <c r="D8826" s="1" t="s">
        <v>75</v>
      </c>
      <c r="E8826" s="1" t="s">
        <v>87</v>
      </c>
      <c r="F8826" s="2" t="s">
        <v>790</v>
      </c>
      <c r="G8826" s="1">
        <v>8.8559999999999999</v>
      </c>
      <c r="H8826" s="1">
        <v>3</v>
      </c>
      <c r="I8826" s="1">
        <v>2.8782000000000001</v>
      </c>
    </row>
    <row r="8827" spans="1:9" x14ac:dyDescent="0.35">
      <c r="A8827" s="3" t="s">
        <v>3498</v>
      </c>
      <c r="B8827" s="1" t="s">
        <v>620</v>
      </c>
      <c r="C8827" s="1" t="s">
        <v>74</v>
      </c>
      <c r="D8827" s="1" t="s">
        <v>75</v>
      </c>
      <c r="E8827" s="1" t="s">
        <v>19</v>
      </c>
      <c r="F8827" s="2" t="s">
        <v>1968</v>
      </c>
      <c r="G8827" s="1">
        <v>6.9119999999999999</v>
      </c>
      <c r="H8827" s="1">
        <v>3</v>
      </c>
      <c r="I8827" s="1">
        <v>2.5055999999999998</v>
      </c>
    </row>
    <row r="8828" spans="1:9" x14ac:dyDescent="0.35">
      <c r="A8828" s="3">
        <v>41674</v>
      </c>
      <c r="B8828" s="1" t="s">
        <v>2577</v>
      </c>
      <c r="C8828" s="1" t="s">
        <v>93</v>
      </c>
      <c r="D8828" s="1" t="s">
        <v>52</v>
      </c>
      <c r="E8828" s="1" t="s">
        <v>44</v>
      </c>
      <c r="F8828" s="2" t="s">
        <v>865</v>
      </c>
      <c r="G8828" s="1">
        <v>26.72</v>
      </c>
      <c r="H8828" s="1">
        <v>5</v>
      </c>
      <c r="I8828" s="1">
        <v>9.3520000000000003</v>
      </c>
    </row>
    <row r="8829" spans="1:9" x14ac:dyDescent="0.35">
      <c r="A8829" s="3">
        <v>41674</v>
      </c>
      <c r="B8829" s="1" t="s">
        <v>2577</v>
      </c>
      <c r="C8829" s="1" t="s">
        <v>93</v>
      </c>
      <c r="D8829" s="1" t="s">
        <v>52</v>
      </c>
      <c r="E8829" s="1" t="s">
        <v>44</v>
      </c>
      <c r="F8829" s="2" t="s">
        <v>2971</v>
      </c>
      <c r="G8829" s="1">
        <v>33.488</v>
      </c>
      <c r="H8829" s="1">
        <v>7</v>
      </c>
      <c r="I8829" s="1">
        <v>10.465</v>
      </c>
    </row>
    <row r="8830" spans="1:9" x14ac:dyDescent="0.35">
      <c r="A8830" s="3">
        <v>42130</v>
      </c>
      <c r="B8830" s="1" t="s">
        <v>722</v>
      </c>
      <c r="C8830" s="1" t="s">
        <v>3044</v>
      </c>
      <c r="D8830" s="1" t="s">
        <v>298</v>
      </c>
      <c r="E8830" s="1" t="s">
        <v>44</v>
      </c>
      <c r="F8830" s="2" t="s">
        <v>1930</v>
      </c>
      <c r="G8830" s="1">
        <v>10.56</v>
      </c>
      <c r="H8830" s="1">
        <v>2</v>
      </c>
      <c r="I8830" s="1">
        <v>4.7519999999999998</v>
      </c>
    </row>
    <row r="8831" spans="1:9" x14ac:dyDescent="0.35">
      <c r="A8831" s="3">
        <v>41800</v>
      </c>
      <c r="B8831" s="1" t="s">
        <v>3010</v>
      </c>
      <c r="C8831" s="1" t="s">
        <v>1840</v>
      </c>
      <c r="D8831" s="1" t="s">
        <v>129</v>
      </c>
      <c r="E8831" s="1" t="s">
        <v>26</v>
      </c>
      <c r="F8831" s="2" t="s">
        <v>2769</v>
      </c>
      <c r="G8831" s="1">
        <v>386.34</v>
      </c>
      <c r="H8831" s="1">
        <v>2</v>
      </c>
      <c r="I8831" s="1">
        <v>54.087600000000002</v>
      </c>
    </row>
    <row r="8832" spans="1:9" x14ac:dyDescent="0.35">
      <c r="A8832" s="3" t="s">
        <v>3634</v>
      </c>
      <c r="B8832" s="1" t="s">
        <v>1262</v>
      </c>
      <c r="C8832" s="1" t="s">
        <v>47</v>
      </c>
      <c r="D8832" s="1" t="s">
        <v>48</v>
      </c>
      <c r="E8832" s="1" t="s">
        <v>35</v>
      </c>
      <c r="F8832" s="2" t="s">
        <v>1379</v>
      </c>
      <c r="G8832" s="1">
        <v>33.44</v>
      </c>
      <c r="H8832" s="1">
        <v>10</v>
      </c>
      <c r="I8832" s="1">
        <v>11.704000000000001</v>
      </c>
    </row>
    <row r="8833" spans="1:9" x14ac:dyDescent="0.35">
      <c r="A8833" s="3" t="s">
        <v>3702</v>
      </c>
      <c r="B8833" s="1" t="s">
        <v>2651</v>
      </c>
      <c r="C8833" s="1" t="s">
        <v>1442</v>
      </c>
      <c r="D8833" s="1" t="s">
        <v>163</v>
      </c>
      <c r="E8833" s="1" t="s">
        <v>29</v>
      </c>
      <c r="F8833" s="2" t="s">
        <v>996</v>
      </c>
      <c r="G8833" s="1">
        <v>39.96</v>
      </c>
      <c r="H8833" s="1">
        <v>2</v>
      </c>
      <c r="I8833" s="1">
        <v>14.3856</v>
      </c>
    </row>
    <row r="8834" spans="1:9" x14ac:dyDescent="0.35">
      <c r="A8834" s="3" t="s">
        <v>3409</v>
      </c>
      <c r="B8834" s="1" t="s">
        <v>1831</v>
      </c>
      <c r="C8834" s="1" t="s">
        <v>197</v>
      </c>
      <c r="D8834" s="1" t="s">
        <v>136</v>
      </c>
      <c r="E8834" s="1" t="s">
        <v>35</v>
      </c>
      <c r="F8834" s="2" t="s">
        <v>1202</v>
      </c>
      <c r="G8834" s="1">
        <v>1217.568</v>
      </c>
      <c r="H8834" s="1">
        <v>2</v>
      </c>
      <c r="I8834" s="1">
        <v>456.58800000000002</v>
      </c>
    </row>
    <row r="8835" spans="1:9" x14ac:dyDescent="0.35">
      <c r="A8835" s="3" t="s">
        <v>3404</v>
      </c>
      <c r="B8835" s="1" t="s">
        <v>2085</v>
      </c>
      <c r="C8835" s="1" t="s">
        <v>2765</v>
      </c>
      <c r="D8835" s="1" t="s">
        <v>604</v>
      </c>
      <c r="E8835" s="1" t="s">
        <v>26</v>
      </c>
      <c r="F8835" s="2" t="s">
        <v>2551</v>
      </c>
      <c r="G8835" s="1">
        <v>15.51</v>
      </c>
      <c r="H8835" s="1">
        <v>1</v>
      </c>
      <c r="I8835" s="1">
        <v>3.8774999999999999</v>
      </c>
    </row>
    <row r="8836" spans="1:9" x14ac:dyDescent="0.35">
      <c r="A8836" s="3" t="s">
        <v>3404</v>
      </c>
      <c r="B8836" s="1" t="s">
        <v>2085</v>
      </c>
      <c r="C8836" s="1" t="s">
        <v>2765</v>
      </c>
      <c r="D8836" s="1" t="s">
        <v>604</v>
      </c>
      <c r="E8836" s="1" t="s">
        <v>33</v>
      </c>
      <c r="F8836" s="2" t="s">
        <v>2526</v>
      </c>
      <c r="G8836" s="1">
        <v>89.9</v>
      </c>
      <c r="H8836" s="1">
        <v>2</v>
      </c>
      <c r="I8836" s="1">
        <v>25.172000000000001</v>
      </c>
    </row>
    <row r="8837" spans="1:9" x14ac:dyDescent="0.35">
      <c r="A8837" s="3" t="s">
        <v>3404</v>
      </c>
      <c r="B8837" s="1" t="s">
        <v>2085</v>
      </c>
      <c r="C8837" s="1" t="s">
        <v>2765</v>
      </c>
      <c r="D8837" s="1" t="s">
        <v>604</v>
      </c>
      <c r="E8837" s="1" t="s">
        <v>31</v>
      </c>
      <c r="F8837" s="2" t="s">
        <v>2906</v>
      </c>
      <c r="G8837" s="1">
        <v>14.28</v>
      </c>
      <c r="H8837" s="1">
        <v>4</v>
      </c>
      <c r="I8837" s="1">
        <v>3.7128000000000001</v>
      </c>
    </row>
    <row r="8838" spans="1:9" x14ac:dyDescent="0.35">
      <c r="A8838" s="3" t="s">
        <v>3404</v>
      </c>
      <c r="B8838" s="1" t="s">
        <v>2085</v>
      </c>
      <c r="C8838" s="1" t="s">
        <v>2765</v>
      </c>
      <c r="D8838" s="1" t="s">
        <v>604</v>
      </c>
      <c r="E8838" s="1" t="s">
        <v>31</v>
      </c>
      <c r="F8838" s="2" t="s">
        <v>1296</v>
      </c>
      <c r="G8838" s="1">
        <v>12.72</v>
      </c>
      <c r="H8838" s="1">
        <v>3</v>
      </c>
      <c r="I8838" s="1">
        <v>4.9607999999999999</v>
      </c>
    </row>
    <row r="8839" spans="1:9" x14ac:dyDescent="0.35">
      <c r="A8839" s="3" t="s">
        <v>3404</v>
      </c>
      <c r="B8839" s="1" t="s">
        <v>2085</v>
      </c>
      <c r="C8839" s="1" t="s">
        <v>2765</v>
      </c>
      <c r="D8839" s="1" t="s">
        <v>604</v>
      </c>
      <c r="E8839" s="1" t="s">
        <v>19</v>
      </c>
      <c r="F8839" s="2" t="s">
        <v>682</v>
      </c>
      <c r="G8839" s="1">
        <v>15.75</v>
      </c>
      <c r="H8839" s="1">
        <v>5</v>
      </c>
      <c r="I8839" s="1">
        <v>7.56</v>
      </c>
    </row>
    <row r="8840" spans="1:9" x14ac:dyDescent="0.35">
      <c r="A8840" s="3">
        <v>41794</v>
      </c>
      <c r="B8840" s="1" t="s">
        <v>1426</v>
      </c>
      <c r="C8840" s="1" t="s">
        <v>17</v>
      </c>
      <c r="D8840" s="1" t="s">
        <v>18</v>
      </c>
      <c r="E8840" s="1" t="s">
        <v>31</v>
      </c>
      <c r="F8840" s="2" t="s">
        <v>2601</v>
      </c>
      <c r="G8840" s="1">
        <v>70.95</v>
      </c>
      <c r="H8840" s="1">
        <v>3</v>
      </c>
      <c r="I8840" s="1">
        <v>18.446999999999999</v>
      </c>
    </row>
    <row r="8841" spans="1:9" x14ac:dyDescent="0.35">
      <c r="A8841" s="3">
        <v>41794</v>
      </c>
      <c r="B8841" s="1" t="s">
        <v>1426</v>
      </c>
      <c r="C8841" s="1" t="s">
        <v>17</v>
      </c>
      <c r="D8841" s="1" t="s">
        <v>18</v>
      </c>
      <c r="E8841" s="1" t="s">
        <v>35</v>
      </c>
      <c r="F8841" s="2" t="s">
        <v>232</v>
      </c>
      <c r="G8841" s="1">
        <v>65.567999999999998</v>
      </c>
      <c r="H8841" s="1">
        <v>2</v>
      </c>
      <c r="I8841" s="1">
        <v>23.7684</v>
      </c>
    </row>
    <row r="8842" spans="1:9" x14ac:dyDescent="0.35">
      <c r="A8842" s="3">
        <v>41794</v>
      </c>
      <c r="B8842" s="1" t="s">
        <v>1426</v>
      </c>
      <c r="C8842" s="1" t="s">
        <v>17</v>
      </c>
      <c r="D8842" s="1" t="s">
        <v>18</v>
      </c>
      <c r="E8842" s="1" t="s">
        <v>81</v>
      </c>
      <c r="F8842" s="2" t="s">
        <v>2211</v>
      </c>
      <c r="G8842" s="1">
        <v>299.97000000000003</v>
      </c>
      <c r="H8842" s="1">
        <v>3</v>
      </c>
      <c r="I8842" s="1">
        <v>131.98679999999999</v>
      </c>
    </row>
    <row r="8843" spans="1:9" x14ac:dyDescent="0.35">
      <c r="A8843" s="3">
        <v>42615</v>
      </c>
      <c r="B8843" s="1" t="s">
        <v>1228</v>
      </c>
      <c r="C8843" s="1" t="s">
        <v>64</v>
      </c>
      <c r="D8843" s="1" t="s">
        <v>18</v>
      </c>
      <c r="E8843" s="1" t="s">
        <v>81</v>
      </c>
      <c r="F8843" s="2" t="s">
        <v>490</v>
      </c>
      <c r="G8843" s="1">
        <v>89.97</v>
      </c>
      <c r="H8843" s="1">
        <v>3</v>
      </c>
      <c r="I8843" s="1">
        <v>39.586799999999997</v>
      </c>
    </row>
    <row r="8844" spans="1:9" x14ac:dyDescent="0.35">
      <c r="A8844" s="3">
        <v>42615</v>
      </c>
      <c r="B8844" s="1" t="s">
        <v>1228</v>
      </c>
      <c r="C8844" s="1" t="s">
        <v>64</v>
      </c>
      <c r="D8844" s="1" t="s">
        <v>18</v>
      </c>
      <c r="E8844" s="1" t="s">
        <v>81</v>
      </c>
      <c r="F8844" s="2" t="s">
        <v>1349</v>
      </c>
      <c r="G8844" s="1">
        <v>31.86</v>
      </c>
      <c r="H8844" s="1">
        <v>2</v>
      </c>
      <c r="I8844" s="1">
        <v>11.151</v>
      </c>
    </row>
    <row r="8845" spans="1:9" x14ac:dyDescent="0.35">
      <c r="A8845" s="3" t="s">
        <v>3368</v>
      </c>
      <c r="B8845" s="1" t="s">
        <v>188</v>
      </c>
      <c r="C8845" s="1" t="s">
        <v>206</v>
      </c>
      <c r="D8845" s="1" t="s">
        <v>115</v>
      </c>
      <c r="E8845" s="1" t="s">
        <v>26</v>
      </c>
      <c r="F8845" s="2" t="s">
        <v>2793</v>
      </c>
      <c r="G8845" s="1">
        <v>67.150000000000006</v>
      </c>
      <c r="H8845" s="1">
        <v>5</v>
      </c>
      <c r="I8845" s="1">
        <v>16.787500000000001</v>
      </c>
    </row>
    <row r="8846" spans="1:9" x14ac:dyDescent="0.35">
      <c r="A8846" s="3" t="s">
        <v>3291</v>
      </c>
      <c r="B8846" s="1" t="s">
        <v>1600</v>
      </c>
      <c r="C8846" s="1" t="s">
        <v>249</v>
      </c>
      <c r="D8846" s="1" t="s">
        <v>250</v>
      </c>
      <c r="E8846" s="1" t="s">
        <v>35</v>
      </c>
      <c r="F8846" s="2" t="s">
        <v>2032</v>
      </c>
      <c r="G8846" s="1">
        <v>7.2359999999999998</v>
      </c>
      <c r="H8846" s="1">
        <v>3</v>
      </c>
      <c r="I8846" s="1">
        <v>-6.03</v>
      </c>
    </row>
    <row r="8847" spans="1:9" x14ac:dyDescent="0.35">
      <c r="A8847" s="3" t="s">
        <v>3291</v>
      </c>
      <c r="B8847" s="1" t="s">
        <v>1600</v>
      </c>
      <c r="C8847" s="1" t="s">
        <v>249</v>
      </c>
      <c r="D8847" s="1" t="s">
        <v>250</v>
      </c>
      <c r="E8847" s="1" t="s">
        <v>137</v>
      </c>
      <c r="F8847" s="2" t="s">
        <v>287</v>
      </c>
      <c r="G8847" s="1">
        <v>4.8239999999999998</v>
      </c>
      <c r="H8847" s="1">
        <v>3</v>
      </c>
      <c r="I8847" s="1">
        <v>1.7486999999999999</v>
      </c>
    </row>
    <row r="8848" spans="1:9" x14ac:dyDescent="0.35">
      <c r="A8848" s="3" t="s">
        <v>3291</v>
      </c>
      <c r="B8848" s="1" t="s">
        <v>1600</v>
      </c>
      <c r="C8848" s="1" t="s">
        <v>249</v>
      </c>
      <c r="D8848" s="1" t="s">
        <v>250</v>
      </c>
      <c r="E8848" s="1" t="s">
        <v>44</v>
      </c>
      <c r="F8848" s="2" t="s">
        <v>728</v>
      </c>
      <c r="G8848" s="1">
        <v>91.36</v>
      </c>
      <c r="H8848" s="1">
        <v>5</v>
      </c>
      <c r="I8848" s="1">
        <v>29.692</v>
      </c>
    </row>
    <row r="8849" spans="1:9" x14ac:dyDescent="0.35">
      <c r="A8849" s="3" t="s">
        <v>3291</v>
      </c>
      <c r="B8849" s="1" t="s">
        <v>1600</v>
      </c>
      <c r="C8849" s="1" t="s">
        <v>249</v>
      </c>
      <c r="D8849" s="1" t="s">
        <v>250</v>
      </c>
      <c r="E8849" s="1" t="s">
        <v>37</v>
      </c>
      <c r="F8849" s="2" t="s">
        <v>1251</v>
      </c>
      <c r="G8849" s="1">
        <v>130.11199999999999</v>
      </c>
      <c r="H8849" s="1">
        <v>2</v>
      </c>
      <c r="I8849" s="1">
        <v>13.011200000000001</v>
      </c>
    </row>
    <row r="8850" spans="1:9" x14ac:dyDescent="0.35">
      <c r="A8850" s="3">
        <v>42042</v>
      </c>
      <c r="B8850" s="1" t="s">
        <v>558</v>
      </c>
      <c r="C8850" s="1" t="s">
        <v>1912</v>
      </c>
      <c r="D8850" s="1" t="s">
        <v>43</v>
      </c>
      <c r="E8850" s="1" t="s">
        <v>33</v>
      </c>
      <c r="F8850" s="2" t="s">
        <v>1538</v>
      </c>
      <c r="G8850" s="1">
        <v>74.239999999999995</v>
      </c>
      <c r="H8850" s="1">
        <v>1</v>
      </c>
      <c r="I8850" s="1">
        <v>8.3520000000000003</v>
      </c>
    </row>
    <row r="8851" spans="1:9" x14ac:dyDescent="0.35">
      <c r="A8851" s="3">
        <v>42042</v>
      </c>
      <c r="B8851" s="1" t="s">
        <v>558</v>
      </c>
      <c r="C8851" s="1" t="s">
        <v>1912</v>
      </c>
      <c r="D8851" s="1" t="s">
        <v>43</v>
      </c>
      <c r="E8851" s="1" t="s">
        <v>29</v>
      </c>
      <c r="F8851" s="2" t="s">
        <v>1499</v>
      </c>
      <c r="G8851" s="1">
        <v>159.84</v>
      </c>
      <c r="H8851" s="1">
        <v>10</v>
      </c>
      <c r="I8851" s="1">
        <v>45.954000000000001</v>
      </c>
    </row>
    <row r="8852" spans="1:9" x14ac:dyDescent="0.35">
      <c r="A8852" s="3">
        <v>42042</v>
      </c>
      <c r="B8852" s="1" t="s">
        <v>558</v>
      </c>
      <c r="C8852" s="1" t="s">
        <v>1912</v>
      </c>
      <c r="D8852" s="1" t="s">
        <v>43</v>
      </c>
      <c r="E8852" s="1" t="s">
        <v>35</v>
      </c>
      <c r="F8852" s="2" t="s">
        <v>965</v>
      </c>
      <c r="G8852" s="1">
        <v>2.8919999999999999</v>
      </c>
      <c r="H8852" s="1">
        <v>2</v>
      </c>
      <c r="I8852" s="1">
        <v>-2.3136000000000001</v>
      </c>
    </row>
    <row r="8853" spans="1:9" x14ac:dyDescent="0.35">
      <c r="A8853" s="3">
        <v>42042</v>
      </c>
      <c r="B8853" s="1" t="s">
        <v>558</v>
      </c>
      <c r="C8853" s="1" t="s">
        <v>1912</v>
      </c>
      <c r="D8853" s="1" t="s">
        <v>43</v>
      </c>
      <c r="E8853" s="1" t="s">
        <v>44</v>
      </c>
      <c r="F8853" s="2" t="s">
        <v>1227</v>
      </c>
      <c r="G8853" s="1">
        <v>9.3919999999999995</v>
      </c>
      <c r="H8853" s="1">
        <v>2</v>
      </c>
      <c r="I8853" s="1">
        <v>3.2871999999999999</v>
      </c>
    </row>
    <row r="8854" spans="1:9" x14ac:dyDescent="0.35">
      <c r="A8854" s="3">
        <v>41861</v>
      </c>
      <c r="B8854" s="1" t="s">
        <v>185</v>
      </c>
      <c r="C8854" s="1" t="s">
        <v>135</v>
      </c>
      <c r="D8854" s="1" t="s">
        <v>136</v>
      </c>
      <c r="E8854" s="1" t="s">
        <v>44</v>
      </c>
      <c r="F8854" s="2" t="s">
        <v>1711</v>
      </c>
      <c r="G8854" s="1">
        <v>123.92</v>
      </c>
      <c r="H8854" s="1">
        <v>4</v>
      </c>
      <c r="I8854" s="1">
        <v>55.764000000000003</v>
      </c>
    </row>
    <row r="8855" spans="1:9" x14ac:dyDescent="0.35">
      <c r="A8855" s="3" t="s">
        <v>3682</v>
      </c>
      <c r="B8855" s="1" t="s">
        <v>1376</v>
      </c>
      <c r="C8855" s="1" t="s">
        <v>74</v>
      </c>
      <c r="D8855" s="1" t="s">
        <v>75</v>
      </c>
      <c r="E8855" s="1" t="s">
        <v>289</v>
      </c>
      <c r="F8855" s="2" t="s">
        <v>1993</v>
      </c>
      <c r="G8855" s="1">
        <v>55.6</v>
      </c>
      <c r="H8855" s="1">
        <v>5</v>
      </c>
      <c r="I8855" s="1">
        <v>6.2549999999999999</v>
      </c>
    </row>
    <row r="8856" spans="1:9" x14ac:dyDescent="0.35">
      <c r="A8856" s="3" t="s">
        <v>3682</v>
      </c>
      <c r="B8856" s="1" t="s">
        <v>1376</v>
      </c>
      <c r="C8856" s="1" t="s">
        <v>74</v>
      </c>
      <c r="D8856" s="1" t="s">
        <v>75</v>
      </c>
      <c r="E8856" s="1" t="s">
        <v>81</v>
      </c>
      <c r="F8856" s="2" t="s">
        <v>442</v>
      </c>
      <c r="G8856" s="1">
        <v>617.976</v>
      </c>
      <c r="H8856" s="1">
        <v>3</v>
      </c>
      <c r="I8856" s="1">
        <v>-7.7247000000000003</v>
      </c>
    </row>
    <row r="8857" spans="1:9" x14ac:dyDescent="0.35">
      <c r="A8857" s="3" t="s">
        <v>3372</v>
      </c>
      <c r="B8857" s="1" t="s">
        <v>1184</v>
      </c>
      <c r="C8857" s="1" t="s">
        <v>2458</v>
      </c>
      <c r="D8857" s="1" t="s">
        <v>2459</v>
      </c>
      <c r="E8857" s="1" t="s">
        <v>35</v>
      </c>
      <c r="F8857" s="2" t="s">
        <v>437</v>
      </c>
      <c r="G8857" s="1">
        <v>21.312000000000001</v>
      </c>
      <c r="H8857" s="1">
        <v>3</v>
      </c>
      <c r="I8857" s="1">
        <v>7.992</v>
      </c>
    </row>
    <row r="8858" spans="1:9" x14ac:dyDescent="0.35">
      <c r="A8858" s="3" t="s">
        <v>3316</v>
      </c>
      <c r="B8858" s="1" t="s">
        <v>1707</v>
      </c>
      <c r="C8858" s="1" t="s">
        <v>2185</v>
      </c>
      <c r="D8858" s="1" t="s">
        <v>18</v>
      </c>
      <c r="E8858" s="1" t="s">
        <v>81</v>
      </c>
      <c r="F8858" s="2" t="s">
        <v>642</v>
      </c>
      <c r="G8858" s="1">
        <v>209.94</v>
      </c>
      <c r="H8858" s="1">
        <v>6</v>
      </c>
      <c r="I8858" s="1">
        <v>39.888599999999997</v>
      </c>
    </row>
    <row r="8859" spans="1:9" x14ac:dyDescent="0.35">
      <c r="A8859" s="3" t="s">
        <v>3316</v>
      </c>
      <c r="B8859" s="1" t="s">
        <v>1707</v>
      </c>
      <c r="C8859" s="1" t="s">
        <v>2185</v>
      </c>
      <c r="D8859" s="1" t="s">
        <v>18</v>
      </c>
      <c r="E8859" s="1" t="s">
        <v>33</v>
      </c>
      <c r="F8859" s="2" t="s">
        <v>2374</v>
      </c>
      <c r="G8859" s="1">
        <v>31.984000000000002</v>
      </c>
      <c r="H8859" s="1">
        <v>2</v>
      </c>
      <c r="I8859" s="1">
        <v>-7.9960000000000004</v>
      </c>
    </row>
    <row r="8860" spans="1:9" x14ac:dyDescent="0.35">
      <c r="A8860" s="3" t="s">
        <v>3316</v>
      </c>
      <c r="B8860" s="1" t="s">
        <v>1707</v>
      </c>
      <c r="C8860" s="1" t="s">
        <v>2185</v>
      </c>
      <c r="D8860" s="1" t="s">
        <v>18</v>
      </c>
      <c r="E8860" s="1" t="s">
        <v>35</v>
      </c>
      <c r="F8860" s="2" t="s">
        <v>815</v>
      </c>
      <c r="G8860" s="1">
        <v>5083.96</v>
      </c>
      <c r="H8860" s="1">
        <v>5</v>
      </c>
      <c r="I8860" s="1">
        <v>1906.4849999999999</v>
      </c>
    </row>
    <row r="8861" spans="1:9" x14ac:dyDescent="0.35">
      <c r="A8861" s="3" t="s">
        <v>3276</v>
      </c>
      <c r="B8861" s="1" t="s">
        <v>1768</v>
      </c>
      <c r="C8861" s="1" t="s">
        <v>234</v>
      </c>
      <c r="D8861" s="1" t="s">
        <v>43</v>
      </c>
      <c r="E8861" s="1" t="s">
        <v>33</v>
      </c>
      <c r="F8861" s="2" t="s">
        <v>2526</v>
      </c>
      <c r="G8861" s="1">
        <v>35.96</v>
      </c>
      <c r="H8861" s="1">
        <v>1</v>
      </c>
      <c r="I8861" s="1">
        <v>3.5960000000000001</v>
      </c>
    </row>
    <row r="8862" spans="1:9" x14ac:dyDescent="0.35">
      <c r="A8862" s="3">
        <v>42317</v>
      </c>
      <c r="B8862" s="1" t="s">
        <v>1374</v>
      </c>
      <c r="C8862" s="1" t="s">
        <v>1992</v>
      </c>
      <c r="D8862" s="1" t="s">
        <v>388</v>
      </c>
      <c r="E8862" s="1" t="s">
        <v>19</v>
      </c>
      <c r="F8862" s="2" t="s">
        <v>2758</v>
      </c>
      <c r="G8862" s="1">
        <v>31.05</v>
      </c>
      <c r="H8862" s="1">
        <v>3</v>
      </c>
      <c r="I8862" s="1">
        <v>14.904</v>
      </c>
    </row>
    <row r="8863" spans="1:9" x14ac:dyDescent="0.35">
      <c r="A8863" s="3">
        <v>42317</v>
      </c>
      <c r="B8863" s="1" t="s">
        <v>1374</v>
      </c>
      <c r="C8863" s="1" t="s">
        <v>1992</v>
      </c>
      <c r="D8863" s="1" t="s">
        <v>388</v>
      </c>
      <c r="E8863" s="1" t="s">
        <v>29</v>
      </c>
      <c r="F8863" s="2" t="s">
        <v>2231</v>
      </c>
      <c r="G8863" s="1">
        <v>8.92</v>
      </c>
      <c r="H8863" s="1">
        <v>4</v>
      </c>
      <c r="I8863" s="1">
        <v>3.9247999999999998</v>
      </c>
    </row>
    <row r="8864" spans="1:9" x14ac:dyDescent="0.35">
      <c r="A8864" s="3">
        <v>42317</v>
      </c>
      <c r="B8864" s="1" t="s">
        <v>1374</v>
      </c>
      <c r="C8864" s="1" t="s">
        <v>1992</v>
      </c>
      <c r="D8864" s="1" t="s">
        <v>388</v>
      </c>
      <c r="E8864" s="1" t="s">
        <v>35</v>
      </c>
      <c r="F8864" s="2" t="s">
        <v>522</v>
      </c>
      <c r="G8864" s="1">
        <v>209.6</v>
      </c>
      <c r="H8864" s="1">
        <v>4</v>
      </c>
      <c r="I8864" s="1">
        <v>96.415999999999997</v>
      </c>
    </row>
    <row r="8865" spans="1:9" x14ac:dyDescent="0.35">
      <c r="A8865" s="3">
        <v>42317</v>
      </c>
      <c r="B8865" s="1" t="s">
        <v>1374</v>
      </c>
      <c r="C8865" s="1" t="s">
        <v>1992</v>
      </c>
      <c r="D8865" s="1" t="s">
        <v>388</v>
      </c>
      <c r="E8865" s="1" t="s">
        <v>37</v>
      </c>
      <c r="F8865" s="2" t="s">
        <v>1854</v>
      </c>
      <c r="G8865" s="1">
        <v>111.04</v>
      </c>
      <c r="H8865" s="1">
        <v>4</v>
      </c>
      <c r="I8865" s="1">
        <v>29.980799999999999</v>
      </c>
    </row>
    <row r="8866" spans="1:9" x14ac:dyDescent="0.35">
      <c r="A8866" s="3">
        <v>42317</v>
      </c>
      <c r="B8866" s="1" t="s">
        <v>1374</v>
      </c>
      <c r="C8866" s="1" t="s">
        <v>1992</v>
      </c>
      <c r="D8866" s="1" t="s">
        <v>388</v>
      </c>
      <c r="E8866" s="1" t="s">
        <v>44</v>
      </c>
      <c r="F8866" s="2" t="s">
        <v>2747</v>
      </c>
      <c r="G8866" s="1">
        <v>38.880000000000003</v>
      </c>
      <c r="H8866" s="1">
        <v>6</v>
      </c>
      <c r="I8866" s="1">
        <v>18.662400000000002</v>
      </c>
    </row>
    <row r="8867" spans="1:9" x14ac:dyDescent="0.35">
      <c r="A8867" s="3" t="s">
        <v>3538</v>
      </c>
      <c r="B8867" s="1" t="s">
        <v>2244</v>
      </c>
      <c r="C8867" s="1" t="s">
        <v>540</v>
      </c>
      <c r="D8867" s="1" t="s">
        <v>163</v>
      </c>
      <c r="E8867" s="1" t="s">
        <v>37</v>
      </c>
      <c r="F8867" s="2" t="s">
        <v>1991</v>
      </c>
      <c r="G8867" s="1">
        <v>36.270000000000003</v>
      </c>
      <c r="H8867" s="1">
        <v>3</v>
      </c>
      <c r="I8867" s="1">
        <v>10.881</v>
      </c>
    </row>
    <row r="8868" spans="1:9" x14ac:dyDescent="0.35">
      <c r="A8868" s="3" t="s">
        <v>3177</v>
      </c>
      <c r="B8868" s="1" t="s">
        <v>2924</v>
      </c>
      <c r="C8868" s="1" t="s">
        <v>154</v>
      </c>
      <c r="D8868" s="1" t="s">
        <v>106</v>
      </c>
      <c r="E8868" s="1" t="s">
        <v>12</v>
      </c>
      <c r="F8868" s="2" t="s">
        <v>2668</v>
      </c>
      <c r="G8868" s="1">
        <v>493.43</v>
      </c>
      <c r="H8868" s="1">
        <v>5</v>
      </c>
      <c r="I8868" s="1">
        <v>-70.489999999999995</v>
      </c>
    </row>
    <row r="8869" spans="1:9" x14ac:dyDescent="0.35">
      <c r="A8869" s="3" t="s">
        <v>3177</v>
      </c>
      <c r="B8869" s="1" t="s">
        <v>2924</v>
      </c>
      <c r="C8869" s="1" t="s">
        <v>154</v>
      </c>
      <c r="D8869" s="1" t="s">
        <v>106</v>
      </c>
      <c r="E8869" s="1" t="s">
        <v>33</v>
      </c>
      <c r="F8869" s="2" t="s">
        <v>1828</v>
      </c>
      <c r="G8869" s="1">
        <v>11.12</v>
      </c>
      <c r="H8869" s="1">
        <v>2</v>
      </c>
      <c r="I8869" s="1">
        <v>3.4750000000000001</v>
      </c>
    </row>
    <row r="8870" spans="1:9" x14ac:dyDescent="0.35">
      <c r="A8870" s="3">
        <v>42471</v>
      </c>
      <c r="B8870" s="1" t="s">
        <v>2514</v>
      </c>
      <c r="C8870" s="1" t="s">
        <v>461</v>
      </c>
      <c r="D8870" s="1" t="s">
        <v>18</v>
      </c>
      <c r="E8870" s="1" t="s">
        <v>338</v>
      </c>
      <c r="F8870" s="2" t="s">
        <v>2967</v>
      </c>
      <c r="G8870" s="1">
        <v>686.4</v>
      </c>
      <c r="H8870" s="1">
        <v>2</v>
      </c>
      <c r="I8870" s="1">
        <v>77.22</v>
      </c>
    </row>
    <row r="8871" spans="1:9" x14ac:dyDescent="0.35">
      <c r="A8871" s="3">
        <v>42747</v>
      </c>
      <c r="B8871" s="1" t="s">
        <v>292</v>
      </c>
      <c r="C8871" s="1" t="s">
        <v>47</v>
      </c>
      <c r="D8871" s="1" t="s">
        <v>48</v>
      </c>
      <c r="E8871" s="1" t="s">
        <v>35</v>
      </c>
      <c r="F8871" s="2" t="s">
        <v>2330</v>
      </c>
      <c r="G8871" s="1">
        <v>15.92</v>
      </c>
      <c r="H8871" s="1">
        <v>5</v>
      </c>
      <c r="I8871" s="1">
        <v>5.3730000000000002</v>
      </c>
    </row>
    <row r="8872" spans="1:9" x14ac:dyDescent="0.35">
      <c r="A8872" s="3">
        <v>42747</v>
      </c>
      <c r="B8872" s="1" t="s">
        <v>292</v>
      </c>
      <c r="C8872" s="1" t="s">
        <v>47</v>
      </c>
      <c r="D8872" s="1" t="s">
        <v>48</v>
      </c>
      <c r="E8872" s="1" t="s">
        <v>29</v>
      </c>
      <c r="F8872" s="2" t="s">
        <v>609</v>
      </c>
      <c r="G8872" s="1">
        <v>70.680000000000007</v>
      </c>
      <c r="H8872" s="1">
        <v>12</v>
      </c>
      <c r="I8872" s="1">
        <v>31.0992</v>
      </c>
    </row>
    <row r="8873" spans="1:9" x14ac:dyDescent="0.35">
      <c r="A8873" s="3">
        <v>42747</v>
      </c>
      <c r="B8873" s="1" t="s">
        <v>292</v>
      </c>
      <c r="C8873" s="1" t="s">
        <v>47</v>
      </c>
      <c r="D8873" s="1" t="s">
        <v>48</v>
      </c>
      <c r="E8873" s="1" t="s">
        <v>26</v>
      </c>
      <c r="F8873" s="2" t="s">
        <v>526</v>
      </c>
      <c r="G8873" s="1">
        <v>541.24</v>
      </c>
      <c r="H8873" s="1">
        <v>4</v>
      </c>
      <c r="I8873" s="1">
        <v>5.4123999999999999</v>
      </c>
    </row>
    <row r="8874" spans="1:9" x14ac:dyDescent="0.35">
      <c r="A8874" s="3">
        <v>41922</v>
      </c>
      <c r="B8874" s="1" t="s">
        <v>2081</v>
      </c>
      <c r="C8874" s="1" t="s">
        <v>249</v>
      </c>
      <c r="D8874" s="1" t="s">
        <v>250</v>
      </c>
      <c r="E8874" s="1" t="s">
        <v>338</v>
      </c>
      <c r="F8874" s="2" t="s">
        <v>3105</v>
      </c>
      <c r="G8874" s="1">
        <v>101.994</v>
      </c>
      <c r="H8874" s="1">
        <v>2</v>
      </c>
      <c r="I8874" s="1">
        <v>-71.395799999999994</v>
      </c>
    </row>
    <row r="8875" spans="1:9" x14ac:dyDescent="0.35">
      <c r="A8875" s="3">
        <v>41922</v>
      </c>
      <c r="B8875" s="1" t="s">
        <v>2081</v>
      </c>
      <c r="C8875" s="1" t="s">
        <v>249</v>
      </c>
      <c r="D8875" s="1" t="s">
        <v>250</v>
      </c>
      <c r="E8875" s="1" t="s">
        <v>35</v>
      </c>
      <c r="F8875" s="2" t="s">
        <v>852</v>
      </c>
      <c r="G8875" s="1">
        <v>18.263999999999999</v>
      </c>
      <c r="H8875" s="1">
        <v>2</v>
      </c>
      <c r="I8875" s="1">
        <v>-13.393599999999999</v>
      </c>
    </row>
    <row r="8876" spans="1:9" x14ac:dyDescent="0.35">
      <c r="A8876" s="3" t="s">
        <v>3621</v>
      </c>
      <c r="B8876" s="1" t="s">
        <v>2325</v>
      </c>
      <c r="C8876" s="1" t="s">
        <v>93</v>
      </c>
      <c r="D8876" s="1" t="s">
        <v>52</v>
      </c>
      <c r="E8876" s="1" t="s">
        <v>35</v>
      </c>
      <c r="F8876" s="2" t="s">
        <v>1237</v>
      </c>
      <c r="G8876" s="1">
        <v>21.99</v>
      </c>
      <c r="H8876" s="1">
        <v>5</v>
      </c>
      <c r="I8876" s="1">
        <v>-32.984999999999999</v>
      </c>
    </row>
    <row r="8877" spans="1:9" x14ac:dyDescent="0.35">
      <c r="A8877" s="3" t="s">
        <v>3445</v>
      </c>
      <c r="B8877" s="1" t="s">
        <v>2022</v>
      </c>
      <c r="C8877" s="1" t="s">
        <v>1676</v>
      </c>
      <c r="D8877" s="1" t="s">
        <v>52</v>
      </c>
      <c r="E8877" s="1" t="s">
        <v>289</v>
      </c>
      <c r="F8877" s="2" t="s">
        <v>753</v>
      </c>
      <c r="G8877" s="1">
        <v>185.376</v>
      </c>
      <c r="H8877" s="1">
        <v>2</v>
      </c>
      <c r="I8877" s="1">
        <v>-34.758000000000003</v>
      </c>
    </row>
    <row r="8878" spans="1:9" x14ac:dyDescent="0.35">
      <c r="A8878" s="3" t="s">
        <v>3445</v>
      </c>
      <c r="B8878" s="1" t="s">
        <v>2022</v>
      </c>
      <c r="C8878" s="1" t="s">
        <v>1676</v>
      </c>
      <c r="D8878" s="1" t="s">
        <v>52</v>
      </c>
      <c r="E8878" s="1" t="s">
        <v>37</v>
      </c>
      <c r="F8878" s="2" t="s">
        <v>2008</v>
      </c>
      <c r="G8878" s="1">
        <v>58.923999999999999</v>
      </c>
      <c r="H8878" s="1">
        <v>1</v>
      </c>
      <c r="I8878" s="1">
        <v>-153.20240000000001</v>
      </c>
    </row>
    <row r="8879" spans="1:9" x14ac:dyDescent="0.35">
      <c r="A8879" s="3" t="s">
        <v>3221</v>
      </c>
      <c r="B8879" s="1" t="s">
        <v>225</v>
      </c>
      <c r="C8879" s="1" t="s">
        <v>482</v>
      </c>
      <c r="D8879" s="1" t="s">
        <v>388</v>
      </c>
      <c r="E8879" s="1" t="s">
        <v>338</v>
      </c>
      <c r="F8879" s="2" t="s">
        <v>3106</v>
      </c>
      <c r="G8879" s="1">
        <v>480</v>
      </c>
      <c r="H8879" s="1">
        <v>4</v>
      </c>
      <c r="I8879" s="1">
        <v>225.6</v>
      </c>
    </row>
    <row r="8880" spans="1:9" x14ac:dyDescent="0.35">
      <c r="A8880" s="3" t="s">
        <v>3221</v>
      </c>
      <c r="B8880" s="1" t="s">
        <v>225</v>
      </c>
      <c r="C8880" s="1" t="s">
        <v>482</v>
      </c>
      <c r="D8880" s="1" t="s">
        <v>388</v>
      </c>
      <c r="E8880" s="1" t="s">
        <v>26</v>
      </c>
      <c r="F8880" s="2" t="s">
        <v>178</v>
      </c>
      <c r="G8880" s="1">
        <v>34.049999999999997</v>
      </c>
      <c r="H8880" s="1">
        <v>3</v>
      </c>
      <c r="I8880" s="1">
        <v>9.5340000000000007</v>
      </c>
    </row>
    <row r="8881" spans="1:9" x14ac:dyDescent="0.35">
      <c r="A8881" s="3" t="s">
        <v>3568</v>
      </c>
      <c r="B8881" s="1" t="s">
        <v>372</v>
      </c>
      <c r="C8881" s="1" t="s">
        <v>17</v>
      </c>
      <c r="D8881" s="1" t="s">
        <v>18</v>
      </c>
      <c r="E8881" s="1" t="s">
        <v>44</v>
      </c>
      <c r="F8881" s="2" t="s">
        <v>2177</v>
      </c>
      <c r="G8881" s="1">
        <v>192.72</v>
      </c>
      <c r="H8881" s="1">
        <v>11</v>
      </c>
      <c r="I8881" s="1">
        <v>92.505600000000001</v>
      </c>
    </row>
    <row r="8882" spans="1:9" x14ac:dyDescent="0.35">
      <c r="A8882" s="3" t="s">
        <v>3568</v>
      </c>
      <c r="B8882" s="1" t="s">
        <v>372</v>
      </c>
      <c r="C8882" s="1" t="s">
        <v>17</v>
      </c>
      <c r="D8882" s="1" t="s">
        <v>18</v>
      </c>
      <c r="E8882" s="1" t="s">
        <v>81</v>
      </c>
      <c r="F8882" s="2" t="s">
        <v>1850</v>
      </c>
      <c r="G8882" s="1">
        <v>239.97</v>
      </c>
      <c r="H8882" s="1">
        <v>3</v>
      </c>
      <c r="I8882" s="1">
        <v>86.389200000000002</v>
      </c>
    </row>
    <row r="8883" spans="1:9" x14ac:dyDescent="0.35">
      <c r="A8883" s="3" t="s">
        <v>3813</v>
      </c>
      <c r="B8883" s="1" t="s">
        <v>2052</v>
      </c>
      <c r="C8883" s="1" t="s">
        <v>228</v>
      </c>
      <c r="D8883" s="1" t="s">
        <v>106</v>
      </c>
      <c r="E8883" s="1" t="s">
        <v>81</v>
      </c>
      <c r="F8883" s="2" t="s">
        <v>1760</v>
      </c>
      <c r="G8883" s="1">
        <v>50.12</v>
      </c>
      <c r="H8883" s="1">
        <v>7</v>
      </c>
      <c r="I8883" s="1">
        <v>-0.62649999999999995</v>
      </c>
    </row>
    <row r="8884" spans="1:9" x14ac:dyDescent="0.35">
      <c r="A8884" s="3" t="s">
        <v>3259</v>
      </c>
      <c r="B8884" s="1" t="s">
        <v>1774</v>
      </c>
      <c r="C8884" s="1" t="s">
        <v>189</v>
      </c>
      <c r="D8884" s="1" t="s">
        <v>43</v>
      </c>
      <c r="E8884" s="1" t="s">
        <v>33</v>
      </c>
      <c r="F8884" s="2" t="s">
        <v>2597</v>
      </c>
      <c r="G8884" s="1">
        <v>15.984</v>
      </c>
      <c r="H8884" s="1">
        <v>2</v>
      </c>
      <c r="I8884" s="1">
        <v>1.3986000000000001</v>
      </c>
    </row>
    <row r="8885" spans="1:9" x14ac:dyDescent="0.35">
      <c r="A8885" s="3" t="s">
        <v>3259</v>
      </c>
      <c r="B8885" s="1" t="s">
        <v>1774</v>
      </c>
      <c r="C8885" s="1" t="s">
        <v>189</v>
      </c>
      <c r="D8885" s="1" t="s">
        <v>43</v>
      </c>
      <c r="E8885" s="1" t="s">
        <v>44</v>
      </c>
      <c r="F8885" s="2" t="s">
        <v>826</v>
      </c>
      <c r="G8885" s="1">
        <v>14.352</v>
      </c>
      <c r="H8885" s="1">
        <v>3</v>
      </c>
      <c r="I8885" s="1">
        <v>4.4850000000000003</v>
      </c>
    </row>
    <row r="8886" spans="1:9" x14ac:dyDescent="0.35">
      <c r="A8886" s="3" t="s">
        <v>3175</v>
      </c>
      <c r="B8886" s="1" t="s">
        <v>156</v>
      </c>
      <c r="C8886" s="1" t="s">
        <v>249</v>
      </c>
      <c r="D8886" s="1" t="s">
        <v>250</v>
      </c>
      <c r="E8886" s="1" t="s">
        <v>35</v>
      </c>
      <c r="F8886" s="2" t="s">
        <v>576</v>
      </c>
      <c r="G8886" s="1">
        <v>6.5279999999999996</v>
      </c>
      <c r="H8886" s="1">
        <v>4</v>
      </c>
      <c r="I8886" s="1">
        <v>-4.5696000000000003</v>
      </c>
    </row>
    <row r="8887" spans="1:9" x14ac:dyDescent="0.35">
      <c r="A8887" s="3" t="s">
        <v>3175</v>
      </c>
      <c r="B8887" s="1" t="s">
        <v>156</v>
      </c>
      <c r="C8887" s="1" t="s">
        <v>249</v>
      </c>
      <c r="D8887" s="1" t="s">
        <v>250</v>
      </c>
      <c r="E8887" s="1" t="s">
        <v>35</v>
      </c>
      <c r="F8887" s="2" t="s">
        <v>2178</v>
      </c>
      <c r="G8887" s="1">
        <v>2.8620000000000001</v>
      </c>
      <c r="H8887" s="1">
        <v>3</v>
      </c>
      <c r="I8887" s="1">
        <v>-2.2896000000000001</v>
      </c>
    </row>
    <row r="8888" spans="1:9" x14ac:dyDescent="0.35">
      <c r="A8888" s="3" t="s">
        <v>3175</v>
      </c>
      <c r="B8888" s="1" t="s">
        <v>156</v>
      </c>
      <c r="C8888" s="1" t="s">
        <v>249</v>
      </c>
      <c r="D8888" s="1" t="s">
        <v>250</v>
      </c>
      <c r="E8888" s="1" t="s">
        <v>35</v>
      </c>
      <c r="F8888" s="2" t="s">
        <v>943</v>
      </c>
      <c r="G8888" s="1">
        <v>20.856000000000002</v>
      </c>
      <c r="H8888" s="1">
        <v>8</v>
      </c>
      <c r="I8888" s="1">
        <v>-16.684799999999999</v>
      </c>
    </row>
    <row r="8889" spans="1:9" x14ac:dyDescent="0.35">
      <c r="A8889" s="3" t="s">
        <v>3466</v>
      </c>
      <c r="B8889" s="1" t="s">
        <v>493</v>
      </c>
      <c r="C8889" s="1" t="s">
        <v>17</v>
      </c>
      <c r="D8889" s="1" t="s">
        <v>18</v>
      </c>
      <c r="E8889" s="1" t="s">
        <v>26</v>
      </c>
      <c r="F8889" s="2" t="s">
        <v>1585</v>
      </c>
      <c r="G8889" s="1">
        <v>276.27999999999997</v>
      </c>
      <c r="H8889" s="1">
        <v>2</v>
      </c>
      <c r="I8889" s="1">
        <v>0</v>
      </c>
    </row>
    <row r="8890" spans="1:9" x14ac:dyDescent="0.35">
      <c r="A8890" s="3">
        <v>42747</v>
      </c>
      <c r="B8890" s="1" t="s">
        <v>1870</v>
      </c>
      <c r="C8890" s="1" t="s">
        <v>2061</v>
      </c>
      <c r="D8890" s="1" t="s">
        <v>18</v>
      </c>
      <c r="E8890" s="1" t="s">
        <v>29</v>
      </c>
      <c r="F8890" s="2" t="s">
        <v>1028</v>
      </c>
      <c r="G8890" s="1">
        <v>629.64</v>
      </c>
      <c r="H8890" s="1">
        <v>9</v>
      </c>
      <c r="I8890" s="1">
        <v>107.03879999999999</v>
      </c>
    </row>
    <row r="8891" spans="1:9" x14ac:dyDescent="0.35">
      <c r="A8891" s="3" t="s">
        <v>3816</v>
      </c>
      <c r="B8891" s="1" t="s">
        <v>2901</v>
      </c>
      <c r="C8891" s="1" t="s">
        <v>193</v>
      </c>
      <c r="D8891" s="1" t="s">
        <v>298</v>
      </c>
      <c r="E8891" s="1" t="s">
        <v>33</v>
      </c>
      <c r="F8891" s="2" t="s">
        <v>2206</v>
      </c>
      <c r="G8891" s="1">
        <v>449.97</v>
      </c>
      <c r="H8891" s="1">
        <v>3</v>
      </c>
      <c r="I8891" s="1">
        <v>220.4853</v>
      </c>
    </row>
    <row r="8892" spans="1:9" x14ac:dyDescent="0.35">
      <c r="A8892" s="3" t="s">
        <v>3816</v>
      </c>
      <c r="B8892" s="1" t="s">
        <v>2901</v>
      </c>
      <c r="C8892" s="1" t="s">
        <v>193</v>
      </c>
      <c r="D8892" s="1" t="s">
        <v>298</v>
      </c>
      <c r="E8892" s="1" t="s">
        <v>37</v>
      </c>
      <c r="F8892" s="2" t="s">
        <v>2219</v>
      </c>
      <c r="G8892" s="1">
        <v>1927.59</v>
      </c>
      <c r="H8892" s="1">
        <v>7</v>
      </c>
      <c r="I8892" s="1">
        <v>751.76009999999997</v>
      </c>
    </row>
    <row r="8893" spans="1:9" x14ac:dyDescent="0.35">
      <c r="A8893" s="3" t="s">
        <v>3756</v>
      </c>
      <c r="B8893" s="1" t="s">
        <v>535</v>
      </c>
      <c r="C8893" s="1" t="s">
        <v>249</v>
      </c>
      <c r="D8893" s="1" t="s">
        <v>604</v>
      </c>
      <c r="E8893" s="1" t="s">
        <v>14</v>
      </c>
      <c r="F8893" s="2" t="s">
        <v>155</v>
      </c>
      <c r="G8893" s="1">
        <v>121.78</v>
      </c>
      <c r="H8893" s="1">
        <v>2</v>
      </c>
      <c r="I8893" s="1">
        <v>30.445</v>
      </c>
    </row>
    <row r="8894" spans="1:9" x14ac:dyDescent="0.35">
      <c r="A8894" s="3">
        <v>42016</v>
      </c>
      <c r="B8894" s="1" t="s">
        <v>3077</v>
      </c>
      <c r="C8894" s="1" t="s">
        <v>461</v>
      </c>
      <c r="D8894" s="1" t="s">
        <v>18</v>
      </c>
      <c r="E8894" s="1" t="s">
        <v>14</v>
      </c>
      <c r="F8894" s="2" t="s">
        <v>1474</v>
      </c>
      <c r="G8894" s="1">
        <v>2676.672</v>
      </c>
      <c r="H8894" s="1">
        <v>9</v>
      </c>
      <c r="I8894" s="1">
        <v>267.66719999999998</v>
      </c>
    </row>
    <row r="8895" spans="1:9" x14ac:dyDescent="0.35">
      <c r="A8895" s="3">
        <v>41767</v>
      </c>
      <c r="B8895" s="1" t="s">
        <v>225</v>
      </c>
      <c r="C8895" s="1" t="s">
        <v>3011</v>
      </c>
      <c r="D8895" s="1" t="s">
        <v>52</v>
      </c>
      <c r="E8895" s="1" t="s">
        <v>24</v>
      </c>
      <c r="F8895" s="2" t="s">
        <v>1856</v>
      </c>
      <c r="G8895" s="1">
        <v>489.23</v>
      </c>
      <c r="H8895" s="1">
        <v>2</v>
      </c>
      <c r="I8895" s="1">
        <v>41.933999999999997</v>
      </c>
    </row>
    <row r="8896" spans="1:9" x14ac:dyDescent="0.35">
      <c r="A8896" s="3" t="s">
        <v>3196</v>
      </c>
      <c r="B8896" s="1" t="s">
        <v>866</v>
      </c>
      <c r="C8896" s="1" t="s">
        <v>17</v>
      </c>
      <c r="D8896" s="1" t="s">
        <v>18</v>
      </c>
      <c r="E8896" s="1" t="s">
        <v>29</v>
      </c>
      <c r="F8896" s="2" t="s">
        <v>1018</v>
      </c>
      <c r="G8896" s="1">
        <v>312.02999999999997</v>
      </c>
      <c r="H8896" s="1">
        <v>3</v>
      </c>
      <c r="I8896" s="1">
        <v>43.684199999999997</v>
      </c>
    </row>
    <row r="8897" spans="1:9" x14ac:dyDescent="0.35">
      <c r="A8897" s="3" t="s">
        <v>3196</v>
      </c>
      <c r="B8897" s="1" t="s">
        <v>866</v>
      </c>
      <c r="C8897" s="1" t="s">
        <v>17</v>
      </c>
      <c r="D8897" s="1" t="s">
        <v>18</v>
      </c>
      <c r="E8897" s="1" t="s">
        <v>26</v>
      </c>
      <c r="F8897" s="2" t="s">
        <v>1984</v>
      </c>
      <c r="G8897" s="1">
        <v>17.940000000000001</v>
      </c>
      <c r="H8897" s="1">
        <v>3</v>
      </c>
      <c r="I8897" s="1">
        <v>3.0497999999999998</v>
      </c>
    </row>
    <row r="8898" spans="1:9" x14ac:dyDescent="0.35">
      <c r="A8898" s="3" t="s">
        <v>3196</v>
      </c>
      <c r="B8898" s="1" t="s">
        <v>866</v>
      </c>
      <c r="C8898" s="1" t="s">
        <v>17</v>
      </c>
      <c r="D8898" s="1" t="s">
        <v>18</v>
      </c>
      <c r="E8898" s="1" t="s">
        <v>33</v>
      </c>
      <c r="F8898" s="2" t="s">
        <v>574</v>
      </c>
      <c r="G8898" s="1">
        <v>165.6</v>
      </c>
      <c r="H8898" s="1">
        <v>3</v>
      </c>
      <c r="I8898" s="1">
        <v>10.35</v>
      </c>
    </row>
    <row r="8899" spans="1:9" x14ac:dyDescent="0.35">
      <c r="A8899" s="3" t="s">
        <v>3196</v>
      </c>
      <c r="B8899" s="1" t="s">
        <v>866</v>
      </c>
      <c r="C8899" s="1" t="s">
        <v>17</v>
      </c>
      <c r="D8899" s="1" t="s">
        <v>18</v>
      </c>
      <c r="E8899" s="1" t="s">
        <v>44</v>
      </c>
      <c r="F8899" s="2" t="s">
        <v>1590</v>
      </c>
      <c r="G8899" s="1">
        <v>37.520000000000003</v>
      </c>
      <c r="H8899" s="1">
        <v>4</v>
      </c>
      <c r="I8899" s="1">
        <v>18.009599999999999</v>
      </c>
    </row>
    <row r="8900" spans="1:9" x14ac:dyDescent="0.35">
      <c r="A8900" s="3">
        <v>42193</v>
      </c>
      <c r="B8900" s="1" t="s">
        <v>1173</v>
      </c>
      <c r="C8900" s="1" t="s">
        <v>162</v>
      </c>
      <c r="D8900" s="1" t="s">
        <v>163</v>
      </c>
      <c r="E8900" s="1" t="s">
        <v>33</v>
      </c>
      <c r="F8900" s="2" t="s">
        <v>2329</v>
      </c>
      <c r="G8900" s="1">
        <v>494.97</v>
      </c>
      <c r="H8900" s="1">
        <v>3</v>
      </c>
      <c r="I8900" s="1">
        <v>148.49100000000001</v>
      </c>
    </row>
    <row r="8901" spans="1:9" x14ac:dyDescent="0.35">
      <c r="A8901" s="3">
        <v>42193</v>
      </c>
      <c r="B8901" s="1" t="s">
        <v>1173</v>
      </c>
      <c r="C8901" s="1" t="s">
        <v>162</v>
      </c>
      <c r="D8901" s="1" t="s">
        <v>163</v>
      </c>
      <c r="E8901" s="1" t="s">
        <v>19</v>
      </c>
      <c r="F8901" s="2" t="s">
        <v>2235</v>
      </c>
      <c r="G8901" s="1">
        <v>25.06</v>
      </c>
      <c r="H8901" s="1">
        <v>2</v>
      </c>
      <c r="I8901" s="1">
        <v>11.7782</v>
      </c>
    </row>
    <row r="8902" spans="1:9" x14ac:dyDescent="0.35">
      <c r="A8902" s="3" t="s">
        <v>3827</v>
      </c>
      <c r="B8902" s="1" t="s">
        <v>1600</v>
      </c>
      <c r="C8902" s="1" t="s">
        <v>181</v>
      </c>
      <c r="D8902" s="1" t="s">
        <v>106</v>
      </c>
      <c r="E8902" s="1" t="s">
        <v>29</v>
      </c>
      <c r="F8902" s="2" t="s">
        <v>3075</v>
      </c>
      <c r="G8902" s="1">
        <v>32.064</v>
      </c>
      <c r="H8902" s="1">
        <v>3</v>
      </c>
      <c r="I8902" s="1">
        <v>-12.8256</v>
      </c>
    </row>
    <row r="8903" spans="1:9" x14ac:dyDescent="0.35">
      <c r="A8903" s="3" t="s">
        <v>3827</v>
      </c>
      <c r="B8903" s="1" t="s">
        <v>1600</v>
      </c>
      <c r="C8903" s="1" t="s">
        <v>181</v>
      </c>
      <c r="D8903" s="1" t="s">
        <v>106</v>
      </c>
      <c r="E8903" s="1" t="s">
        <v>44</v>
      </c>
      <c r="F8903" s="2" t="s">
        <v>3067</v>
      </c>
      <c r="G8903" s="1">
        <v>18.495999999999999</v>
      </c>
      <c r="H8903" s="1">
        <v>4</v>
      </c>
      <c r="I8903" s="1">
        <v>6.7047999999999996</v>
      </c>
    </row>
    <row r="8904" spans="1:9" x14ac:dyDescent="0.35">
      <c r="A8904" s="3" t="s">
        <v>3827</v>
      </c>
      <c r="B8904" s="1" t="s">
        <v>1600</v>
      </c>
      <c r="C8904" s="1" t="s">
        <v>181</v>
      </c>
      <c r="D8904" s="1" t="s">
        <v>106</v>
      </c>
      <c r="E8904" s="1" t="s">
        <v>14</v>
      </c>
      <c r="F8904" s="2" t="s">
        <v>2417</v>
      </c>
      <c r="G8904" s="1">
        <v>191.07900000000001</v>
      </c>
      <c r="H8904" s="1">
        <v>3</v>
      </c>
      <c r="I8904" s="1">
        <v>-38.215800000000002</v>
      </c>
    </row>
    <row r="8905" spans="1:9" x14ac:dyDescent="0.35">
      <c r="A8905" s="3" t="s">
        <v>3827</v>
      </c>
      <c r="B8905" s="1" t="s">
        <v>1600</v>
      </c>
      <c r="C8905" s="1" t="s">
        <v>181</v>
      </c>
      <c r="D8905" s="1" t="s">
        <v>106</v>
      </c>
      <c r="E8905" s="1" t="s">
        <v>44</v>
      </c>
      <c r="F8905" s="2" t="s">
        <v>1289</v>
      </c>
      <c r="G8905" s="1">
        <v>10.368</v>
      </c>
      <c r="H8905" s="1">
        <v>2</v>
      </c>
      <c r="I8905" s="1">
        <v>3.6288</v>
      </c>
    </row>
    <row r="8906" spans="1:9" x14ac:dyDescent="0.35">
      <c r="A8906" s="3">
        <v>42376</v>
      </c>
      <c r="B8906" s="1" t="s">
        <v>2581</v>
      </c>
      <c r="C8906" s="1" t="s">
        <v>135</v>
      </c>
      <c r="D8906" s="1" t="s">
        <v>136</v>
      </c>
      <c r="E8906" s="1" t="s">
        <v>19</v>
      </c>
      <c r="F8906" s="2" t="s">
        <v>1562</v>
      </c>
      <c r="G8906" s="1">
        <v>30.53</v>
      </c>
      <c r="H8906" s="1">
        <v>1</v>
      </c>
      <c r="I8906" s="1">
        <v>14.043799999999999</v>
      </c>
    </row>
    <row r="8907" spans="1:9" x14ac:dyDescent="0.35">
      <c r="A8907" s="3">
        <v>42376</v>
      </c>
      <c r="B8907" s="1" t="s">
        <v>2581</v>
      </c>
      <c r="C8907" s="1" t="s">
        <v>135</v>
      </c>
      <c r="D8907" s="1" t="s">
        <v>136</v>
      </c>
      <c r="E8907" s="1" t="s">
        <v>81</v>
      </c>
      <c r="F8907" s="2" t="s">
        <v>2295</v>
      </c>
      <c r="G8907" s="1">
        <v>30.84</v>
      </c>
      <c r="H8907" s="1">
        <v>3</v>
      </c>
      <c r="I8907" s="1">
        <v>6.1680000000000001</v>
      </c>
    </row>
    <row r="8908" spans="1:9" x14ac:dyDescent="0.35">
      <c r="A8908" s="3">
        <v>42376</v>
      </c>
      <c r="B8908" s="1" t="s">
        <v>2581</v>
      </c>
      <c r="C8908" s="1" t="s">
        <v>135</v>
      </c>
      <c r="D8908" s="1" t="s">
        <v>136</v>
      </c>
      <c r="E8908" s="1" t="s">
        <v>44</v>
      </c>
      <c r="F8908" s="2" t="s">
        <v>315</v>
      </c>
      <c r="G8908" s="1">
        <v>75.06</v>
      </c>
      <c r="H8908" s="1">
        <v>9</v>
      </c>
      <c r="I8908" s="1">
        <v>33.777000000000001</v>
      </c>
    </row>
    <row r="8909" spans="1:9" x14ac:dyDescent="0.35">
      <c r="A8909" s="3" t="s">
        <v>3406</v>
      </c>
      <c r="B8909" s="1" t="s">
        <v>2426</v>
      </c>
      <c r="C8909" s="1" t="s">
        <v>64</v>
      </c>
      <c r="D8909" s="1" t="s">
        <v>18</v>
      </c>
      <c r="E8909" s="1" t="s">
        <v>33</v>
      </c>
      <c r="F8909" s="2" t="s">
        <v>377</v>
      </c>
      <c r="G8909" s="1">
        <v>66.975999999999999</v>
      </c>
      <c r="H8909" s="1">
        <v>7</v>
      </c>
      <c r="I8909" s="1">
        <v>6.6976000000000004</v>
      </c>
    </row>
    <row r="8910" spans="1:9" x14ac:dyDescent="0.35">
      <c r="A8910" s="3" t="s">
        <v>3828</v>
      </c>
      <c r="B8910" s="1" t="s">
        <v>2160</v>
      </c>
      <c r="C8910" s="1" t="s">
        <v>2862</v>
      </c>
      <c r="D8910" s="1" t="s">
        <v>18</v>
      </c>
      <c r="E8910" s="1" t="s">
        <v>44</v>
      </c>
      <c r="F8910" s="2" t="s">
        <v>2115</v>
      </c>
      <c r="G8910" s="1">
        <v>182.72</v>
      </c>
      <c r="H8910" s="1">
        <v>8</v>
      </c>
      <c r="I8910" s="1">
        <v>84.051199999999994</v>
      </c>
    </row>
    <row r="8911" spans="1:9" x14ac:dyDescent="0.35">
      <c r="A8911" s="3" t="s">
        <v>3524</v>
      </c>
      <c r="B8911" s="1" t="s">
        <v>782</v>
      </c>
      <c r="C8911" s="1" t="s">
        <v>1739</v>
      </c>
      <c r="D8911" s="1" t="s">
        <v>592</v>
      </c>
      <c r="E8911" s="1" t="s">
        <v>19</v>
      </c>
      <c r="F8911" s="2" t="s">
        <v>323</v>
      </c>
      <c r="G8911" s="1">
        <v>21.93</v>
      </c>
      <c r="H8911" s="1">
        <v>3</v>
      </c>
      <c r="I8911" s="1">
        <v>10.3071</v>
      </c>
    </row>
    <row r="8912" spans="1:9" x14ac:dyDescent="0.35">
      <c r="A8912" s="3">
        <v>42836</v>
      </c>
      <c r="B8912" s="1" t="s">
        <v>942</v>
      </c>
      <c r="C8912" s="1" t="s">
        <v>2453</v>
      </c>
      <c r="D8912" s="1" t="s">
        <v>171</v>
      </c>
      <c r="E8912" s="1" t="s">
        <v>81</v>
      </c>
      <c r="F8912" s="2" t="s">
        <v>787</v>
      </c>
      <c r="G8912" s="1">
        <v>95.975999999999999</v>
      </c>
      <c r="H8912" s="1">
        <v>3</v>
      </c>
      <c r="I8912" s="1">
        <v>15.5961</v>
      </c>
    </row>
    <row r="8913" spans="1:9" x14ac:dyDescent="0.35">
      <c r="A8913" s="3">
        <v>42836</v>
      </c>
      <c r="B8913" s="1" t="s">
        <v>942</v>
      </c>
      <c r="C8913" s="1" t="s">
        <v>2453</v>
      </c>
      <c r="D8913" s="1" t="s">
        <v>171</v>
      </c>
      <c r="E8913" s="1" t="s">
        <v>33</v>
      </c>
      <c r="F8913" s="2" t="s">
        <v>2983</v>
      </c>
      <c r="G8913" s="1">
        <v>143.928</v>
      </c>
      <c r="H8913" s="1">
        <v>9</v>
      </c>
      <c r="I8913" s="1">
        <v>-32.383800000000001</v>
      </c>
    </row>
    <row r="8914" spans="1:9" x14ac:dyDescent="0.35">
      <c r="A8914" s="3">
        <v>42836</v>
      </c>
      <c r="B8914" s="1" t="s">
        <v>942</v>
      </c>
      <c r="C8914" s="1" t="s">
        <v>2453</v>
      </c>
      <c r="D8914" s="1" t="s">
        <v>171</v>
      </c>
      <c r="E8914" s="1" t="s">
        <v>35</v>
      </c>
      <c r="F8914" s="2" t="s">
        <v>578</v>
      </c>
      <c r="G8914" s="1">
        <v>3.5640000000000001</v>
      </c>
      <c r="H8914" s="1">
        <v>2</v>
      </c>
      <c r="I8914" s="1">
        <v>-2.97</v>
      </c>
    </row>
    <row r="8915" spans="1:9" x14ac:dyDescent="0.35">
      <c r="A8915" s="3">
        <v>42836</v>
      </c>
      <c r="B8915" s="1" t="s">
        <v>942</v>
      </c>
      <c r="C8915" s="1" t="s">
        <v>2453</v>
      </c>
      <c r="D8915" s="1" t="s">
        <v>171</v>
      </c>
      <c r="E8915" s="1" t="s">
        <v>19</v>
      </c>
      <c r="F8915" s="2" t="s">
        <v>1746</v>
      </c>
      <c r="G8915" s="1">
        <v>4.9279999999999999</v>
      </c>
      <c r="H8915" s="1">
        <v>2</v>
      </c>
      <c r="I8915" s="1">
        <v>1.7248000000000001</v>
      </c>
    </row>
    <row r="8916" spans="1:9" x14ac:dyDescent="0.35">
      <c r="A8916" s="3">
        <v>42618</v>
      </c>
      <c r="B8916" s="1" t="s">
        <v>241</v>
      </c>
      <c r="C8916" s="1" t="s">
        <v>588</v>
      </c>
      <c r="D8916" s="1" t="s">
        <v>52</v>
      </c>
      <c r="E8916" s="1" t="s">
        <v>26</v>
      </c>
      <c r="F8916" s="2" t="s">
        <v>925</v>
      </c>
      <c r="G8916" s="1">
        <v>856.65599999999995</v>
      </c>
      <c r="H8916" s="1">
        <v>6</v>
      </c>
      <c r="I8916" s="1">
        <v>107.08199999999999</v>
      </c>
    </row>
    <row r="8917" spans="1:9" x14ac:dyDescent="0.35">
      <c r="A8917" s="3">
        <v>42618</v>
      </c>
      <c r="B8917" s="1" t="s">
        <v>241</v>
      </c>
      <c r="C8917" s="1" t="s">
        <v>588</v>
      </c>
      <c r="D8917" s="1" t="s">
        <v>52</v>
      </c>
      <c r="E8917" s="1" t="s">
        <v>35</v>
      </c>
      <c r="F8917" s="2" t="s">
        <v>209</v>
      </c>
      <c r="G8917" s="1">
        <v>13.183999999999999</v>
      </c>
      <c r="H8917" s="1">
        <v>4</v>
      </c>
      <c r="I8917" s="1">
        <v>-20.435199999999998</v>
      </c>
    </row>
    <row r="8918" spans="1:9" x14ac:dyDescent="0.35">
      <c r="A8918" s="3">
        <v>42618</v>
      </c>
      <c r="B8918" s="1" t="s">
        <v>241</v>
      </c>
      <c r="C8918" s="1" t="s">
        <v>588</v>
      </c>
      <c r="D8918" s="1" t="s">
        <v>52</v>
      </c>
      <c r="E8918" s="1" t="s">
        <v>37</v>
      </c>
      <c r="F8918" s="2" t="s">
        <v>2853</v>
      </c>
      <c r="G8918" s="1">
        <v>48.783999999999999</v>
      </c>
      <c r="H8918" s="1">
        <v>4</v>
      </c>
      <c r="I8918" s="1">
        <v>-131.71680000000001</v>
      </c>
    </row>
    <row r="8919" spans="1:9" x14ac:dyDescent="0.35">
      <c r="A8919" s="3">
        <v>42618</v>
      </c>
      <c r="B8919" s="1" t="s">
        <v>241</v>
      </c>
      <c r="C8919" s="1" t="s">
        <v>588</v>
      </c>
      <c r="D8919" s="1" t="s">
        <v>52</v>
      </c>
      <c r="E8919" s="1" t="s">
        <v>44</v>
      </c>
      <c r="F8919" s="2" t="s">
        <v>295</v>
      </c>
      <c r="G8919" s="1">
        <v>76.64</v>
      </c>
      <c r="H8919" s="1">
        <v>2</v>
      </c>
      <c r="I8919" s="1">
        <v>26.824000000000002</v>
      </c>
    </row>
    <row r="8920" spans="1:9" x14ac:dyDescent="0.35">
      <c r="A8920" s="3">
        <v>42618</v>
      </c>
      <c r="B8920" s="1" t="s">
        <v>241</v>
      </c>
      <c r="C8920" s="1" t="s">
        <v>588</v>
      </c>
      <c r="D8920" s="1" t="s">
        <v>52</v>
      </c>
      <c r="E8920" s="1" t="s">
        <v>35</v>
      </c>
      <c r="F8920" s="2" t="s">
        <v>1823</v>
      </c>
      <c r="G8920" s="1">
        <v>18.527999999999999</v>
      </c>
      <c r="H8920" s="1">
        <v>6</v>
      </c>
      <c r="I8920" s="1">
        <v>-27.792000000000002</v>
      </c>
    </row>
    <row r="8921" spans="1:9" x14ac:dyDescent="0.35">
      <c r="A8921" s="3">
        <v>41674</v>
      </c>
      <c r="B8921" s="1" t="s">
        <v>2562</v>
      </c>
      <c r="C8921" s="1" t="s">
        <v>1306</v>
      </c>
      <c r="D8921" s="1" t="s">
        <v>163</v>
      </c>
      <c r="E8921" s="1" t="s">
        <v>29</v>
      </c>
      <c r="F8921" s="2" t="s">
        <v>2903</v>
      </c>
      <c r="G8921" s="1">
        <v>177.68</v>
      </c>
      <c r="H8921" s="1">
        <v>2</v>
      </c>
      <c r="I8921" s="1">
        <v>46.196800000000003</v>
      </c>
    </row>
    <row r="8922" spans="1:9" x14ac:dyDescent="0.35">
      <c r="A8922" s="3" t="s">
        <v>3421</v>
      </c>
      <c r="B8922" s="1" t="s">
        <v>428</v>
      </c>
      <c r="C8922" s="1" t="s">
        <v>2245</v>
      </c>
      <c r="D8922" s="1" t="s">
        <v>136</v>
      </c>
      <c r="E8922" s="1" t="s">
        <v>81</v>
      </c>
      <c r="F8922" s="2" t="s">
        <v>1850</v>
      </c>
      <c r="G8922" s="1">
        <v>159.97999999999999</v>
      </c>
      <c r="H8922" s="1">
        <v>2</v>
      </c>
      <c r="I8922" s="1">
        <v>57.592799999999997</v>
      </c>
    </row>
    <row r="8923" spans="1:9" x14ac:dyDescent="0.35">
      <c r="A8923" s="3">
        <v>42470</v>
      </c>
      <c r="B8923" s="1" t="s">
        <v>2562</v>
      </c>
      <c r="C8923" s="1" t="s">
        <v>3107</v>
      </c>
      <c r="D8923" s="1" t="s">
        <v>23</v>
      </c>
      <c r="E8923" s="1" t="s">
        <v>33</v>
      </c>
      <c r="F8923" s="2" t="s">
        <v>2516</v>
      </c>
      <c r="G8923" s="1">
        <v>52.68</v>
      </c>
      <c r="H8923" s="1">
        <v>3</v>
      </c>
      <c r="I8923" s="1">
        <v>19.754999999999999</v>
      </c>
    </row>
    <row r="8924" spans="1:9" x14ac:dyDescent="0.35">
      <c r="A8924" s="3">
        <v>42470</v>
      </c>
      <c r="B8924" s="1" t="s">
        <v>2562</v>
      </c>
      <c r="C8924" s="1" t="s">
        <v>3107</v>
      </c>
      <c r="D8924" s="1" t="s">
        <v>23</v>
      </c>
      <c r="E8924" s="1" t="s">
        <v>29</v>
      </c>
      <c r="F8924" s="2" t="s">
        <v>1312</v>
      </c>
      <c r="G8924" s="1">
        <v>11.568</v>
      </c>
      <c r="H8924" s="1">
        <v>3</v>
      </c>
      <c r="I8924" s="1">
        <v>2.6027999999999998</v>
      </c>
    </row>
    <row r="8925" spans="1:9" x14ac:dyDescent="0.35">
      <c r="A8925" s="3">
        <v>43045</v>
      </c>
      <c r="B8925" s="1" t="s">
        <v>908</v>
      </c>
      <c r="C8925" s="1" t="s">
        <v>2571</v>
      </c>
      <c r="D8925" s="1" t="s">
        <v>43</v>
      </c>
      <c r="E8925" s="1" t="s">
        <v>35</v>
      </c>
      <c r="F8925" s="2" t="s">
        <v>90</v>
      </c>
      <c r="G8925" s="1">
        <v>4.5720000000000001</v>
      </c>
      <c r="H8925" s="1">
        <v>4</v>
      </c>
      <c r="I8925" s="1">
        <v>-3.81</v>
      </c>
    </row>
    <row r="8926" spans="1:9" x14ac:dyDescent="0.35">
      <c r="A8926" s="3" t="s">
        <v>3289</v>
      </c>
      <c r="B8926" s="1" t="s">
        <v>2347</v>
      </c>
      <c r="C8926" s="1" t="s">
        <v>1354</v>
      </c>
      <c r="D8926" s="1" t="s">
        <v>106</v>
      </c>
      <c r="E8926" s="1" t="s">
        <v>33</v>
      </c>
      <c r="F8926" s="2" t="s">
        <v>3108</v>
      </c>
      <c r="G8926" s="1">
        <v>1439.9680000000001</v>
      </c>
      <c r="H8926" s="1">
        <v>4</v>
      </c>
      <c r="I8926" s="1">
        <v>143.99680000000001</v>
      </c>
    </row>
    <row r="8927" spans="1:9" x14ac:dyDescent="0.35">
      <c r="A8927" s="3" t="s">
        <v>3289</v>
      </c>
      <c r="B8927" s="1" t="s">
        <v>2347</v>
      </c>
      <c r="C8927" s="1" t="s">
        <v>1354</v>
      </c>
      <c r="D8927" s="1" t="s">
        <v>106</v>
      </c>
      <c r="E8927" s="1" t="s">
        <v>35</v>
      </c>
      <c r="F8927" s="2" t="s">
        <v>1083</v>
      </c>
      <c r="G8927" s="1">
        <v>1.728</v>
      </c>
      <c r="H8927" s="1">
        <v>3</v>
      </c>
      <c r="I8927" s="1">
        <v>-2.6783999999999999</v>
      </c>
    </row>
    <row r="8928" spans="1:9" x14ac:dyDescent="0.35">
      <c r="A8928" s="3" t="s">
        <v>3289</v>
      </c>
      <c r="B8928" s="1" t="s">
        <v>2347</v>
      </c>
      <c r="C8928" s="1" t="s">
        <v>1354</v>
      </c>
      <c r="D8928" s="1" t="s">
        <v>106</v>
      </c>
      <c r="E8928" s="1" t="s">
        <v>24</v>
      </c>
      <c r="F8928" s="2" t="s">
        <v>877</v>
      </c>
      <c r="G8928" s="1">
        <v>626.1</v>
      </c>
      <c r="H8928" s="1">
        <v>3</v>
      </c>
      <c r="I8928" s="1">
        <v>-538.44600000000003</v>
      </c>
    </row>
    <row r="8929" spans="1:9" x14ac:dyDescent="0.35">
      <c r="A8929" s="3" t="s">
        <v>3393</v>
      </c>
      <c r="B8929" s="1" t="s">
        <v>661</v>
      </c>
      <c r="C8929" s="1" t="s">
        <v>47</v>
      </c>
      <c r="D8929" s="1" t="s">
        <v>48</v>
      </c>
      <c r="E8929" s="1" t="s">
        <v>31</v>
      </c>
      <c r="F8929" s="2" t="s">
        <v>1941</v>
      </c>
      <c r="G8929" s="1">
        <v>99.2</v>
      </c>
      <c r="H8929" s="1">
        <v>5</v>
      </c>
      <c r="I8929" s="1">
        <v>25.792000000000002</v>
      </c>
    </row>
    <row r="8930" spans="1:9" x14ac:dyDescent="0.35">
      <c r="A8930" s="3" t="s">
        <v>3513</v>
      </c>
      <c r="B8930" s="1" t="s">
        <v>885</v>
      </c>
      <c r="C8930" s="1" t="s">
        <v>785</v>
      </c>
      <c r="D8930" s="1" t="s">
        <v>52</v>
      </c>
      <c r="E8930" s="1" t="s">
        <v>24</v>
      </c>
      <c r="F8930" s="2" t="s">
        <v>997</v>
      </c>
      <c r="G8930" s="1">
        <v>609.98</v>
      </c>
      <c r="H8930" s="1">
        <v>4</v>
      </c>
      <c r="I8930" s="1">
        <v>-113.282</v>
      </c>
    </row>
    <row r="8931" spans="1:9" x14ac:dyDescent="0.35">
      <c r="A8931" s="3" t="s">
        <v>3513</v>
      </c>
      <c r="B8931" s="1" t="s">
        <v>885</v>
      </c>
      <c r="C8931" s="1" t="s">
        <v>785</v>
      </c>
      <c r="D8931" s="1" t="s">
        <v>52</v>
      </c>
      <c r="E8931" s="1" t="s">
        <v>24</v>
      </c>
      <c r="F8931" s="2" t="s">
        <v>1673</v>
      </c>
      <c r="G8931" s="1">
        <v>211.37200000000001</v>
      </c>
      <c r="H8931" s="1">
        <v>2</v>
      </c>
      <c r="I8931" s="1">
        <v>-45.293999999999997</v>
      </c>
    </row>
    <row r="8932" spans="1:9" x14ac:dyDescent="0.35">
      <c r="A8932" s="3" t="s">
        <v>3513</v>
      </c>
      <c r="B8932" s="1" t="s">
        <v>885</v>
      </c>
      <c r="C8932" s="1" t="s">
        <v>785</v>
      </c>
      <c r="D8932" s="1" t="s">
        <v>52</v>
      </c>
      <c r="E8932" s="1" t="s">
        <v>33</v>
      </c>
      <c r="F8932" s="2" t="s">
        <v>1419</v>
      </c>
      <c r="G8932" s="1">
        <v>239.976</v>
      </c>
      <c r="H8932" s="1">
        <v>3</v>
      </c>
      <c r="I8932" s="1">
        <v>17.998200000000001</v>
      </c>
    </row>
    <row r="8933" spans="1:9" x14ac:dyDescent="0.35">
      <c r="A8933" s="3" t="s">
        <v>3291</v>
      </c>
      <c r="B8933" s="1" t="s">
        <v>3081</v>
      </c>
      <c r="C8933" s="1" t="s">
        <v>1147</v>
      </c>
      <c r="D8933" s="1" t="s">
        <v>57</v>
      </c>
      <c r="E8933" s="1" t="s">
        <v>29</v>
      </c>
      <c r="F8933" s="2" t="s">
        <v>3025</v>
      </c>
      <c r="G8933" s="1">
        <v>99.95</v>
      </c>
      <c r="H8933" s="1">
        <v>5</v>
      </c>
      <c r="I8933" s="1">
        <v>22.988499999999998</v>
      </c>
    </row>
    <row r="8934" spans="1:9" x14ac:dyDescent="0.35">
      <c r="A8934" s="3" t="s">
        <v>3291</v>
      </c>
      <c r="B8934" s="1" t="s">
        <v>3081</v>
      </c>
      <c r="C8934" s="1" t="s">
        <v>1147</v>
      </c>
      <c r="D8934" s="1" t="s">
        <v>57</v>
      </c>
      <c r="E8934" s="1" t="s">
        <v>81</v>
      </c>
      <c r="F8934" s="2" t="s">
        <v>2663</v>
      </c>
      <c r="G8934" s="1">
        <v>29.34</v>
      </c>
      <c r="H8934" s="1">
        <v>3</v>
      </c>
      <c r="I8934" s="1">
        <v>10.8558</v>
      </c>
    </row>
    <row r="8935" spans="1:9" x14ac:dyDescent="0.35">
      <c r="A8935" s="3" t="s">
        <v>3474</v>
      </c>
      <c r="B8935" s="1" t="s">
        <v>989</v>
      </c>
      <c r="C8935" s="1" t="s">
        <v>858</v>
      </c>
      <c r="D8935" s="1" t="s">
        <v>57</v>
      </c>
      <c r="E8935" s="1" t="s">
        <v>29</v>
      </c>
      <c r="F8935" s="2" t="s">
        <v>1517</v>
      </c>
      <c r="G8935" s="1">
        <v>16.739999999999998</v>
      </c>
      <c r="H8935" s="1">
        <v>2</v>
      </c>
      <c r="I8935" s="1">
        <v>4.3524000000000003</v>
      </c>
    </row>
    <row r="8936" spans="1:9" x14ac:dyDescent="0.35">
      <c r="A8936" s="3" t="s">
        <v>3298</v>
      </c>
      <c r="B8936" s="1" t="s">
        <v>542</v>
      </c>
      <c r="C8936" s="1" t="s">
        <v>74</v>
      </c>
      <c r="D8936" s="1" t="s">
        <v>75</v>
      </c>
      <c r="E8936" s="1" t="s">
        <v>44</v>
      </c>
      <c r="F8936" s="2" t="s">
        <v>1930</v>
      </c>
      <c r="G8936" s="1">
        <v>12.672000000000001</v>
      </c>
      <c r="H8936" s="1">
        <v>3</v>
      </c>
      <c r="I8936" s="1">
        <v>3.96</v>
      </c>
    </row>
    <row r="8937" spans="1:9" x14ac:dyDescent="0.35">
      <c r="A8937" s="3" t="s">
        <v>3298</v>
      </c>
      <c r="B8937" s="1" t="s">
        <v>542</v>
      </c>
      <c r="C8937" s="1" t="s">
        <v>74</v>
      </c>
      <c r="D8937" s="1" t="s">
        <v>75</v>
      </c>
      <c r="E8937" s="1" t="s">
        <v>81</v>
      </c>
      <c r="F8937" s="2" t="s">
        <v>563</v>
      </c>
      <c r="G8937" s="1">
        <v>1119.8879999999999</v>
      </c>
      <c r="H8937" s="1">
        <v>14</v>
      </c>
      <c r="I8937" s="1">
        <v>209.97900000000001</v>
      </c>
    </row>
    <row r="8938" spans="1:9" x14ac:dyDescent="0.35">
      <c r="A8938" s="3" t="s">
        <v>3583</v>
      </c>
      <c r="B8938" s="1" t="s">
        <v>196</v>
      </c>
      <c r="C8938" s="1" t="s">
        <v>17</v>
      </c>
      <c r="D8938" s="1" t="s">
        <v>18</v>
      </c>
      <c r="E8938" s="1" t="s">
        <v>31</v>
      </c>
      <c r="F8938" s="2" t="s">
        <v>1503</v>
      </c>
      <c r="G8938" s="1">
        <v>204.85</v>
      </c>
      <c r="H8938" s="1">
        <v>5</v>
      </c>
      <c r="I8938" s="1">
        <v>53.261000000000003</v>
      </c>
    </row>
    <row r="8939" spans="1:9" x14ac:dyDescent="0.35">
      <c r="A8939" s="3" t="s">
        <v>3583</v>
      </c>
      <c r="B8939" s="1" t="s">
        <v>196</v>
      </c>
      <c r="C8939" s="1" t="s">
        <v>17</v>
      </c>
      <c r="D8939" s="1" t="s">
        <v>18</v>
      </c>
      <c r="E8939" s="1" t="s">
        <v>33</v>
      </c>
      <c r="F8939" s="2" t="s">
        <v>2487</v>
      </c>
      <c r="G8939" s="1">
        <v>135.98400000000001</v>
      </c>
      <c r="H8939" s="1">
        <v>2</v>
      </c>
      <c r="I8939" s="1">
        <v>16.998000000000001</v>
      </c>
    </row>
    <row r="8940" spans="1:9" x14ac:dyDescent="0.35">
      <c r="A8940" s="3" t="s">
        <v>3583</v>
      </c>
      <c r="B8940" s="1" t="s">
        <v>196</v>
      </c>
      <c r="C8940" s="1" t="s">
        <v>17</v>
      </c>
      <c r="D8940" s="1" t="s">
        <v>18</v>
      </c>
      <c r="E8940" s="1" t="s">
        <v>31</v>
      </c>
      <c r="F8940" s="2" t="s">
        <v>357</v>
      </c>
      <c r="G8940" s="1">
        <v>16.399999999999999</v>
      </c>
      <c r="H8940" s="1">
        <v>5</v>
      </c>
      <c r="I8940" s="1">
        <v>7.0519999999999996</v>
      </c>
    </row>
    <row r="8941" spans="1:9" x14ac:dyDescent="0.35">
      <c r="A8941" s="3" t="s">
        <v>3583</v>
      </c>
      <c r="B8941" s="1" t="s">
        <v>196</v>
      </c>
      <c r="C8941" s="1" t="s">
        <v>17</v>
      </c>
      <c r="D8941" s="1" t="s">
        <v>18</v>
      </c>
      <c r="E8941" s="1" t="s">
        <v>35</v>
      </c>
      <c r="F8941" s="2" t="s">
        <v>1540</v>
      </c>
      <c r="G8941" s="1">
        <v>92.96</v>
      </c>
      <c r="H8941" s="1">
        <v>2</v>
      </c>
      <c r="I8941" s="1">
        <v>31.373999999999999</v>
      </c>
    </row>
    <row r="8942" spans="1:9" x14ac:dyDescent="0.35">
      <c r="A8942" s="3" t="s">
        <v>3533</v>
      </c>
      <c r="B8942" s="1" t="s">
        <v>762</v>
      </c>
      <c r="C8942" s="1" t="s">
        <v>2591</v>
      </c>
      <c r="D8942" s="1" t="s">
        <v>23</v>
      </c>
      <c r="E8942" s="1" t="s">
        <v>289</v>
      </c>
      <c r="F8942" s="2" t="s">
        <v>3109</v>
      </c>
      <c r="G8942" s="1">
        <v>7.6319999999999997</v>
      </c>
      <c r="H8942" s="1">
        <v>3</v>
      </c>
      <c r="I8942" s="1">
        <v>-1.8126</v>
      </c>
    </row>
    <row r="8943" spans="1:9" x14ac:dyDescent="0.35">
      <c r="A8943" s="3">
        <v>42440</v>
      </c>
      <c r="B8943" s="1" t="s">
        <v>1802</v>
      </c>
      <c r="C8943" s="1" t="s">
        <v>211</v>
      </c>
      <c r="D8943" s="1" t="s">
        <v>212</v>
      </c>
      <c r="E8943" s="1" t="s">
        <v>35</v>
      </c>
      <c r="F8943" s="2" t="s">
        <v>1542</v>
      </c>
      <c r="G8943" s="1">
        <v>4.1580000000000004</v>
      </c>
      <c r="H8943" s="1">
        <v>7</v>
      </c>
      <c r="I8943" s="1">
        <v>-3.4649999999999999</v>
      </c>
    </row>
    <row r="8944" spans="1:9" x14ac:dyDescent="0.35">
      <c r="A8944" s="3">
        <v>42440</v>
      </c>
      <c r="B8944" s="1" t="s">
        <v>1802</v>
      </c>
      <c r="C8944" s="1" t="s">
        <v>211</v>
      </c>
      <c r="D8944" s="1" t="s">
        <v>212</v>
      </c>
      <c r="E8944" s="1" t="s">
        <v>338</v>
      </c>
      <c r="F8944" s="2" t="s">
        <v>3110</v>
      </c>
      <c r="G8944" s="1">
        <v>179.99100000000001</v>
      </c>
      <c r="H8944" s="1">
        <v>3</v>
      </c>
      <c r="I8944" s="1">
        <v>-251.98740000000001</v>
      </c>
    </row>
    <row r="8945" spans="1:9" x14ac:dyDescent="0.35">
      <c r="A8945" s="3">
        <v>43018</v>
      </c>
      <c r="B8945" s="1" t="s">
        <v>2060</v>
      </c>
      <c r="C8945" s="1" t="s">
        <v>228</v>
      </c>
      <c r="D8945" s="1" t="s">
        <v>106</v>
      </c>
      <c r="E8945" s="1" t="s">
        <v>14</v>
      </c>
      <c r="F8945" s="2" t="s">
        <v>2929</v>
      </c>
      <c r="G8945" s="1">
        <v>239.358</v>
      </c>
      <c r="H8945" s="1">
        <v>3</v>
      </c>
      <c r="I8945" s="1">
        <v>-47.871600000000001</v>
      </c>
    </row>
    <row r="8946" spans="1:9" x14ac:dyDescent="0.35">
      <c r="A8946" s="3">
        <v>41832</v>
      </c>
      <c r="B8946" s="1" t="s">
        <v>1375</v>
      </c>
      <c r="C8946" s="1" t="s">
        <v>64</v>
      </c>
      <c r="D8946" s="1" t="s">
        <v>18</v>
      </c>
      <c r="E8946" s="1" t="s">
        <v>44</v>
      </c>
      <c r="F8946" s="2" t="s">
        <v>2315</v>
      </c>
      <c r="G8946" s="1">
        <v>164.88</v>
      </c>
      <c r="H8946" s="1">
        <v>3</v>
      </c>
      <c r="I8946" s="1">
        <v>80.791200000000003</v>
      </c>
    </row>
    <row r="8947" spans="1:9" x14ac:dyDescent="0.35">
      <c r="A8947" s="3" t="s">
        <v>3183</v>
      </c>
      <c r="B8947" s="1" t="s">
        <v>2180</v>
      </c>
      <c r="C8947" s="1" t="s">
        <v>64</v>
      </c>
      <c r="D8947" s="1" t="s">
        <v>18</v>
      </c>
      <c r="E8947" s="1" t="s">
        <v>289</v>
      </c>
      <c r="F8947" s="2" t="s">
        <v>898</v>
      </c>
      <c r="G8947" s="1">
        <v>10.95</v>
      </c>
      <c r="H8947" s="1">
        <v>3</v>
      </c>
      <c r="I8947" s="1">
        <v>3.2850000000000001</v>
      </c>
    </row>
    <row r="8948" spans="1:9" x14ac:dyDescent="0.35">
      <c r="A8948" s="3" t="s">
        <v>3372</v>
      </c>
      <c r="B8948" s="1" t="s">
        <v>2596</v>
      </c>
      <c r="C8948" s="1" t="s">
        <v>1674</v>
      </c>
      <c r="D8948" s="1" t="s">
        <v>592</v>
      </c>
      <c r="E8948" s="1" t="s">
        <v>44</v>
      </c>
      <c r="F8948" s="2" t="s">
        <v>1977</v>
      </c>
      <c r="G8948" s="1">
        <v>19.440000000000001</v>
      </c>
      <c r="H8948" s="1">
        <v>3</v>
      </c>
      <c r="I8948" s="1">
        <v>9.3312000000000008</v>
      </c>
    </row>
    <row r="8949" spans="1:9" x14ac:dyDescent="0.35">
      <c r="A8949" s="3" t="s">
        <v>3372</v>
      </c>
      <c r="B8949" s="1" t="s">
        <v>2596</v>
      </c>
      <c r="C8949" s="1" t="s">
        <v>1674</v>
      </c>
      <c r="D8949" s="1" t="s">
        <v>592</v>
      </c>
      <c r="E8949" s="1" t="s">
        <v>35</v>
      </c>
      <c r="F8949" s="2" t="s">
        <v>2825</v>
      </c>
      <c r="G8949" s="1">
        <v>12.3</v>
      </c>
      <c r="H8949" s="1">
        <v>5</v>
      </c>
      <c r="I8949" s="1">
        <v>6.15</v>
      </c>
    </row>
    <row r="8950" spans="1:9" x14ac:dyDescent="0.35">
      <c r="A8950" s="3" t="s">
        <v>3559</v>
      </c>
      <c r="B8950" s="1" t="s">
        <v>1952</v>
      </c>
      <c r="C8950" s="1" t="s">
        <v>461</v>
      </c>
      <c r="D8950" s="1" t="s">
        <v>18</v>
      </c>
      <c r="E8950" s="1" t="s">
        <v>37</v>
      </c>
      <c r="F8950" s="2" t="s">
        <v>3030</v>
      </c>
      <c r="G8950" s="1">
        <v>13.97</v>
      </c>
      <c r="H8950" s="1">
        <v>1</v>
      </c>
      <c r="I8950" s="1">
        <v>3.6322000000000001</v>
      </c>
    </row>
    <row r="8951" spans="1:9" x14ac:dyDescent="0.35">
      <c r="A8951" s="3" t="s">
        <v>3180</v>
      </c>
      <c r="B8951" s="1" t="s">
        <v>2503</v>
      </c>
      <c r="C8951" s="1" t="s">
        <v>167</v>
      </c>
      <c r="D8951" s="1" t="s">
        <v>171</v>
      </c>
      <c r="E8951" s="1" t="s">
        <v>24</v>
      </c>
      <c r="F8951" s="2" t="s">
        <v>505</v>
      </c>
      <c r="G8951" s="1">
        <v>934.95600000000002</v>
      </c>
      <c r="H8951" s="1">
        <v>6</v>
      </c>
      <c r="I8951" s="1">
        <v>-249.32159999999999</v>
      </c>
    </row>
    <row r="8952" spans="1:9" x14ac:dyDescent="0.35">
      <c r="A8952" s="3" t="s">
        <v>3180</v>
      </c>
      <c r="B8952" s="1" t="s">
        <v>2503</v>
      </c>
      <c r="C8952" s="1" t="s">
        <v>167</v>
      </c>
      <c r="D8952" s="1" t="s">
        <v>171</v>
      </c>
      <c r="E8952" s="1" t="s">
        <v>81</v>
      </c>
      <c r="F8952" s="2" t="s">
        <v>1405</v>
      </c>
      <c r="G8952" s="1">
        <v>46.863999999999997</v>
      </c>
      <c r="H8952" s="1">
        <v>2</v>
      </c>
      <c r="I8952" s="1">
        <v>7.6154000000000002</v>
      </c>
    </row>
    <row r="8953" spans="1:9" x14ac:dyDescent="0.35">
      <c r="A8953" s="3" t="s">
        <v>3180</v>
      </c>
      <c r="B8953" s="1" t="s">
        <v>2503</v>
      </c>
      <c r="C8953" s="1" t="s">
        <v>167</v>
      </c>
      <c r="D8953" s="1" t="s">
        <v>171</v>
      </c>
      <c r="E8953" s="1" t="s">
        <v>26</v>
      </c>
      <c r="F8953" s="2" t="s">
        <v>702</v>
      </c>
      <c r="G8953" s="1">
        <v>26.16</v>
      </c>
      <c r="H8953" s="1">
        <v>3</v>
      </c>
      <c r="I8953" s="1">
        <v>1.962</v>
      </c>
    </row>
    <row r="8954" spans="1:9" x14ac:dyDescent="0.35">
      <c r="A8954" s="3" t="s">
        <v>3180</v>
      </c>
      <c r="B8954" s="1" t="s">
        <v>2503</v>
      </c>
      <c r="C8954" s="1" t="s">
        <v>167</v>
      </c>
      <c r="D8954" s="1" t="s">
        <v>171</v>
      </c>
      <c r="E8954" s="1" t="s">
        <v>31</v>
      </c>
      <c r="F8954" s="2" t="s">
        <v>1722</v>
      </c>
      <c r="G8954" s="1">
        <v>23.128</v>
      </c>
      <c r="H8954" s="1">
        <v>7</v>
      </c>
      <c r="I8954" s="1">
        <v>2.891</v>
      </c>
    </row>
    <row r="8955" spans="1:9" x14ac:dyDescent="0.35">
      <c r="A8955" s="3" t="s">
        <v>3180</v>
      </c>
      <c r="B8955" s="1" t="s">
        <v>2503</v>
      </c>
      <c r="C8955" s="1" t="s">
        <v>167</v>
      </c>
      <c r="D8955" s="1" t="s">
        <v>171</v>
      </c>
      <c r="E8955" s="1" t="s">
        <v>37</v>
      </c>
      <c r="F8955" s="2" t="s">
        <v>1165</v>
      </c>
      <c r="G8955" s="1">
        <v>59.24</v>
      </c>
      <c r="H8955" s="1">
        <v>5</v>
      </c>
      <c r="I8955" s="1">
        <v>16.291</v>
      </c>
    </row>
    <row r="8956" spans="1:9" x14ac:dyDescent="0.35">
      <c r="A8956" s="3">
        <v>41859</v>
      </c>
      <c r="B8956" s="1" t="s">
        <v>1318</v>
      </c>
      <c r="C8956" s="1" t="s">
        <v>719</v>
      </c>
      <c r="D8956" s="1" t="s">
        <v>23</v>
      </c>
      <c r="E8956" s="1" t="s">
        <v>12</v>
      </c>
      <c r="F8956" s="2" t="s">
        <v>1979</v>
      </c>
      <c r="G8956" s="1">
        <v>155.45599999999999</v>
      </c>
      <c r="H8956" s="1">
        <v>4</v>
      </c>
      <c r="I8956" s="1">
        <v>-7.7728000000000002</v>
      </c>
    </row>
    <row r="8957" spans="1:9" x14ac:dyDescent="0.35">
      <c r="A8957" s="3" t="s">
        <v>3177</v>
      </c>
      <c r="B8957" s="1" t="s">
        <v>1563</v>
      </c>
      <c r="C8957" s="1" t="s">
        <v>461</v>
      </c>
      <c r="D8957" s="1" t="s">
        <v>18</v>
      </c>
      <c r="E8957" s="1" t="s">
        <v>44</v>
      </c>
      <c r="F8957" s="2" t="s">
        <v>2552</v>
      </c>
      <c r="G8957" s="1">
        <v>8.56</v>
      </c>
      <c r="H8957" s="1">
        <v>2</v>
      </c>
      <c r="I8957" s="1">
        <v>3.8519999999999999</v>
      </c>
    </row>
    <row r="8958" spans="1:9" x14ac:dyDescent="0.35">
      <c r="A8958" s="3" t="s">
        <v>3174</v>
      </c>
      <c r="B8958" s="1" t="s">
        <v>1345</v>
      </c>
      <c r="C8958" s="1" t="s">
        <v>1055</v>
      </c>
      <c r="D8958" s="1" t="s">
        <v>23</v>
      </c>
      <c r="E8958" s="1" t="s">
        <v>29</v>
      </c>
      <c r="F8958" s="2" t="s">
        <v>2419</v>
      </c>
      <c r="G8958" s="1">
        <v>21</v>
      </c>
      <c r="H8958" s="1">
        <v>3</v>
      </c>
      <c r="I8958" s="1">
        <v>5.7750000000000004</v>
      </c>
    </row>
    <row r="8959" spans="1:9" x14ac:dyDescent="0.35">
      <c r="A8959" s="3" t="s">
        <v>3174</v>
      </c>
      <c r="B8959" s="1" t="s">
        <v>1345</v>
      </c>
      <c r="C8959" s="1" t="s">
        <v>1055</v>
      </c>
      <c r="D8959" s="1" t="s">
        <v>23</v>
      </c>
      <c r="E8959" s="1" t="s">
        <v>338</v>
      </c>
      <c r="F8959" s="2" t="s">
        <v>3106</v>
      </c>
      <c r="G8959" s="1">
        <v>120</v>
      </c>
      <c r="H8959" s="1">
        <v>2</v>
      </c>
      <c r="I8959" s="1">
        <v>-7.2</v>
      </c>
    </row>
    <row r="8960" spans="1:9" x14ac:dyDescent="0.35">
      <c r="A8960" s="3" t="s">
        <v>3462</v>
      </c>
      <c r="B8960" s="1" t="s">
        <v>793</v>
      </c>
      <c r="C8960" s="1" t="s">
        <v>93</v>
      </c>
      <c r="D8960" s="1" t="s">
        <v>52</v>
      </c>
      <c r="E8960" s="1" t="s">
        <v>33</v>
      </c>
      <c r="F8960" s="2" t="s">
        <v>1558</v>
      </c>
      <c r="G8960" s="1">
        <v>299.95999999999998</v>
      </c>
      <c r="H8960" s="1">
        <v>5</v>
      </c>
      <c r="I8960" s="1">
        <v>37.494999999999997</v>
      </c>
    </row>
    <row r="8961" spans="1:9" x14ac:dyDescent="0.35">
      <c r="A8961" s="3" t="s">
        <v>3462</v>
      </c>
      <c r="B8961" s="1" t="s">
        <v>793</v>
      </c>
      <c r="C8961" s="1" t="s">
        <v>93</v>
      </c>
      <c r="D8961" s="1" t="s">
        <v>52</v>
      </c>
      <c r="E8961" s="1" t="s">
        <v>37</v>
      </c>
      <c r="F8961" s="2" t="s">
        <v>2541</v>
      </c>
      <c r="G8961" s="1">
        <v>67.84</v>
      </c>
      <c r="H8961" s="1">
        <v>5</v>
      </c>
      <c r="I8961" s="1">
        <v>-179.77600000000001</v>
      </c>
    </row>
    <row r="8962" spans="1:9" x14ac:dyDescent="0.35">
      <c r="A8962" s="3" t="s">
        <v>3462</v>
      </c>
      <c r="B8962" s="1" t="s">
        <v>793</v>
      </c>
      <c r="C8962" s="1" t="s">
        <v>93</v>
      </c>
      <c r="D8962" s="1" t="s">
        <v>52</v>
      </c>
      <c r="E8962" s="1" t="s">
        <v>14</v>
      </c>
      <c r="F8962" s="2" t="s">
        <v>1445</v>
      </c>
      <c r="G8962" s="1">
        <v>853.93</v>
      </c>
      <c r="H8962" s="1">
        <v>5</v>
      </c>
      <c r="I8962" s="1">
        <v>-24.398</v>
      </c>
    </row>
    <row r="8963" spans="1:9" x14ac:dyDescent="0.35">
      <c r="A8963" s="3" t="s">
        <v>3462</v>
      </c>
      <c r="B8963" s="1" t="s">
        <v>793</v>
      </c>
      <c r="C8963" s="1" t="s">
        <v>93</v>
      </c>
      <c r="D8963" s="1" t="s">
        <v>52</v>
      </c>
      <c r="E8963" s="1" t="s">
        <v>31</v>
      </c>
      <c r="F8963" s="2" t="s">
        <v>2770</v>
      </c>
      <c r="G8963" s="1">
        <v>18.687999999999999</v>
      </c>
      <c r="H8963" s="1">
        <v>4</v>
      </c>
      <c r="I8963" s="1">
        <v>3.7376</v>
      </c>
    </row>
    <row r="8964" spans="1:9" x14ac:dyDescent="0.35">
      <c r="A8964" s="3">
        <v>42501</v>
      </c>
      <c r="B8964" s="1" t="s">
        <v>2832</v>
      </c>
      <c r="C8964" s="1" t="s">
        <v>1306</v>
      </c>
      <c r="D8964" s="1" t="s">
        <v>163</v>
      </c>
      <c r="E8964" s="1" t="s">
        <v>29</v>
      </c>
      <c r="F8964" s="2" t="s">
        <v>2266</v>
      </c>
      <c r="G8964" s="1">
        <v>273.95999999999998</v>
      </c>
      <c r="H8964" s="1">
        <v>2</v>
      </c>
      <c r="I8964" s="1">
        <v>71.229600000000005</v>
      </c>
    </row>
    <row r="8965" spans="1:9" x14ac:dyDescent="0.35">
      <c r="A8965" s="3">
        <v>42501</v>
      </c>
      <c r="B8965" s="1" t="s">
        <v>2832</v>
      </c>
      <c r="C8965" s="1" t="s">
        <v>1306</v>
      </c>
      <c r="D8965" s="1" t="s">
        <v>163</v>
      </c>
      <c r="E8965" s="1" t="s">
        <v>81</v>
      </c>
      <c r="F8965" s="2" t="s">
        <v>1112</v>
      </c>
      <c r="G8965" s="1">
        <v>89.97</v>
      </c>
      <c r="H8965" s="1">
        <v>3</v>
      </c>
      <c r="I8965" s="1">
        <v>18.893699999999999</v>
      </c>
    </row>
    <row r="8966" spans="1:9" x14ac:dyDescent="0.35">
      <c r="A8966" s="3">
        <v>42501</v>
      </c>
      <c r="B8966" s="1" t="s">
        <v>2832</v>
      </c>
      <c r="C8966" s="1" t="s">
        <v>1306</v>
      </c>
      <c r="D8966" s="1" t="s">
        <v>163</v>
      </c>
      <c r="E8966" s="1" t="s">
        <v>29</v>
      </c>
      <c r="F8966" s="2" t="s">
        <v>3046</v>
      </c>
      <c r="G8966" s="1">
        <v>756.8</v>
      </c>
      <c r="H8966" s="1">
        <v>5</v>
      </c>
      <c r="I8966" s="1">
        <v>75.680000000000007</v>
      </c>
    </row>
    <row r="8967" spans="1:9" x14ac:dyDescent="0.35">
      <c r="A8967" s="3">
        <v>42897</v>
      </c>
      <c r="B8967" s="1" t="s">
        <v>2396</v>
      </c>
      <c r="C8967" s="1" t="s">
        <v>93</v>
      </c>
      <c r="D8967" s="1" t="s">
        <v>52</v>
      </c>
      <c r="E8967" s="1" t="s">
        <v>35</v>
      </c>
      <c r="F8967" s="2" t="s">
        <v>1285</v>
      </c>
      <c r="G8967" s="1">
        <v>1.248</v>
      </c>
      <c r="H8967" s="1">
        <v>2</v>
      </c>
      <c r="I8967" s="1">
        <v>-1.9343999999999999</v>
      </c>
    </row>
    <row r="8968" spans="1:9" x14ac:dyDescent="0.35">
      <c r="A8968" s="3">
        <v>42440</v>
      </c>
      <c r="B8968" s="1" t="s">
        <v>2362</v>
      </c>
      <c r="C8968" s="1" t="s">
        <v>74</v>
      </c>
      <c r="D8968" s="1" t="s">
        <v>75</v>
      </c>
      <c r="E8968" s="1" t="s">
        <v>81</v>
      </c>
      <c r="F8968" s="2" t="s">
        <v>557</v>
      </c>
      <c r="G8968" s="1">
        <v>72</v>
      </c>
      <c r="H8968" s="1">
        <v>1</v>
      </c>
      <c r="I8968" s="1">
        <v>14.4</v>
      </c>
    </row>
    <row r="8969" spans="1:9" x14ac:dyDescent="0.35">
      <c r="A8969" s="3">
        <v>42440</v>
      </c>
      <c r="B8969" s="1" t="s">
        <v>2362</v>
      </c>
      <c r="C8969" s="1" t="s">
        <v>74</v>
      </c>
      <c r="D8969" s="1" t="s">
        <v>75</v>
      </c>
      <c r="E8969" s="1" t="s">
        <v>14</v>
      </c>
      <c r="F8969" s="2" t="s">
        <v>692</v>
      </c>
      <c r="G8969" s="1">
        <v>470.15499999999997</v>
      </c>
      <c r="H8969" s="1">
        <v>7</v>
      </c>
      <c r="I8969" s="1">
        <v>-13.433</v>
      </c>
    </row>
    <row r="8970" spans="1:9" x14ac:dyDescent="0.35">
      <c r="A8970" s="3" t="s">
        <v>3369</v>
      </c>
      <c r="B8970" s="1" t="s">
        <v>2705</v>
      </c>
      <c r="C8970" s="1" t="s">
        <v>170</v>
      </c>
      <c r="D8970" s="1" t="s">
        <v>171</v>
      </c>
      <c r="E8970" s="1" t="s">
        <v>26</v>
      </c>
      <c r="F8970" s="2" t="s">
        <v>1939</v>
      </c>
      <c r="G8970" s="1">
        <v>39.128</v>
      </c>
      <c r="H8970" s="1">
        <v>1</v>
      </c>
      <c r="I8970" s="1">
        <v>-8.8038000000000007</v>
      </c>
    </row>
    <row r="8971" spans="1:9" x14ac:dyDescent="0.35">
      <c r="A8971" s="3">
        <v>42778</v>
      </c>
      <c r="B8971" s="1" t="s">
        <v>110</v>
      </c>
      <c r="C8971" s="1" t="s">
        <v>536</v>
      </c>
      <c r="D8971" s="1" t="s">
        <v>250</v>
      </c>
      <c r="E8971" s="1" t="s">
        <v>31</v>
      </c>
      <c r="F8971" s="2" t="s">
        <v>812</v>
      </c>
      <c r="G8971" s="1">
        <v>19.728000000000002</v>
      </c>
      <c r="H8971" s="1">
        <v>9</v>
      </c>
      <c r="I8971" s="1">
        <v>1.7262</v>
      </c>
    </row>
    <row r="8972" spans="1:9" x14ac:dyDescent="0.35">
      <c r="A8972" s="3">
        <v>42778</v>
      </c>
      <c r="B8972" s="1" t="s">
        <v>110</v>
      </c>
      <c r="C8972" s="1" t="s">
        <v>536</v>
      </c>
      <c r="D8972" s="1" t="s">
        <v>250</v>
      </c>
      <c r="E8972" s="1" t="s">
        <v>33</v>
      </c>
      <c r="F8972" s="2" t="s">
        <v>2343</v>
      </c>
      <c r="G8972" s="1">
        <v>151.18799999999999</v>
      </c>
      <c r="H8972" s="1">
        <v>2</v>
      </c>
      <c r="I8972" s="1">
        <v>-25.198</v>
      </c>
    </row>
    <row r="8973" spans="1:9" x14ac:dyDescent="0.35">
      <c r="A8973" s="3" t="s">
        <v>3793</v>
      </c>
      <c r="B8973" s="1" t="s">
        <v>2139</v>
      </c>
      <c r="C8973" s="1" t="s">
        <v>135</v>
      </c>
      <c r="D8973" s="1" t="s">
        <v>136</v>
      </c>
      <c r="E8973" s="1" t="s">
        <v>14</v>
      </c>
      <c r="F8973" s="2" t="s">
        <v>1161</v>
      </c>
      <c r="G8973" s="1">
        <v>271.76400000000001</v>
      </c>
      <c r="H8973" s="1">
        <v>2</v>
      </c>
      <c r="I8973" s="1">
        <v>60.392000000000003</v>
      </c>
    </row>
    <row r="8974" spans="1:9" x14ac:dyDescent="0.35">
      <c r="A8974" s="3" t="s">
        <v>3643</v>
      </c>
      <c r="B8974" s="1" t="s">
        <v>329</v>
      </c>
      <c r="C8974" s="1" t="s">
        <v>74</v>
      </c>
      <c r="D8974" s="1" t="s">
        <v>75</v>
      </c>
      <c r="E8974" s="1" t="s">
        <v>81</v>
      </c>
      <c r="F8974" s="2" t="s">
        <v>1826</v>
      </c>
      <c r="G8974" s="1">
        <v>47.496000000000002</v>
      </c>
      <c r="H8974" s="1">
        <v>1</v>
      </c>
      <c r="I8974" s="1">
        <v>-1.1874</v>
      </c>
    </row>
    <row r="8975" spans="1:9" x14ac:dyDescent="0.35">
      <c r="A8975" s="3" t="s">
        <v>3605</v>
      </c>
      <c r="B8975" s="1" t="s">
        <v>845</v>
      </c>
      <c r="C8975" s="1" t="s">
        <v>17</v>
      </c>
      <c r="D8975" s="1" t="s">
        <v>18</v>
      </c>
      <c r="E8975" s="1" t="s">
        <v>12</v>
      </c>
      <c r="F8975" s="2" t="s">
        <v>516</v>
      </c>
      <c r="G8975" s="1">
        <v>344.98099999999999</v>
      </c>
      <c r="H8975" s="1">
        <v>7</v>
      </c>
      <c r="I8975" s="1">
        <v>28.4102</v>
      </c>
    </row>
    <row r="8976" spans="1:9" x14ac:dyDescent="0.35">
      <c r="A8976" s="3" t="s">
        <v>3172</v>
      </c>
      <c r="B8976" s="1" t="s">
        <v>2485</v>
      </c>
      <c r="C8976" s="1" t="s">
        <v>399</v>
      </c>
      <c r="D8976" s="1" t="s">
        <v>52</v>
      </c>
      <c r="E8976" s="1" t="s">
        <v>44</v>
      </c>
      <c r="F8976" s="2" t="s">
        <v>2132</v>
      </c>
      <c r="G8976" s="1">
        <v>36.287999999999997</v>
      </c>
      <c r="H8976" s="1">
        <v>7</v>
      </c>
      <c r="I8976" s="1">
        <v>12.700799999999999</v>
      </c>
    </row>
    <row r="8977" spans="1:9" x14ac:dyDescent="0.35">
      <c r="A8977" s="3" t="s">
        <v>3172</v>
      </c>
      <c r="B8977" s="1" t="s">
        <v>2485</v>
      </c>
      <c r="C8977" s="1" t="s">
        <v>399</v>
      </c>
      <c r="D8977" s="1" t="s">
        <v>52</v>
      </c>
      <c r="E8977" s="1" t="s">
        <v>44</v>
      </c>
      <c r="F8977" s="2" t="s">
        <v>2387</v>
      </c>
      <c r="G8977" s="1">
        <v>78.304000000000002</v>
      </c>
      <c r="H8977" s="1">
        <v>2</v>
      </c>
      <c r="I8977" s="1">
        <v>29.364000000000001</v>
      </c>
    </row>
    <row r="8978" spans="1:9" x14ac:dyDescent="0.35">
      <c r="A8978" s="3" t="s">
        <v>3172</v>
      </c>
      <c r="B8978" s="1" t="s">
        <v>2485</v>
      </c>
      <c r="C8978" s="1" t="s">
        <v>399</v>
      </c>
      <c r="D8978" s="1" t="s">
        <v>52</v>
      </c>
      <c r="E8978" s="1" t="s">
        <v>24</v>
      </c>
      <c r="F8978" s="2" t="s">
        <v>1618</v>
      </c>
      <c r="G8978" s="1">
        <v>127.785</v>
      </c>
      <c r="H8978" s="1">
        <v>1</v>
      </c>
      <c r="I8978" s="1">
        <v>-31.0335</v>
      </c>
    </row>
    <row r="8979" spans="1:9" x14ac:dyDescent="0.35">
      <c r="A8979" s="3" t="s">
        <v>3172</v>
      </c>
      <c r="B8979" s="1" t="s">
        <v>2485</v>
      </c>
      <c r="C8979" s="1" t="s">
        <v>399</v>
      </c>
      <c r="D8979" s="1" t="s">
        <v>52</v>
      </c>
      <c r="E8979" s="1" t="s">
        <v>35</v>
      </c>
      <c r="F8979" s="2" t="s">
        <v>1344</v>
      </c>
      <c r="G8979" s="1">
        <v>6.1040000000000001</v>
      </c>
      <c r="H8979" s="1">
        <v>2</v>
      </c>
      <c r="I8979" s="1">
        <v>-9.1560000000000006</v>
      </c>
    </row>
    <row r="8980" spans="1:9" x14ac:dyDescent="0.35">
      <c r="A8980" s="3">
        <v>41709</v>
      </c>
      <c r="B8980" s="1" t="s">
        <v>2392</v>
      </c>
      <c r="C8980" s="1" t="s">
        <v>2401</v>
      </c>
      <c r="D8980" s="1" t="s">
        <v>388</v>
      </c>
      <c r="E8980" s="1" t="s">
        <v>35</v>
      </c>
      <c r="F8980" s="2" t="s">
        <v>1083</v>
      </c>
      <c r="G8980" s="1">
        <v>5.76</v>
      </c>
      <c r="H8980" s="1">
        <v>2</v>
      </c>
      <c r="I8980" s="1">
        <v>2.8224</v>
      </c>
    </row>
    <row r="8981" spans="1:9" x14ac:dyDescent="0.35">
      <c r="A8981" s="3" t="s">
        <v>3481</v>
      </c>
      <c r="B8981" s="1" t="s">
        <v>2822</v>
      </c>
      <c r="C8981" s="1" t="s">
        <v>399</v>
      </c>
      <c r="D8981" s="1" t="s">
        <v>52</v>
      </c>
      <c r="E8981" s="1" t="s">
        <v>35</v>
      </c>
      <c r="F8981" s="2" t="s">
        <v>864</v>
      </c>
      <c r="G8981" s="1">
        <v>1.72</v>
      </c>
      <c r="H8981" s="1">
        <v>1</v>
      </c>
      <c r="I8981" s="1">
        <v>-2.8380000000000001</v>
      </c>
    </row>
    <row r="8982" spans="1:9" x14ac:dyDescent="0.35">
      <c r="A8982" s="3">
        <v>41792</v>
      </c>
      <c r="B8982" s="1" t="s">
        <v>463</v>
      </c>
      <c r="C8982" s="1" t="s">
        <v>3111</v>
      </c>
      <c r="D8982" s="1" t="s">
        <v>106</v>
      </c>
      <c r="E8982" s="1" t="s">
        <v>35</v>
      </c>
      <c r="F8982" s="2" t="s">
        <v>2327</v>
      </c>
      <c r="G8982" s="1">
        <v>8.952</v>
      </c>
      <c r="H8982" s="1">
        <v>2</v>
      </c>
      <c r="I8982" s="1">
        <v>-14.770799999999999</v>
      </c>
    </row>
    <row r="8983" spans="1:9" x14ac:dyDescent="0.35">
      <c r="A8983" s="3">
        <v>42524</v>
      </c>
      <c r="B8983" s="1" t="s">
        <v>227</v>
      </c>
      <c r="C8983" s="1" t="s">
        <v>154</v>
      </c>
      <c r="D8983" s="1" t="s">
        <v>106</v>
      </c>
      <c r="E8983" s="1" t="s">
        <v>37</v>
      </c>
      <c r="F8983" s="2" t="s">
        <v>1737</v>
      </c>
      <c r="G8983" s="1">
        <v>2.3340000000000001</v>
      </c>
      <c r="H8983" s="1">
        <v>3</v>
      </c>
      <c r="I8983" s="1">
        <v>-6.3018000000000001</v>
      </c>
    </row>
    <row r="8984" spans="1:9" x14ac:dyDescent="0.35">
      <c r="A8984" s="3">
        <v>42524</v>
      </c>
      <c r="B8984" s="1" t="s">
        <v>227</v>
      </c>
      <c r="C8984" s="1" t="s">
        <v>154</v>
      </c>
      <c r="D8984" s="1" t="s">
        <v>106</v>
      </c>
      <c r="E8984" s="1" t="s">
        <v>35</v>
      </c>
      <c r="F8984" s="2" t="s">
        <v>1470</v>
      </c>
      <c r="G8984" s="1">
        <v>1.728</v>
      </c>
      <c r="H8984" s="1">
        <v>4</v>
      </c>
      <c r="I8984" s="1">
        <v>-2.7648000000000001</v>
      </c>
    </row>
    <row r="8985" spans="1:9" x14ac:dyDescent="0.35">
      <c r="A8985" s="3">
        <v>42524</v>
      </c>
      <c r="B8985" s="1" t="s">
        <v>227</v>
      </c>
      <c r="C8985" s="1" t="s">
        <v>154</v>
      </c>
      <c r="D8985" s="1" t="s">
        <v>106</v>
      </c>
      <c r="E8985" s="1" t="s">
        <v>29</v>
      </c>
      <c r="F8985" s="2" t="s">
        <v>277</v>
      </c>
      <c r="G8985" s="1">
        <v>159.04</v>
      </c>
      <c r="H8985" s="1">
        <v>5</v>
      </c>
      <c r="I8985" s="1">
        <v>-194.82400000000001</v>
      </c>
    </row>
    <row r="8986" spans="1:9" x14ac:dyDescent="0.35">
      <c r="A8986" s="3">
        <v>42524</v>
      </c>
      <c r="B8986" s="1" t="s">
        <v>227</v>
      </c>
      <c r="C8986" s="1" t="s">
        <v>154</v>
      </c>
      <c r="D8986" s="1" t="s">
        <v>106</v>
      </c>
      <c r="E8986" s="1" t="s">
        <v>24</v>
      </c>
      <c r="F8986" s="2" t="s">
        <v>2221</v>
      </c>
      <c r="G8986" s="1">
        <v>145.97999999999999</v>
      </c>
      <c r="H8986" s="1">
        <v>2</v>
      </c>
      <c r="I8986" s="1">
        <v>-99.266400000000004</v>
      </c>
    </row>
    <row r="8987" spans="1:9" x14ac:dyDescent="0.35">
      <c r="A8987" s="3">
        <v>42075</v>
      </c>
      <c r="B8987" s="1" t="s">
        <v>650</v>
      </c>
      <c r="C8987" s="1" t="s">
        <v>719</v>
      </c>
      <c r="D8987" s="1" t="s">
        <v>43</v>
      </c>
      <c r="E8987" s="1" t="s">
        <v>29</v>
      </c>
      <c r="F8987" s="2" t="s">
        <v>1053</v>
      </c>
      <c r="G8987" s="1">
        <v>77.951999999999998</v>
      </c>
      <c r="H8987" s="1">
        <v>3</v>
      </c>
      <c r="I8987" s="1">
        <v>12.667199999999999</v>
      </c>
    </row>
    <row r="8988" spans="1:9" x14ac:dyDescent="0.35">
      <c r="A8988" s="3">
        <v>42075</v>
      </c>
      <c r="B8988" s="1" t="s">
        <v>650</v>
      </c>
      <c r="C8988" s="1" t="s">
        <v>719</v>
      </c>
      <c r="D8988" s="1" t="s">
        <v>43</v>
      </c>
      <c r="E8988" s="1" t="s">
        <v>35</v>
      </c>
      <c r="F8988" s="2" t="s">
        <v>2049</v>
      </c>
      <c r="G8988" s="1">
        <v>95.97</v>
      </c>
      <c r="H8988" s="1">
        <v>5</v>
      </c>
      <c r="I8988" s="1">
        <v>-73.576999999999998</v>
      </c>
    </row>
    <row r="8989" spans="1:9" x14ac:dyDescent="0.35">
      <c r="A8989" s="3">
        <v>42075</v>
      </c>
      <c r="B8989" s="1" t="s">
        <v>650</v>
      </c>
      <c r="C8989" s="1" t="s">
        <v>719</v>
      </c>
      <c r="D8989" s="1" t="s">
        <v>43</v>
      </c>
      <c r="E8989" s="1" t="s">
        <v>33</v>
      </c>
      <c r="F8989" s="2" t="s">
        <v>408</v>
      </c>
      <c r="G8989" s="1">
        <v>105.584</v>
      </c>
      <c r="H8989" s="1">
        <v>2</v>
      </c>
      <c r="I8989" s="1">
        <v>9.2385999999999999</v>
      </c>
    </row>
    <row r="8990" spans="1:9" x14ac:dyDescent="0.35">
      <c r="A8990" s="3">
        <v>42075</v>
      </c>
      <c r="B8990" s="1" t="s">
        <v>650</v>
      </c>
      <c r="C8990" s="1" t="s">
        <v>719</v>
      </c>
      <c r="D8990" s="1" t="s">
        <v>43</v>
      </c>
      <c r="E8990" s="1" t="s">
        <v>31</v>
      </c>
      <c r="F8990" s="2" t="s">
        <v>915</v>
      </c>
      <c r="G8990" s="1">
        <v>9.3439999999999994</v>
      </c>
      <c r="H8990" s="1">
        <v>2</v>
      </c>
      <c r="I8990" s="1">
        <v>1.1679999999999999</v>
      </c>
    </row>
    <row r="8991" spans="1:9" x14ac:dyDescent="0.35">
      <c r="A8991" s="3" t="s">
        <v>3223</v>
      </c>
      <c r="B8991" s="1" t="s">
        <v>1607</v>
      </c>
      <c r="C8991" s="1" t="s">
        <v>162</v>
      </c>
      <c r="D8991" s="1" t="s">
        <v>298</v>
      </c>
      <c r="E8991" s="1" t="s">
        <v>29</v>
      </c>
      <c r="F8991" s="2" t="s">
        <v>2618</v>
      </c>
      <c r="G8991" s="1">
        <v>9.68</v>
      </c>
      <c r="H8991" s="1">
        <v>2</v>
      </c>
      <c r="I8991" s="1">
        <v>3.7751999999999999</v>
      </c>
    </row>
    <row r="8992" spans="1:9" x14ac:dyDescent="0.35">
      <c r="A8992" s="3" t="s">
        <v>3223</v>
      </c>
      <c r="B8992" s="1" t="s">
        <v>1607</v>
      </c>
      <c r="C8992" s="1" t="s">
        <v>162</v>
      </c>
      <c r="D8992" s="1" t="s">
        <v>298</v>
      </c>
      <c r="E8992" s="1" t="s">
        <v>579</v>
      </c>
      <c r="F8992" s="2" t="s">
        <v>2146</v>
      </c>
      <c r="G8992" s="1">
        <v>4899.93</v>
      </c>
      <c r="H8992" s="1">
        <v>7</v>
      </c>
      <c r="I8992" s="1">
        <v>2302.9670999999998</v>
      </c>
    </row>
    <row r="8993" spans="1:9" x14ac:dyDescent="0.35">
      <c r="A8993" s="3">
        <v>42745</v>
      </c>
      <c r="B8993" s="1" t="s">
        <v>750</v>
      </c>
      <c r="C8993" s="1" t="s">
        <v>64</v>
      </c>
      <c r="D8993" s="1" t="s">
        <v>18</v>
      </c>
      <c r="E8993" s="1" t="s">
        <v>81</v>
      </c>
      <c r="F8993" s="2" t="s">
        <v>638</v>
      </c>
      <c r="G8993" s="1">
        <v>104.75</v>
      </c>
      <c r="H8993" s="1">
        <v>5</v>
      </c>
      <c r="I8993" s="1">
        <v>21.997499999999999</v>
      </c>
    </row>
    <row r="8994" spans="1:9" x14ac:dyDescent="0.35">
      <c r="A8994" s="3" t="s">
        <v>3638</v>
      </c>
      <c r="B8994" s="1" t="s">
        <v>3010</v>
      </c>
      <c r="C8994" s="1" t="s">
        <v>193</v>
      </c>
      <c r="D8994" s="1" t="s">
        <v>171</v>
      </c>
      <c r="E8994" s="1" t="s">
        <v>81</v>
      </c>
      <c r="F8994" s="2" t="s">
        <v>235</v>
      </c>
      <c r="G8994" s="1">
        <v>18.527999999999999</v>
      </c>
      <c r="H8994" s="1">
        <v>2</v>
      </c>
      <c r="I8994" s="1">
        <v>4.4004000000000003</v>
      </c>
    </row>
    <row r="8995" spans="1:9" x14ac:dyDescent="0.35">
      <c r="A8995" s="3" t="s">
        <v>3638</v>
      </c>
      <c r="B8995" s="1" t="s">
        <v>3010</v>
      </c>
      <c r="C8995" s="1" t="s">
        <v>193</v>
      </c>
      <c r="D8995" s="1" t="s">
        <v>171</v>
      </c>
      <c r="E8995" s="1" t="s">
        <v>24</v>
      </c>
      <c r="F8995" s="2" t="s">
        <v>2155</v>
      </c>
      <c r="G8995" s="1">
        <v>1875.258</v>
      </c>
      <c r="H8995" s="1">
        <v>7</v>
      </c>
      <c r="I8995" s="1">
        <v>-968.88329999999996</v>
      </c>
    </row>
    <row r="8996" spans="1:9" x14ac:dyDescent="0.35">
      <c r="A8996" s="3" t="s">
        <v>3366</v>
      </c>
      <c r="B8996" s="1" t="s">
        <v>1415</v>
      </c>
      <c r="C8996" s="1" t="s">
        <v>2709</v>
      </c>
      <c r="D8996" s="1" t="s">
        <v>23</v>
      </c>
      <c r="E8996" s="1" t="s">
        <v>44</v>
      </c>
      <c r="F8996" s="2" t="s">
        <v>3100</v>
      </c>
      <c r="G8996" s="1">
        <v>91.36</v>
      </c>
      <c r="H8996" s="1">
        <v>5</v>
      </c>
      <c r="I8996" s="1">
        <v>29.692</v>
      </c>
    </row>
    <row r="8997" spans="1:9" x14ac:dyDescent="0.35">
      <c r="A8997" s="3" t="s">
        <v>3366</v>
      </c>
      <c r="B8997" s="1" t="s">
        <v>1415</v>
      </c>
      <c r="C8997" s="1" t="s">
        <v>2709</v>
      </c>
      <c r="D8997" s="1" t="s">
        <v>23</v>
      </c>
      <c r="E8997" s="1" t="s">
        <v>37</v>
      </c>
      <c r="F8997" s="2" t="s">
        <v>917</v>
      </c>
      <c r="G8997" s="1">
        <v>152.24</v>
      </c>
      <c r="H8997" s="1">
        <v>5</v>
      </c>
      <c r="I8997" s="1">
        <v>17.126999999999999</v>
      </c>
    </row>
    <row r="8998" spans="1:9" x14ac:dyDescent="0.35">
      <c r="A8998" s="3">
        <v>43050</v>
      </c>
      <c r="B8998" s="1" t="s">
        <v>1155</v>
      </c>
      <c r="C8998" s="1" t="s">
        <v>399</v>
      </c>
      <c r="D8998" s="1" t="s">
        <v>52</v>
      </c>
      <c r="E8998" s="1" t="s">
        <v>33</v>
      </c>
      <c r="F8998" s="2" t="s">
        <v>1250</v>
      </c>
      <c r="G8998" s="1">
        <v>35.183999999999997</v>
      </c>
      <c r="H8998" s="1">
        <v>2</v>
      </c>
      <c r="I8998" s="1">
        <v>12.314399999999999</v>
      </c>
    </row>
    <row r="8999" spans="1:9" x14ac:dyDescent="0.35">
      <c r="A8999" s="3" t="s">
        <v>3811</v>
      </c>
      <c r="B8999" s="1" t="s">
        <v>2403</v>
      </c>
      <c r="C8999" s="1" t="s">
        <v>93</v>
      </c>
      <c r="D8999" s="1" t="s">
        <v>52</v>
      </c>
      <c r="E8999" s="1" t="s">
        <v>44</v>
      </c>
      <c r="F8999" s="2" t="s">
        <v>94</v>
      </c>
      <c r="G8999" s="1">
        <v>56.704000000000001</v>
      </c>
      <c r="H8999" s="1">
        <v>2</v>
      </c>
      <c r="I8999" s="1">
        <v>19.137599999999999</v>
      </c>
    </row>
    <row r="9000" spans="1:9" x14ac:dyDescent="0.35">
      <c r="A9000" s="3" t="s">
        <v>3811</v>
      </c>
      <c r="B9000" s="1" t="s">
        <v>2403</v>
      </c>
      <c r="C9000" s="1" t="s">
        <v>93</v>
      </c>
      <c r="D9000" s="1" t="s">
        <v>52</v>
      </c>
      <c r="E9000" s="1" t="s">
        <v>44</v>
      </c>
      <c r="F9000" s="2" t="s">
        <v>280</v>
      </c>
      <c r="G9000" s="1">
        <v>274.06400000000002</v>
      </c>
      <c r="H9000" s="1">
        <v>7</v>
      </c>
      <c r="I9000" s="1">
        <v>102.774</v>
      </c>
    </row>
    <row r="9001" spans="1:9" x14ac:dyDescent="0.35">
      <c r="A9001" s="3" t="s">
        <v>3208</v>
      </c>
      <c r="B9001" s="1" t="s">
        <v>1516</v>
      </c>
      <c r="C9001" s="1" t="s">
        <v>74</v>
      </c>
      <c r="D9001" s="1" t="s">
        <v>75</v>
      </c>
      <c r="E9001" s="1" t="s">
        <v>14</v>
      </c>
      <c r="F9001" s="2" t="s">
        <v>960</v>
      </c>
      <c r="G9001" s="1">
        <v>458.43</v>
      </c>
      <c r="H9001" s="1">
        <v>5</v>
      </c>
      <c r="I9001" s="1">
        <v>-124.431</v>
      </c>
    </row>
    <row r="9002" spans="1:9" x14ac:dyDescent="0.35">
      <c r="A9002" s="3" t="s">
        <v>3488</v>
      </c>
      <c r="B9002" s="1" t="s">
        <v>1805</v>
      </c>
      <c r="C9002" s="1" t="s">
        <v>272</v>
      </c>
      <c r="D9002" s="1" t="s">
        <v>158</v>
      </c>
      <c r="E9002" s="1" t="s">
        <v>35</v>
      </c>
      <c r="F9002" s="2" t="s">
        <v>2183</v>
      </c>
      <c r="G9002" s="1">
        <v>8.2260000000000009</v>
      </c>
      <c r="H9002" s="1">
        <v>3</v>
      </c>
      <c r="I9002" s="1">
        <v>-6.0324</v>
      </c>
    </row>
    <row r="9003" spans="1:9" x14ac:dyDescent="0.35">
      <c r="A9003" s="3">
        <v>41682</v>
      </c>
      <c r="B9003" s="1" t="s">
        <v>2160</v>
      </c>
      <c r="C9003" s="1" t="s">
        <v>2765</v>
      </c>
      <c r="D9003" s="1" t="s">
        <v>604</v>
      </c>
      <c r="E9003" s="1" t="s">
        <v>81</v>
      </c>
      <c r="F9003" s="2" t="s">
        <v>2707</v>
      </c>
      <c r="G9003" s="1">
        <v>5.95</v>
      </c>
      <c r="H9003" s="1">
        <v>1</v>
      </c>
      <c r="I9003" s="1">
        <v>0.83299999999999996</v>
      </c>
    </row>
    <row r="9004" spans="1:9" x14ac:dyDescent="0.35">
      <c r="A9004" s="3">
        <v>41682</v>
      </c>
      <c r="B9004" s="1" t="s">
        <v>2160</v>
      </c>
      <c r="C9004" s="1" t="s">
        <v>2765</v>
      </c>
      <c r="D9004" s="1" t="s">
        <v>604</v>
      </c>
      <c r="E9004" s="1" t="s">
        <v>44</v>
      </c>
      <c r="F9004" s="2" t="s">
        <v>1258</v>
      </c>
      <c r="G9004" s="1">
        <v>15.24</v>
      </c>
      <c r="H9004" s="1">
        <v>3</v>
      </c>
      <c r="I9004" s="1">
        <v>7.1627999999999998</v>
      </c>
    </row>
    <row r="9005" spans="1:9" x14ac:dyDescent="0.35">
      <c r="A9005" s="3">
        <v>42128</v>
      </c>
      <c r="B9005" s="1" t="s">
        <v>892</v>
      </c>
      <c r="C9005" s="1" t="s">
        <v>1944</v>
      </c>
      <c r="D9005" s="1" t="s">
        <v>48</v>
      </c>
      <c r="E9005" s="1" t="s">
        <v>81</v>
      </c>
      <c r="F9005" s="2" t="s">
        <v>223</v>
      </c>
      <c r="G9005" s="1">
        <v>239.94</v>
      </c>
      <c r="H9005" s="1">
        <v>6</v>
      </c>
      <c r="I9005" s="1">
        <v>26.3934</v>
      </c>
    </row>
    <row r="9006" spans="1:9" x14ac:dyDescent="0.35">
      <c r="A9006" s="3">
        <v>42128</v>
      </c>
      <c r="B9006" s="1" t="s">
        <v>892</v>
      </c>
      <c r="C9006" s="1" t="s">
        <v>1944</v>
      </c>
      <c r="D9006" s="1" t="s">
        <v>48</v>
      </c>
      <c r="E9006" s="1" t="s">
        <v>31</v>
      </c>
      <c r="F9006" s="2" t="s">
        <v>2830</v>
      </c>
      <c r="G9006" s="1">
        <v>23.84</v>
      </c>
      <c r="H9006" s="1">
        <v>8</v>
      </c>
      <c r="I9006" s="1">
        <v>6.4367999999999999</v>
      </c>
    </row>
    <row r="9007" spans="1:9" x14ac:dyDescent="0.35">
      <c r="A9007" s="3" t="s">
        <v>3303</v>
      </c>
      <c r="B9007" s="1" t="s">
        <v>930</v>
      </c>
      <c r="C9007" s="1" t="s">
        <v>1147</v>
      </c>
      <c r="D9007" s="1" t="s">
        <v>57</v>
      </c>
      <c r="E9007" s="1" t="s">
        <v>26</v>
      </c>
      <c r="F9007" s="2" t="s">
        <v>766</v>
      </c>
      <c r="G9007" s="1">
        <v>92.52</v>
      </c>
      <c r="H9007" s="1">
        <v>6</v>
      </c>
      <c r="I9007" s="1">
        <v>24.980399999999999</v>
      </c>
    </row>
    <row r="9008" spans="1:9" x14ac:dyDescent="0.35">
      <c r="A9008" s="3" t="s">
        <v>3303</v>
      </c>
      <c r="B9008" s="1" t="s">
        <v>930</v>
      </c>
      <c r="C9008" s="1" t="s">
        <v>1147</v>
      </c>
      <c r="D9008" s="1" t="s">
        <v>57</v>
      </c>
      <c r="E9008" s="1" t="s">
        <v>26</v>
      </c>
      <c r="F9008" s="2" t="s">
        <v>263</v>
      </c>
      <c r="G9008" s="1">
        <v>37.76</v>
      </c>
      <c r="H9008" s="1">
        <v>1</v>
      </c>
      <c r="I9008" s="1">
        <v>10.572800000000001</v>
      </c>
    </row>
    <row r="9009" spans="1:9" x14ac:dyDescent="0.35">
      <c r="A9009" s="3" t="s">
        <v>3303</v>
      </c>
      <c r="B9009" s="1" t="s">
        <v>930</v>
      </c>
      <c r="C9009" s="1" t="s">
        <v>1147</v>
      </c>
      <c r="D9009" s="1" t="s">
        <v>57</v>
      </c>
      <c r="E9009" s="1" t="s">
        <v>19</v>
      </c>
      <c r="F9009" s="2" t="s">
        <v>2741</v>
      </c>
      <c r="G9009" s="1">
        <v>7.38</v>
      </c>
      <c r="H9009" s="1">
        <v>2</v>
      </c>
      <c r="I9009" s="1">
        <v>3.4685999999999999</v>
      </c>
    </row>
    <row r="9010" spans="1:9" x14ac:dyDescent="0.35">
      <c r="A9010" s="3" t="s">
        <v>3303</v>
      </c>
      <c r="B9010" s="1" t="s">
        <v>930</v>
      </c>
      <c r="C9010" s="1" t="s">
        <v>1147</v>
      </c>
      <c r="D9010" s="1" t="s">
        <v>57</v>
      </c>
      <c r="E9010" s="1" t="s">
        <v>29</v>
      </c>
      <c r="F9010" s="2" t="s">
        <v>732</v>
      </c>
      <c r="G9010" s="1">
        <v>5.82</v>
      </c>
      <c r="H9010" s="1">
        <v>2</v>
      </c>
      <c r="I9010" s="1">
        <v>2.7353999999999998</v>
      </c>
    </row>
    <row r="9011" spans="1:9" x14ac:dyDescent="0.35">
      <c r="A9011" s="3">
        <v>43076</v>
      </c>
      <c r="B9011" s="1" t="s">
        <v>2822</v>
      </c>
      <c r="C9011" s="1" t="s">
        <v>367</v>
      </c>
      <c r="D9011" s="1" t="s">
        <v>250</v>
      </c>
      <c r="E9011" s="1" t="s">
        <v>44</v>
      </c>
      <c r="F9011" s="2" t="s">
        <v>2402</v>
      </c>
      <c r="G9011" s="1">
        <v>3.8159999999999998</v>
      </c>
      <c r="H9011" s="1">
        <v>1</v>
      </c>
      <c r="I9011" s="1">
        <v>1.1924999999999999</v>
      </c>
    </row>
    <row r="9012" spans="1:9" x14ac:dyDescent="0.35">
      <c r="A9012" s="3" t="s">
        <v>3279</v>
      </c>
      <c r="B9012" s="1" t="s">
        <v>1914</v>
      </c>
      <c r="C9012" s="1" t="s">
        <v>785</v>
      </c>
      <c r="D9012" s="1" t="s">
        <v>182</v>
      </c>
      <c r="E9012" s="1" t="s">
        <v>35</v>
      </c>
      <c r="F9012" s="2" t="s">
        <v>2500</v>
      </c>
      <c r="G9012" s="1">
        <v>26.16</v>
      </c>
      <c r="H9012" s="1">
        <v>4</v>
      </c>
      <c r="I9012" s="1">
        <v>12.8184</v>
      </c>
    </row>
    <row r="9013" spans="1:9" x14ac:dyDescent="0.35">
      <c r="A9013" s="3" t="s">
        <v>3538</v>
      </c>
      <c r="B9013" s="1" t="s">
        <v>1859</v>
      </c>
      <c r="C9013" s="1" t="s">
        <v>93</v>
      </c>
      <c r="D9013" s="1" t="s">
        <v>52</v>
      </c>
      <c r="E9013" s="1" t="s">
        <v>81</v>
      </c>
      <c r="F9013" s="2" t="s">
        <v>1254</v>
      </c>
      <c r="G9013" s="1">
        <v>100.8</v>
      </c>
      <c r="H9013" s="1">
        <v>2</v>
      </c>
      <c r="I9013" s="1">
        <v>21.42</v>
      </c>
    </row>
    <row r="9014" spans="1:9" x14ac:dyDescent="0.35">
      <c r="A9014" s="3" t="s">
        <v>3313</v>
      </c>
      <c r="B9014" s="1" t="s">
        <v>436</v>
      </c>
      <c r="C9014" s="1" t="s">
        <v>135</v>
      </c>
      <c r="D9014" s="1" t="s">
        <v>136</v>
      </c>
      <c r="E9014" s="1" t="s">
        <v>29</v>
      </c>
      <c r="F9014" s="2" t="s">
        <v>528</v>
      </c>
      <c r="G9014" s="1">
        <v>135.80000000000001</v>
      </c>
      <c r="H9014" s="1">
        <v>7</v>
      </c>
      <c r="I9014" s="1">
        <v>66.542000000000002</v>
      </c>
    </row>
    <row r="9015" spans="1:9" x14ac:dyDescent="0.35">
      <c r="A9015" s="3" t="s">
        <v>3436</v>
      </c>
      <c r="B9015" s="1" t="s">
        <v>2955</v>
      </c>
      <c r="C9015" s="1" t="s">
        <v>17</v>
      </c>
      <c r="D9015" s="1" t="s">
        <v>18</v>
      </c>
      <c r="E9015" s="1" t="s">
        <v>31</v>
      </c>
      <c r="F9015" s="2" t="s">
        <v>1782</v>
      </c>
      <c r="G9015" s="1">
        <v>13.9</v>
      </c>
      <c r="H9015" s="1">
        <v>5</v>
      </c>
      <c r="I9015" s="1">
        <v>3.7530000000000001</v>
      </c>
    </row>
    <row r="9016" spans="1:9" x14ac:dyDescent="0.35">
      <c r="A9016" s="3" t="s">
        <v>3436</v>
      </c>
      <c r="B9016" s="1" t="s">
        <v>2955</v>
      </c>
      <c r="C9016" s="1" t="s">
        <v>17</v>
      </c>
      <c r="D9016" s="1" t="s">
        <v>18</v>
      </c>
      <c r="E9016" s="1" t="s">
        <v>87</v>
      </c>
      <c r="F9016" s="2" t="s">
        <v>1331</v>
      </c>
      <c r="G9016" s="1">
        <v>19.399999999999999</v>
      </c>
      <c r="H9016" s="1">
        <v>5</v>
      </c>
      <c r="I9016" s="1">
        <v>9.3119999999999994</v>
      </c>
    </row>
    <row r="9017" spans="1:9" x14ac:dyDescent="0.35">
      <c r="A9017" s="3" t="s">
        <v>3447</v>
      </c>
      <c r="B9017" s="1" t="s">
        <v>1351</v>
      </c>
      <c r="C9017" s="1" t="s">
        <v>330</v>
      </c>
      <c r="D9017" s="1" t="s">
        <v>331</v>
      </c>
      <c r="E9017" s="1" t="s">
        <v>35</v>
      </c>
      <c r="F9017" s="2" t="s">
        <v>1175</v>
      </c>
      <c r="G9017" s="1">
        <v>13.488</v>
      </c>
      <c r="H9017" s="1">
        <v>2</v>
      </c>
      <c r="I9017" s="1">
        <v>4.3836000000000004</v>
      </c>
    </row>
    <row r="9018" spans="1:9" x14ac:dyDescent="0.35">
      <c r="A9018" s="3" t="s">
        <v>3447</v>
      </c>
      <c r="B9018" s="1" t="s">
        <v>1351</v>
      </c>
      <c r="C9018" s="1" t="s">
        <v>330</v>
      </c>
      <c r="D9018" s="1" t="s">
        <v>331</v>
      </c>
      <c r="E9018" s="1" t="s">
        <v>35</v>
      </c>
      <c r="F9018" s="2" t="s">
        <v>2313</v>
      </c>
      <c r="G9018" s="1">
        <v>11.416</v>
      </c>
      <c r="H9018" s="1">
        <v>1</v>
      </c>
      <c r="I9018" s="1">
        <v>3.8529</v>
      </c>
    </row>
    <row r="9019" spans="1:9" x14ac:dyDescent="0.35">
      <c r="A9019" s="3" t="s">
        <v>3344</v>
      </c>
      <c r="B9019" s="1" t="s">
        <v>2139</v>
      </c>
      <c r="C9019" s="1" t="s">
        <v>2934</v>
      </c>
      <c r="D9019" s="1" t="s">
        <v>2459</v>
      </c>
      <c r="E9019" s="1" t="s">
        <v>44</v>
      </c>
      <c r="F9019" s="2" t="s">
        <v>1706</v>
      </c>
      <c r="G9019" s="1">
        <v>17.64</v>
      </c>
      <c r="H9019" s="1">
        <v>3</v>
      </c>
      <c r="I9019" s="1">
        <v>8.6435999999999993</v>
      </c>
    </row>
    <row r="9020" spans="1:9" x14ac:dyDescent="0.35">
      <c r="A9020" s="3" t="s">
        <v>3344</v>
      </c>
      <c r="B9020" s="1" t="s">
        <v>2139</v>
      </c>
      <c r="C9020" s="1" t="s">
        <v>2934</v>
      </c>
      <c r="D9020" s="1" t="s">
        <v>2459</v>
      </c>
      <c r="E9020" s="1" t="s">
        <v>35</v>
      </c>
      <c r="F9020" s="2" t="s">
        <v>67</v>
      </c>
      <c r="G9020" s="1">
        <v>17.04</v>
      </c>
      <c r="H9020" s="1">
        <v>3</v>
      </c>
      <c r="I9020" s="1">
        <v>5.5380000000000003</v>
      </c>
    </row>
    <row r="9021" spans="1:9" x14ac:dyDescent="0.35">
      <c r="A9021" s="3" t="s">
        <v>3210</v>
      </c>
      <c r="B9021" s="1" t="s">
        <v>403</v>
      </c>
      <c r="C9021" s="1" t="s">
        <v>162</v>
      </c>
      <c r="D9021" s="1" t="s">
        <v>163</v>
      </c>
      <c r="E9021" s="1" t="s">
        <v>81</v>
      </c>
      <c r="F9021" s="2" t="s">
        <v>1612</v>
      </c>
      <c r="G9021" s="1">
        <v>99.98</v>
      </c>
      <c r="H9021" s="1">
        <v>2</v>
      </c>
      <c r="I9021" s="1">
        <v>7.9984000000000002</v>
      </c>
    </row>
    <row r="9022" spans="1:9" x14ac:dyDescent="0.35">
      <c r="A9022" s="3" t="s">
        <v>3210</v>
      </c>
      <c r="B9022" s="1" t="s">
        <v>403</v>
      </c>
      <c r="C9022" s="1" t="s">
        <v>162</v>
      </c>
      <c r="D9022" s="1" t="s">
        <v>163</v>
      </c>
      <c r="E9022" s="1" t="s">
        <v>29</v>
      </c>
      <c r="F9022" s="2" t="s">
        <v>1477</v>
      </c>
      <c r="G9022" s="1">
        <v>29.46</v>
      </c>
      <c r="H9022" s="1">
        <v>6</v>
      </c>
      <c r="I9022" s="1">
        <v>9.7218</v>
      </c>
    </row>
    <row r="9023" spans="1:9" x14ac:dyDescent="0.35">
      <c r="A9023" s="3" t="s">
        <v>3702</v>
      </c>
      <c r="B9023" s="1" t="s">
        <v>3010</v>
      </c>
      <c r="C9023" s="1" t="s">
        <v>1256</v>
      </c>
      <c r="D9023" s="1" t="s">
        <v>250</v>
      </c>
      <c r="E9023" s="1" t="s">
        <v>35</v>
      </c>
      <c r="F9023" s="2" t="s">
        <v>1932</v>
      </c>
      <c r="G9023" s="1">
        <v>166.92</v>
      </c>
      <c r="H9023" s="1">
        <v>13</v>
      </c>
      <c r="I9023" s="1">
        <v>-116.84399999999999</v>
      </c>
    </row>
    <row r="9024" spans="1:9" x14ac:dyDescent="0.35">
      <c r="A9024" s="3" t="s">
        <v>3503</v>
      </c>
      <c r="B9024" s="1" t="s">
        <v>2457</v>
      </c>
      <c r="C9024" s="1" t="s">
        <v>2167</v>
      </c>
      <c r="D9024" s="1" t="s">
        <v>229</v>
      </c>
      <c r="E9024" s="1" t="s">
        <v>29</v>
      </c>
      <c r="F9024" s="2" t="s">
        <v>918</v>
      </c>
      <c r="G9024" s="1">
        <v>98.328000000000003</v>
      </c>
      <c r="H9024" s="1">
        <v>3</v>
      </c>
      <c r="I9024" s="1">
        <v>9.8328000000000007</v>
      </c>
    </row>
    <row r="9025" spans="1:9" x14ac:dyDescent="0.35">
      <c r="A9025" s="3" t="s">
        <v>3591</v>
      </c>
      <c r="B9025" s="1" t="s">
        <v>1755</v>
      </c>
      <c r="C9025" s="1" t="s">
        <v>135</v>
      </c>
      <c r="D9025" s="1" t="s">
        <v>136</v>
      </c>
      <c r="E9025" s="1" t="s">
        <v>14</v>
      </c>
      <c r="F9025" s="2" t="s">
        <v>960</v>
      </c>
      <c r="G9025" s="1">
        <v>117.88200000000001</v>
      </c>
      <c r="H9025" s="1">
        <v>1</v>
      </c>
      <c r="I9025" s="1">
        <v>1.3098000000000001</v>
      </c>
    </row>
    <row r="9026" spans="1:9" x14ac:dyDescent="0.35">
      <c r="A9026" s="3" t="s">
        <v>3479</v>
      </c>
      <c r="B9026" s="1" t="s">
        <v>3010</v>
      </c>
      <c r="C9026" s="1" t="s">
        <v>135</v>
      </c>
      <c r="D9026" s="1" t="s">
        <v>136</v>
      </c>
      <c r="E9026" s="1" t="s">
        <v>81</v>
      </c>
      <c r="F9026" s="2" t="s">
        <v>2819</v>
      </c>
      <c r="G9026" s="1">
        <v>20.97</v>
      </c>
      <c r="H9026" s="1">
        <v>3</v>
      </c>
      <c r="I9026" s="1">
        <v>9.0170999999999992</v>
      </c>
    </row>
    <row r="9027" spans="1:9" x14ac:dyDescent="0.35">
      <c r="A9027" s="3" t="s">
        <v>3479</v>
      </c>
      <c r="B9027" s="1" t="s">
        <v>3010</v>
      </c>
      <c r="C9027" s="1" t="s">
        <v>135</v>
      </c>
      <c r="D9027" s="1" t="s">
        <v>136</v>
      </c>
      <c r="E9027" s="1" t="s">
        <v>81</v>
      </c>
      <c r="F9027" s="2" t="s">
        <v>2465</v>
      </c>
      <c r="G9027" s="1">
        <v>139.96</v>
      </c>
      <c r="H9027" s="1">
        <v>4</v>
      </c>
      <c r="I9027" s="1">
        <v>9.7972000000000001</v>
      </c>
    </row>
    <row r="9028" spans="1:9" x14ac:dyDescent="0.35">
      <c r="A9028" s="3" t="s">
        <v>3479</v>
      </c>
      <c r="B9028" s="1" t="s">
        <v>3010</v>
      </c>
      <c r="C9028" s="1" t="s">
        <v>135</v>
      </c>
      <c r="D9028" s="1" t="s">
        <v>136</v>
      </c>
      <c r="E9028" s="1" t="s">
        <v>29</v>
      </c>
      <c r="F9028" s="2" t="s">
        <v>1645</v>
      </c>
      <c r="G9028" s="1">
        <v>37.74</v>
      </c>
      <c r="H9028" s="1">
        <v>3</v>
      </c>
      <c r="I9028" s="1">
        <v>12.8316</v>
      </c>
    </row>
    <row r="9029" spans="1:9" x14ac:dyDescent="0.35">
      <c r="A9029" s="3" t="s">
        <v>3168</v>
      </c>
      <c r="B9029" s="1" t="s">
        <v>118</v>
      </c>
      <c r="C9029" s="1" t="s">
        <v>3112</v>
      </c>
      <c r="D9029" s="1" t="s">
        <v>592</v>
      </c>
      <c r="E9029" s="1" t="s">
        <v>29</v>
      </c>
      <c r="F9029" s="2" t="s">
        <v>1105</v>
      </c>
      <c r="G9029" s="1">
        <v>14.82</v>
      </c>
      <c r="H9029" s="1">
        <v>3</v>
      </c>
      <c r="I9029" s="1">
        <v>6.2244000000000002</v>
      </c>
    </row>
    <row r="9030" spans="1:9" x14ac:dyDescent="0.35">
      <c r="A9030" s="3" t="s">
        <v>3168</v>
      </c>
      <c r="B9030" s="1" t="s">
        <v>118</v>
      </c>
      <c r="C9030" s="1" t="s">
        <v>3112</v>
      </c>
      <c r="D9030" s="1" t="s">
        <v>592</v>
      </c>
      <c r="E9030" s="1" t="s">
        <v>29</v>
      </c>
      <c r="F9030" s="2" t="s">
        <v>801</v>
      </c>
      <c r="G9030" s="1">
        <v>191.82</v>
      </c>
      <c r="H9030" s="1">
        <v>3</v>
      </c>
      <c r="I9030" s="1">
        <v>61.382399999999997</v>
      </c>
    </row>
    <row r="9031" spans="1:9" x14ac:dyDescent="0.35">
      <c r="A9031" s="3" t="s">
        <v>3829</v>
      </c>
      <c r="B9031" s="1" t="s">
        <v>2503</v>
      </c>
      <c r="C9031" s="1" t="s">
        <v>710</v>
      </c>
      <c r="D9031" s="1" t="s">
        <v>136</v>
      </c>
      <c r="E9031" s="1" t="s">
        <v>35</v>
      </c>
      <c r="F9031" s="2" t="s">
        <v>943</v>
      </c>
      <c r="G9031" s="1">
        <v>13.904</v>
      </c>
      <c r="H9031" s="1">
        <v>2</v>
      </c>
      <c r="I9031" s="1">
        <v>4.5187999999999997</v>
      </c>
    </row>
    <row r="9032" spans="1:9" x14ac:dyDescent="0.35">
      <c r="A9032" s="3">
        <v>42744</v>
      </c>
      <c r="B9032" s="1" t="s">
        <v>1648</v>
      </c>
      <c r="C9032" s="1" t="s">
        <v>47</v>
      </c>
      <c r="D9032" s="1" t="s">
        <v>48</v>
      </c>
      <c r="E9032" s="1" t="s">
        <v>37</v>
      </c>
      <c r="F9032" s="2" t="s">
        <v>1922</v>
      </c>
      <c r="G9032" s="1">
        <v>314.60000000000002</v>
      </c>
      <c r="H9032" s="1">
        <v>4</v>
      </c>
      <c r="I9032" s="1">
        <v>103.818</v>
      </c>
    </row>
    <row r="9033" spans="1:9" x14ac:dyDescent="0.35">
      <c r="A9033" s="3">
        <v>42744</v>
      </c>
      <c r="B9033" s="1" t="s">
        <v>1648</v>
      </c>
      <c r="C9033" s="1" t="s">
        <v>47</v>
      </c>
      <c r="D9033" s="1" t="s">
        <v>48</v>
      </c>
      <c r="E9033" s="1" t="s">
        <v>24</v>
      </c>
      <c r="F9033" s="2" t="s">
        <v>451</v>
      </c>
      <c r="G9033" s="1">
        <v>283.56</v>
      </c>
      <c r="H9033" s="1">
        <v>4</v>
      </c>
      <c r="I9033" s="1">
        <v>45.369599999999998</v>
      </c>
    </row>
    <row r="9034" spans="1:9" x14ac:dyDescent="0.35">
      <c r="A9034" s="3" t="s">
        <v>3249</v>
      </c>
      <c r="B9034" s="1" t="s">
        <v>221</v>
      </c>
      <c r="C9034" s="1" t="s">
        <v>429</v>
      </c>
      <c r="D9034" s="1" t="s">
        <v>120</v>
      </c>
      <c r="E9034" s="1" t="s">
        <v>14</v>
      </c>
      <c r="F9034" s="2" t="s">
        <v>15</v>
      </c>
      <c r="G9034" s="1">
        <v>487.96</v>
      </c>
      <c r="H9034" s="1">
        <v>2</v>
      </c>
      <c r="I9034" s="1">
        <v>146.38800000000001</v>
      </c>
    </row>
    <row r="9035" spans="1:9" x14ac:dyDescent="0.35">
      <c r="A9035" s="3">
        <v>41679</v>
      </c>
      <c r="B9035" s="1" t="s">
        <v>744</v>
      </c>
      <c r="C9035" s="1" t="s">
        <v>796</v>
      </c>
      <c r="D9035" s="1" t="s">
        <v>797</v>
      </c>
      <c r="E9035" s="1" t="s">
        <v>35</v>
      </c>
      <c r="F9035" s="2" t="s">
        <v>1956</v>
      </c>
      <c r="G9035" s="1">
        <v>1793.98</v>
      </c>
      <c r="H9035" s="1">
        <v>2</v>
      </c>
      <c r="I9035" s="1">
        <v>843.17060000000004</v>
      </c>
    </row>
    <row r="9036" spans="1:9" x14ac:dyDescent="0.35">
      <c r="A9036" s="3">
        <v>42014</v>
      </c>
      <c r="B9036" s="1" t="s">
        <v>327</v>
      </c>
      <c r="C9036" s="1" t="s">
        <v>626</v>
      </c>
      <c r="D9036" s="1" t="s">
        <v>106</v>
      </c>
      <c r="E9036" s="1" t="s">
        <v>35</v>
      </c>
      <c r="F9036" s="2" t="s">
        <v>2303</v>
      </c>
      <c r="G9036" s="1">
        <v>2.992</v>
      </c>
      <c r="H9036" s="1">
        <v>4</v>
      </c>
      <c r="I9036" s="1">
        <v>-4.4880000000000004</v>
      </c>
    </row>
    <row r="9037" spans="1:9" x14ac:dyDescent="0.35">
      <c r="A9037" s="3">
        <v>42014</v>
      </c>
      <c r="B9037" s="1" t="s">
        <v>327</v>
      </c>
      <c r="C9037" s="1" t="s">
        <v>626</v>
      </c>
      <c r="D9037" s="1" t="s">
        <v>106</v>
      </c>
      <c r="E9037" s="1" t="s">
        <v>81</v>
      </c>
      <c r="F9037" s="2" t="s">
        <v>328</v>
      </c>
      <c r="G9037" s="1">
        <v>108.768</v>
      </c>
      <c r="H9037" s="1">
        <v>4</v>
      </c>
      <c r="I9037" s="1">
        <v>2.7191999999999998</v>
      </c>
    </row>
    <row r="9038" spans="1:9" x14ac:dyDescent="0.35">
      <c r="A9038" s="3">
        <v>42189</v>
      </c>
      <c r="B9038" s="1" t="s">
        <v>993</v>
      </c>
      <c r="C9038" s="1" t="s">
        <v>135</v>
      </c>
      <c r="D9038" s="1" t="s">
        <v>136</v>
      </c>
      <c r="E9038" s="1" t="s">
        <v>44</v>
      </c>
      <c r="F9038" s="2" t="s">
        <v>1695</v>
      </c>
      <c r="G9038" s="1">
        <v>25.92</v>
      </c>
      <c r="H9038" s="1">
        <v>4</v>
      </c>
      <c r="I9038" s="1">
        <v>12.441599999999999</v>
      </c>
    </row>
    <row r="9039" spans="1:9" x14ac:dyDescent="0.35">
      <c r="A9039" s="3">
        <v>42189</v>
      </c>
      <c r="B9039" s="1" t="s">
        <v>993</v>
      </c>
      <c r="C9039" s="1" t="s">
        <v>135</v>
      </c>
      <c r="D9039" s="1" t="s">
        <v>136</v>
      </c>
      <c r="E9039" s="1" t="s">
        <v>26</v>
      </c>
      <c r="F9039" s="2" t="s">
        <v>1697</v>
      </c>
      <c r="G9039" s="1">
        <v>22.58</v>
      </c>
      <c r="H9039" s="1">
        <v>2</v>
      </c>
      <c r="I9039" s="1">
        <v>5.8708</v>
      </c>
    </row>
    <row r="9040" spans="1:9" x14ac:dyDescent="0.35">
      <c r="A9040" s="3" t="s">
        <v>3486</v>
      </c>
      <c r="B9040" s="1" t="s">
        <v>1841</v>
      </c>
      <c r="C9040" s="1" t="s">
        <v>93</v>
      </c>
      <c r="D9040" s="1" t="s">
        <v>52</v>
      </c>
      <c r="E9040" s="1" t="s">
        <v>33</v>
      </c>
      <c r="F9040" s="2" t="s">
        <v>832</v>
      </c>
      <c r="G9040" s="1">
        <v>55.176000000000002</v>
      </c>
      <c r="H9040" s="1">
        <v>3</v>
      </c>
      <c r="I9040" s="1">
        <v>-12.4146</v>
      </c>
    </row>
    <row r="9041" spans="1:9" x14ac:dyDescent="0.35">
      <c r="A9041" s="3" t="s">
        <v>3447</v>
      </c>
      <c r="B9041" s="1" t="s">
        <v>1641</v>
      </c>
      <c r="C9041" s="1" t="s">
        <v>429</v>
      </c>
      <c r="D9041" s="1" t="s">
        <v>120</v>
      </c>
      <c r="E9041" s="1" t="s">
        <v>35</v>
      </c>
      <c r="F9041" s="2" t="s">
        <v>1202</v>
      </c>
      <c r="G9041" s="1">
        <v>9892.74</v>
      </c>
      <c r="H9041" s="1">
        <v>13</v>
      </c>
      <c r="I9041" s="1">
        <v>4946.37</v>
      </c>
    </row>
    <row r="9042" spans="1:9" x14ac:dyDescent="0.35">
      <c r="A9042" s="3" t="s">
        <v>3505</v>
      </c>
      <c r="B9042" s="1" t="s">
        <v>1914</v>
      </c>
      <c r="C9042" s="1" t="s">
        <v>2870</v>
      </c>
      <c r="D9042" s="1" t="s">
        <v>158</v>
      </c>
      <c r="E9042" s="1" t="s">
        <v>24</v>
      </c>
      <c r="F9042" s="2" t="s">
        <v>1862</v>
      </c>
      <c r="G9042" s="1">
        <v>73.915000000000006</v>
      </c>
      <c r="H9042" s="1">
        <v>1</v>
      </c>
      <c r="I9042" s="1">
        <v>-45.827300000000001</v>
      </c>
    </row>
    <row r="9043" spans="1:9" x14ac:dyDescent="0.35">
      <c r="A9043" s="3" t="s">
        <v>3830</v>
      </c>
      <c r="B9043" s="1" t="s">
        <v>774</v>
      </c>
      <c r="C9043" s="1" t="s">
        <v>2709</v>
      </c>
      <c r="D9043" s="1" t="s">
        <v>23</v>
      </c>
      <c r="E9043" s="1" t="s">
        <v>29</v>
      </c>
      <c r="F9043" s="2" t="s">
        <v>3033</v>
      </c>
      <c r="G9043" s="1">
        <v>337.08800000000002</v>
      </c>
      <c r="H9043" s="1">
        <v>4</v>
      </c>
      <c r="I9043" s="1">
        <v>16.854399999999998</v>
      </c>
    </row>
    <row r="9044" spans="1:9" x14ac:dyDescent="0.35">
      <c r="A9044" s="3" t="s">
        <v>3682</v>
      </c>
      <c r="B9044" s="1" t="s">
        <v>625</v>
      </c>
      <c r="C9044" s="1" t="s">
        <v>17</v>
      </c>
      <c r="D9044" s="1" t="s">
        <v>18</v>
      </c>
      <c r="E9044" s="1" t="s">
        <v>37</v>
      </c>
      <c r="F9044" s="2" t="s">
        <v>1001</v>
      </c>
      <c r="G9044" s="1">
        <v>61.44</v>
      </c>
      <c r="H9044" s="1">
        <v>3</v>
      </c>
      <c r="I9044" s="1">
        <v>16.588799999999999</v>
      </c>
    </row>
    <row r="9045" spans="1:9" x14ac:dyDescent="0.35">
      <c r="A9045" s="3">
        <v>42562</v>
      </c>
      <c r="B9045" s="1" t="s">
        <v>1787</v>
      </c>
      <c r="C9045" s="1" t="s">
        <v>64</v>
      </c>
      <c r="D9045" s="1" t="s">
        <v>18</v>
      </c>
      <c r="E9045" s="1" t="s">
        <v>81</v>
      </c>
      <c r="F9045" s="2" t="s">
        <v>622</v>
      </c>
      <c r="G9045" s="1">
        <v>479.97</v>
      </c>
      <c r="H9045" s="1">
        <v>3</v>
      </c>
      <c r="I9045" s="1">
        <v>163.18979999999999</v>
      </c>
    </row>
    <row r="9046" spans="1:9" x14ac:dyDescent="0.35">
      <c r="A9046" s="3" t="s">
        <v>3309</v>
      </c>
      <c r="B9046" s="1" t="s">
        <v>1324</v>
      </c>
      <c r="C9046" s="1" t="s">
        <v>2062</v>
      </c>
      <c r="D9046" s="1" t="s">
        <v>18</v>
      </c>
      <c r="E9046" s="1" t="s">
        <v>35</v>
      </c>
      <c r="F9046" s="2" t="s">
        <v>2303</v>
      </c>
      <c r="G9046" s="1">
        <v>5.984</v>
      </c>
      <c r="H9046" s="1">
        <v>2</v>
      </c>
      <c r="I9046" s="1">
        <v>2.2440000000000002</v>
      </c>
    </row>
    <row r="9047" spans="1:9" x14ac:dyDescent="0.35">
      <c r="A9047" s="3" t="s">
        <v>3309</v>
      </c>
      <c r="B9047" s="1" t="s">
        <v>1324</v>
      </c>
      <c r="C9047" s="1" t="s">
        <v>2062</v>
      </c>
      <c r="D9047" s="1" t="s">
        <v>18</v>
      </c>
      <c r="E9047" s="1" t="s">
        <v>81</v>
      </c>
      <c r="F9047" s="2" t="s">
        <v>2164</v>
      </c>
      <c r="G9047" s="1">
        <v>189.95</v>
      </c>
      <c r="H9047" s="1">
        <v>5</v>
      </c>
      <c r="I9047" s="1">
        <v>45.588000000000001</v>
      </c>
    </row>
    <row r="9048" spans="1:9" x14ac:dyDescent="0.35">
      <c r="A9048" s="3" t="s">
        <v>3309</v>
      </c>
      <c r="B9048" s="1" t="s">
        <v>1324</v>
      </c>
      <c r="C9048" s="1" t="s">
        <v>2062</v>
      </c>
      <c r="D9048" s="1" t="s">
        <v>18</v>
      </c>
      <c r="E9048" s="1" t="s">
        <v>81</v>
      </c>
      <c r="F9048" s="2" t="s">
        <v>1112</v>
      </c>
      <c r="G9048" s="1">
        <v>149.94999999999999</v>
      </c>
      <c r="H9048" s="1">
        <v>5</v>
      </c>
      <c r="I9048" s="1">
        <v>31.4895</v>
      </c>
    </row>
    <row r="9049" spans="1:9" x14ac:dyDescent="0.35">
      <c r="A9049" s="3" t="s">
        <v>3309</v>
      </c>
      <c r="B9049" s="1" t="s">
        <v>1324</v>
      </c>
      <c r="C9049" s="1" t="s">
        <v>2062</v>
      </c>
      <c r="D9049" s="1" t="s">
        <v>18</v>
      </c>
      <c r="E9049" s="1" t="s">
        <v>31</v>
      </c>
      <c r="F9049" s="2" t="s">
        <v>1302</v>
      </c>
      <c r="G9049" s="1">
        <v>29.95</v>
      </c>
      <c r="H9049" s="1">
        <v>5</v>
      </c>
      <c r="I9049" s="1">
        <v>8.6854999999999993</v>
      </c>
    </row>
    <row r="9050" spans="1:9" x14ac:dyDescent="0.35">
      <c r="A9050" s="3" t="s">
        <v>3309</v>
      </c>
      <c r="B9050" s="1" t="s">
        <v>1324</v>
      </c>
      <c r="C9050" s="1" t="s">
        <v>2062</v>
      </c>
      <c r="D9050" s="1" t="s">
        <v>18</v>
      </c>
      <c r="E9050" s="1" t="s">
        <v>19</v>
      </c>
      <c r="F9050" s="2" t="s">
        <v>2938</v>
      </c>
      <c r="G9050" s="1">
        <v>44.4</v>
      </c>
      <c r="H9050" s="1">
        <v>3</v>
      </c>
      <c r="I9050" s="1">
        <v>22.2</v>
      </c>
    </row>
    <row r="9051" spans="1:9" x14ac:dyDescent="0.35">
      <c r="A9051" s="3" t="s">
        <v>3258</v>
      </c>
      <c r="B9051" s="1" t="s">
        <v>1303</v>
      </c>
      <c r="C9051" s="1" t="s">
        <v>135</v>
      </c>
      <c r="D9051" s="1" t="s">
        <v>136</v>
      </c>
      <c r="E9051" s="1" t="s">
        <v>31</v>
      </c>
      <c r="F9051" s="2" t="s">
        <v>1164</v>
      </c>
      <c r="G9051" s="1">
        <v>66.03</v>
      </c>
      <c r="H9051" s="1">
        <v>3</v>
      </c>
      <c r="I9051" s="1">
        <v>17.1678</v>
      </c>
    </row>
    <row r="9052" spans="1:9" x14ac:dyDescent="0.35">
      <c r="A9052" s="3" t="s">
        <v>3831</v>
      </c>
      <c r="B9052" s="1" t="s">
        <v>1197</v>
      </c>
      <c r="C9052" s="1" t="s">
        <v>17</v>
      </c>
      <c r="D9052" s="1" t="s">
        <v>18</v>
      </c>
      <c r="E9052" s="1" t="s">
        <v>44</v>
      </c>
      <c r="F9052" s="2" t="s">
        <v>679</v>
      </c>
      <c r="G9052" s="1">
        <v>10.86</v>
      </c>
      <c r="H9052" s="1">
        <v>2</v>
      </c>
      <c r="I9052" s="1">
        <v>5.3213999999999997</v>
      </c>
    </row>
    <row r="9053" spans="1:9" x14ac:dyDescent="0.35">
      <c r="A9053" s="3" t="s">
        <v>3523</v>
      </c>
      <c r="B9053" s="1" t="s">
        <v>1652</v>
      </c>
      <c r="C9053" s="1" t="s">
        <v>64</v>
      </c>
      <c r="D9053" s="1" t="s">
        <v>18</v>
      </c>
      <c r="E9053" s="1" t="s">
        <v>31</v>
      </c>
      <c r="F9053" s="2" t="s">
        <v>2056</v>
      </c>
      <c r="G9053" s="1">
        <v>3.36</v>
      </c>
      <c r="H9053" s="1">
        <v>2</v>
      </c>
      <c r="I9053" s="1">
        <v>0.84</v>
      </c>
    </row>
    <row r="9054" spans="1:9" x14ac:dyDescent="0.35">
      <c r="A9054" s="3" t="s">
        <v>3523</v>
      </c>
      <c r="B9054" s="1" t="s">
        <v>1652</v>
      </c>
      <c r="C9054" s="1" t="s">
        <v>64</v>
      </c>
      <c r="D9054" s="1" t="s">
        <v>18</v>
      </c>
      <c r="E9054" s="1" t="s">
        <v>35</v>
      </c>
      <c r="F9054" s="2" t="s">
        <v>117</v>
      </c>
      <c r="G9054" s="1">
        <v>27.936</v>
      </c>
      <c r="H9054" s="1">
        <v>4</v>
      </c>
      <c r="I9054" s="1">
        <v>9.4283999999999999</v>
      </c>
    </row>
    <row r="9055" spans="1:9" x14ac:dyDescent="0.35">
      <c r="A9055" s="3" t="s">
        <v>3523</v>
      </c>
      <c r="B9055" s="1" t="s">
        <v>1652</v>
      </c>
      <c r="C9055" s="1" t="s">
        <v>64</v>
      </c>
      <c r="D9055" s="1" t="s">
        <v>18</v>
      </c>
      <c r="E9055" s="1" t="s">
        <v>33</v>
      </c>
      <c r="F9055" s="2" t="s">
        <v>2948</v>
      </c>
      <c r="G9055" s="1">
        <v>28.783999999999999</v>
      </c>
      <c r="H9055" s="1">
        <v>2</v>
      </c>
      <c r="I9055" s="1">
        <v>2.8784000000000001</v>
      </c>
    </row>
    <row r="9056" spans="1:9" x14ac:dyDescent="0.35">
      <c r="A9056" s="3" t="s">
        <v>3351</v>
      </c>
      <c r="B9056" s="1" t="s">
        <v>1188</v>
      </c>
      <c r="C9056" s="1" t="s">
        <v>1144</v>
      </c>
      <c r="D9056" s="1" t="s">
        <v>18</v>
      </c>
      <c r="E9056" s="1" t="s">
        <v>289</v>
      </c>
      <c r="F9056" s="2" t="s">
        <v>290</v>
      </c>
      <c r="G9056" s="1">
        <v>21.96</v>
      </c>
      <c r="H9056" s="1">
        <v>2</v>
      </c>
      <c r="I9056" s="1">
        <v>6.1487999999999996</v>
      </c>
    </row>
    <row r="9057" spans="1:9" x14ac:dyDescent="0.35">
      <c r="A9057" s="3">
        <v>42347</v>
      </c>
      <c r="B9057" s="1" t="s">
        <v>469</v>
      </c>
      <c r="C9057" s="1" t="s">
        <v>47</v>
      </c>
      <c r="D9057" s="1" t="s">
        <v>48</v>
      </c>
      <c r="E9057" s="1" t="s">
        <v>81</v>
      </c>
      <c r="F9057" s="2" t="s">
        <v>1536</v>
      </c>
      <c r="G9057" s="1">
        <v>21.98</v>
      </c>
      <c r="H9057" s="1">
        <v>2</v>
      </c>
      <c r="I9057" s="1">
        <v>8.5722000000000005</v>
      </c>
    </row>
    <row r="9058" spans="1:9" x14ac:dyDescent="0.35">
      <c r="A9058" s="3">
        <v>42046</v>
      </c>
      <c r="B9058" s="1" t="s">
        <v>1859</v>
      </c>
      <c r="C9058" s="1" t="s">
        <v>135</v>
      </c>
      <c r="D9058" s="1" t="s">
        <v>136</v>
      </c>
      <c r="E9058" s="1" t="s">
        <v>14</v>
      </c>
      <c r="F9058" s="2" t="s">
        <v>3027</v>
      </c>
      <c r="G9058" s="1">
        <v>2621.3220000000001</v>
      </c>
      <c r="H9058" s="1">
        <v>11</v>
      </c>
      <c r="I9058" s="1">
        <v>553.39020000000005</v>
      </c>
    </row>
    <row r="9059" spans="1:9" x14ac:dyDescent="0.35">
      <c r="A9059" s="3" t="s">
        <v>3809</v>
      </c>
      <c r="B9059" s="1" t="s">
        <v>2326</v>
      </c>
      <c r="C9059" s="1" t="s">
        <v>17</v>
      </c>
      <c r="D9059" s="1" t="s">
        <v>18</v>
      </c>
      <c r="E9059" s="1" t="s">
        <v>29</v>
      </c>
      <c r="F9059" s="2" t="s">
        <v>2797</v>
      </c>
      <c r="G9059" s="1">
        <v>74.760000000000005</v>
      </c>
      <c r="H9059" s="1">
        <v>7</v>
      </c>
      <c r="I9059" s="1">
        <v>23.923200000000001</v>
      </c>
    </row>
    <row r="9060" spans="1:9" x14ac:dyDescent="0.35">
      <c r="A9060" s="3" t="s">
        <v>3809</v>
      </c>
      <c r="B9060" s="1" t="s">
        <v>2326</v>
      </c>
      <c r="C9060" s="1" t="s">
        <v>17</v>
      </c>
      <c r="D9060" s="1" t="s">
        <v>18</v>
      </c>
      <c r="E9060" s="1" t="s">
        <v>24</v>
      </c>
      <c r="F9060" s="2" t="s">
        <v>2916</v>
      </c>
      <c r="G9060" s="1">
        <v>364.77600000000001</v>
      </c>
      <c r="H9060" s="1">
        <v>3</v>
      </c>
      <c r="I9060" s="1">
        <v>27.3582</v>
      </c>
    </row>
    <row r="9061" spans="1:9" x14ac:dyDescent="0.35">
      <c r="A9061" s="3" t="s">
        <v>3650</v>
      </c>
      <c r="B9061" s="1" t="s">
        <v>979</v>
      </c>
      <c r="C9061" s="1" t="s">
        <v>47</v>
      </c>
      <c r="D9061" s="1" t="s">
        <v>48</v>
      </c>
      <c r="E9061" s="1" t="s">
        <v>24</v>
      </c>
      <c r="F9061" s="2" t="s">
        <v>1511</v>
      </c>
      <c r="G9061" s="1">
        <v>1115.17</v>
      </c>
      <c r="H9061" s="1">
        <v>7</v>
      </c>
      <c r="I9061" s="1">
        <v>334.55099999999999</v>
      </c>
    </row>
    <row r="9062" spans="1:9" x14ac:dyDescent="0.35">
      <c r="A9062" s="3" t="s">
        <v>3495</v>
      </c>
      <c r="B9062" s="1" t="s">
        <v>1092</v>
      </c>
      <c r="C9062" s="1" t="s">
        <v>461</v>
      </c>
      <c r="D9062" s="1" t="s">
        <v>18</v>
      </c>
      <c r="E9062" s="1" t="s">
        <v>35</v>
      </c>
      <c r="F9062" s="2" t="s">
        <v>1530</v>
      </c>
      <c r="G9062" s="1">
        <v>89.695999999999998</v>
      </c>
      <c r="H9062" s="1">
        <v>4</v>
      </c>
      <c r="I9062" s="1">
        <v>33.636000000000003</v>
      </c>
    </row>
    <row r="9063" spans="1:9" x14ac:dyDescent="0.35">
      <c r="A9063" s="3" t="s">
        <v>3495</v>
      </c>
      <c r="B9063" s="1" t="s">
        <v>1092</v>
      </c>
      <c r="C9063" s="1" t="s">
        <v>461</v>
      </c>
      <c r="D9063" s="1" t="s">
        <v>18</v>
      </c>
      <c r="E9063" s="1" t="s">
        <v>19</v>
      </c>
      <c r="F9063" s="2" t="s">
        <v>131</v>
      </c>
      <c r="G9063" s="1">
        <v>50.12</v>
      </c>
      <c r="H9063" s="1">
        <v>4</v>
      </c>
      <c r="I9063" s="1">
        <v>23.5564</v>
      </c>
    </row>
    <row r="9064" spans="1:9" x14ac:dyDescent="0.35">
      <c r="A9064" s="3" t="s">
        <v>3832</v>
      </c>
      <c r="B9064" s="1" t="s">
        <v>2322</v>
      </c>
      <c r="C9064" s="1" t="s">
        <v>135</v>
      </c>
      <c r="D9064" s="1" t="s">
        <v>136</v>
      </c>
      <c r="E9064" s="1" t="s">
        <v>137</v>
      </c>
      <c r="F9064" s="2" t="s">
        <v>281</v>
      </c>
      <c r="G9064" s="1">
        <v>36.479999999999997</v>
      </c>
      <c r="H9064" s="1">
        <v>6</v>
      </c>
      <c r="I9064" s="1">
        <v>18.239999999999998</v>
      </c>
    </row>
    <row r="9065" spans="1:9" x14ac:dyDescent="0.35">
      <c r="A9065" s="3" t="s">
        <v>3598</v>
      </c>
      <c r="B9065" s="1" t="s">
        <v>857</v>
      </c>
      <c r="C9065" s="1" t="s">
        <v>154</v>
      </c>
      <c r="D9065" s="1" t="s">
        <v>106</v>
      </c>
      <c r="E9065" s="1" t="s">
        <v>44</v>
      </c>
      <c r="F9065" s="2" t="s">
        <v>2192</v>
      </c>
      <c r="G9065" s="1">
        <v>322.19200000000001</v>
      </c>
      <c r="H9065" s="1">
        <v>13</v>
      </c>
      <c r="I9065" s="1">
        <v>100.685</v>
      </c>
    </row>
    <row r="9066" spans="1:9" x14ac:dyDescent="0.35">
      <c r="A9066" s="3" t="s">
        <v>3598</v>
      </c>
      <c r="B9066" s="1" t="s">
        <v>857</v>
      </c>
      <c r="C9066" s="1" t="s">
        <v>154</v>
      </c>
      <c r="D9066" s="1" t="s">
        <v>106</v>
      </c>
      <c r="E9066" s="1" t="s">
        <v>35</v>
      </c>
      <c r="F9066" s="2" t="s">
        <v>390</v>
      </c>
      <c r="G9066" s="1">
        <v>2.9460000000000002</v>
      </c>
      <c r="H9066" s="1">
        <v>3</v>
      </c>
      <c r="I9066" s="1">
        <v>-4.8609</v>
      </c>
    </row>
    <row r="9067" spans="1:9" x14ac:dyDescent="0.35">
      <c r="A9067" s="3" t="s">
        <v>3598</v>
      </c>
      <c r="B9067" s="1" t="s">
        <v>857</v>
      </c>
      <c r="C9067" s="1" t="s">
        <v>154</v>
      </c>
      <c r="D9067" s="1" t="s">
        <v>106</v>
      </c>
      <c r="E9067" s="1" t="s">
        <v>44</v>
      </c>
      <c r="F9067" s="2" t="s">
        <v>2201</v>
      </c>
      <c r="G9067" s="1">
        <v>19.135999999999999</v>
      </c>
      <c r="H9067" s="1">
        <v>4</v>
      </c>
      <c r="I9067" s="1">
        <v>6.9367999999999999</v>
      </c>
    </row>
    <row r="9068" spans="1:9" x14ac:dyDescent="0.35">
      <c r="A9068" s="3" t="s">
        <v>3757</v>
      </c>
      <c r="B9068" s="1" t="s">
        <v>1110</v>
      </c>
      <c r="C9068" s="1" t="s">
        <v>1442</v>
      </c>
      <c r="D9068" s="1" t="s">
        <v>163</v>
      </c>
      <c r="E9068" s="1" t="s">
        <v>81</v>
      </c>
      <c r="F9068" s="2" t="s">
        <v>2621</v>
      </c>
      <c r="G9068" s="1">
        <v>23.08</v>
      </c>
      <c r="H9068" s="1">
        <v>2</v>
      </c>
      <c r="I9068" s="1">
        <v>6.9240000000000004</v>
      </c>
    </row>
    <row r="9069" spans="1:9" x14ac:dyDescent="0.35">
      <c r="A9069" s="3">
        <v>42462</v>
      </c>
      <c r="B9069" s="1" t="s">
        <v>1225</v>
      </c>
      <c r="C9069" s="1" t="s">
        <v>1463</v>
      </c>
      <c r="D9069" s="1" t="s">
        <v>1217</v>
      </c>
      <c r="E9069" s="1" t="s">
        <v>33</v>
      </c>
      <c r="F9069" s="2" t="s">
        <v>2334</v>
      </c>
      <c r="G9069" s="1">
        <v>90.48</v>
      </c>
      <c r="H9069" s="1">
        <v>2</v>
      </c>
      <c r="I9069" s="1">
        <v>23.524799999999999</v>
      </c>
    </row>
    <row r="9070" spans="1:9" x14ac:dyDescent="0.35">
      <c r="A9070" s="3">
        <v>42409</v>
      </c>
      <c r="B9070" s="1" t="s">
        <v>335</v>
      </c>
      <c r="C9070" s="1" t="s">
        <v>651</v>
      </c>
      <c r="D9070" s="1" t="s">
        <v>48</v>
      </c>
      <c r="E9070" s="1" t="s">
        <v>14</v>
      </c>
      <c r="F9070" s="2" t="s">
        <v>133</v>
      </c>
      <c r="G9070" s="1">
        <v>215.976</v>
      </c>
      <c r="H9070" s="1">
        <v>3</v>
      </c>
      <c r="I9070" s="1">
        <v>-2.6997</v>
      </c>
    </row>
    <row r="9071" spans="1:9" x14ac:dyDescent="0.35">
      <c r="A9071" s="3">
        <v>42409</v>
      </c>
      <c r="B9071" s="1" t="s">
        <v>335</v>
      </c>
      <c r="C9071" s="1" t="s">
        <v>651</v>
      </c>
      <c r="D9071" s="1" t="s">
        <v>48</v>
      </c>
      <c r="E9071" s="1" t="s">
        <v>87</v>
      </c>
      <c r="F9071" s="2" t="s">
        <v>2771</v>
      </c>
      <c r="G9071" s="1">
        <v>65.94</v>
      </c>
      <c r="H9071" s="1">
        <v>3</v>
      </c>
      <c r="I9071" s="1">
        <v>30.991800000000001</v>
      </c>
    </row>
    <row r="9072" spans="1:9" x14ac:dyDescent="0.35">
      <c r="A9072" s="3">
        <v>42837</v>
      </c>
      <c r="B9072" s="1" t="s">
        <v>2648</v>
      </c>
      <c r="C9072" s="1" t="s">
        <v>74</v>
      </c>
      <c r="D9072" s="1" t="s">
        <v>75</v>
      </c>
      <c r="E9072" s="1" t="s">
        <v>29</v>
      </c>
      <c r="F9072" s="2" t="s">
        <v>543</v>
      </c>
      <c r="G9072" s="1">
        <v>11.352</v>
      </c>
      <c r="H9072" s="1">
        <v>3</v>
      </c>
      <c r="I9072" s="1">
        <v>2.6960999999999999</v>
      </c>
    </row>
    <row r="9073" spans="1:9" x14ac:dyDescent="0.35">
      <c r="A9073" s="3">
        <v>42344</v>
      </c>
      <c r="B9073" s="1" t="s">
        <v>1613</v>
      </c>
      <c r="C9073" s="1" t="s">
        <v>249</v>
      </c>
      <c r="D9073" s="1" t="s">
        <v>129</v>
      </c>
      <c r="E9073" s="1" t="s">
        <v>26</v>
      </c>
      <c r="F9073" s="2" t="s">
        <v>1019</v>
      </c>
      <c r="G9073" s="1">
        <v>24.56</v>
      </c>
      <c r="H9073" s="1">
        <v>2</v>
      </c>
      <c r="I9073" s="1">
        <v>6.8768000000000002</v>
      </c>
    </row>
    <row r="9074" spans="1:9" x14ac:dyDescent="0.35">
      <c r="A9074" s="3">
        <v>42469</v>
      </c>
      <c r="B9074" s="1" t="s">
        <v>1679</v>
      </c>
      <c r="C9074" s="1" t="s">
        <v>162</v>
      </c>
      <c r="D9074" s="1" t="s">
        <v>298</v>
      </c>
      <c r="E9074" s="1" t="s">
        <v>87</v>
      </c>
      <c r="F9074" s="2" t="s">
        <v>332</v>
      </c>
      <c r="G9074" s="1">
        <v>16.559999999999999</v>
      </c>
      <c r="H9074" s="1">
        <v>2</v>
      </c>
      <c r="I9074" s="1">
        <v>7.7831999999999999</v>
      </c>
    </row>
    <row r="9075" spans="1:9" x14ac:dyDescent="0.35">
      <c r="A9075" s="3">
        <v>42469</v>
      </c>
      <c r="B9075" s="1" t="s">
        <v>1679</v>
      </c>
      <c r="C9075" s="1" t="s">
        <v>162</v>
      </c>
      <c r="D9075" s="1" t="s">
        <v>298</v>
      </c>
      <c r="E9075" s="1" t="s">
        <v>81</v>
      </c>
      <c r="F9075" s="2" t="s">
        <v>418</v>
      </c>
      <c r="G9075" s="1">
        <v>279.95</v>
      </c>
      <c r="H9075" s="1">
        <v>5</v>
      </c>
      <c r="I9075" s="1">
        <v>67.188000000000002</v>
      </c>
    </row>
    <row r="9076" spans="1:9" x14ac:dyDescent="0.35">
      <c r="A9076" s="3" t="s">
        <v>3833</v>
      </c>
      <c r="B9076" s="1" t="s">
        <v>2110</v>
      </c>
      <c r="C9076" s="1" t="s">
        <v>10</v>
      </c>
      <c r="D9076" s="1" t="s">
        <v>11</v>
      </c>
      <c r="E9076" s="1" t="s">
        <v>26</v>
      </c>
      <c r="F9076" s="2" t="s">
        <v>1585</v>
      </c>
      <c r="G9076" s="1">
        <v>828.84</v>
      </c>
      <c r="H9076" s="1">
        <v>6</v>
      </c>
      <c r="I9076" s="1">
        <v>0</v>
      </c>
    </row>
    <row r="9077" spans="1:9" x14ac:dyDescent="0.35">
      <c r="A9077" s="3">
        <v>42135</v>
      </c>
      <c r="B9077" s="1" t="s">
        <v>2001</v>
      </c>
      <c r="C9077" s="1" t="s">
        <v>536</v>
      </c>
      <c r="D9077" s="1" t="s">
        <v>250</v>
      </c>
      <c r="E9077" s="1" t="s">
        <v>35</v>
      </c>
      <c r="F9077" s="2" t="s">
        <v>720</v>
      </c>
      <c r="G9077" s="1">
        <v>7.218</v>
      </c>
      <c r="H9077" s="1">
        <v>3</v>
      </c>
      <c r="I9077" s="1">
        <v>-5.5338000000000003</v>
      </c>
    </row>
    <row r="9078" spans="1:9" x14ac:dyDescent="0.35">
      <c r="A9078" s="3">
        <v>42135</v>
      </c>
      <c r="B9078" s="1" t="s">
        <v>2001</v>
      </c>
      <c r="C9078" s="1" t="s">
        <v>536</v>
      </c>
      <c r="D9078" s="1" t="s">
        <v>250</v>
      </c>
      <c r="E9078" s="1" t="s">
        <v>289</v>
      </c>
      <c r="F9078" s="2" t="s">
        <v>2958</v>
      </c>
      <c r="G9078" s="1">
        <v>27.2</v>
      </c>
      <c r="H9078" s="1">
        <v>4</v>
      </c>
      <c r="I9078" s="1">
        <v>2.04</v>
      </c>
    </row>
    <row r="9079" spans="1:9" x14ac:dyDescent="0.35">
      <c r="A9079" s="3">
        <v>41709</v>
      </c>
      <c r="B9079" s="1" t="s">
        <v>313</v>
      </c>
      <c r="C9079" s="1" t="s">
        <v>1138</v>
      </c>
      <c r="D9079" s="1" t="s">
        <v>70</v>
      </c>
      <c r="E9079" s="1" t="s">
        <v>81</v>
      </c>
      <c r="F9079" s="2" t="s">
        <v>1764</v>
      </c>
      <c r="G9079" s="1">
        <v>89.97</v>
      </c>
      <c r="H9079" s="1">
        <v>3</v>
      </c>
      <c r="I9079" s="1">
        <v>18.893699999999999</v>
      </c>
    </row>
    <row r="9080" spans="1:9" x14ac:dyDescent="0.35">
      <c r="A9080" s="3" t="s">
        <v>3812</v>
      </c>
      <c r="B9080" s="1" t="s">
        <v>1927</v>
      </c>
      <c r="C9080" s="1" t="s">
        <v>10</v>
      </c>
      <c r="D9080" s="1" t="s">
        <v>11</v>
      </c>
      <c r="E9080" s="1" t="s">
        <v>29</v>
      </c>
      <c r="F9080" s="2" t="s">
        <v>277</v>
      </c>
      <c r="G9080" s="1">
        <v>318.08</v>
      </c>
      <c r="H9080" s="1">
        <v>4</v>
      </c>
      <c r="I9080" s="1">
        <v>34.988799999999998</v>
      </c>
    </row>
    <row r="9081" spans="1:9" x14ac:dyDescent="0.35">
      <c r="A9081" s="3" t="s">
        <v>3812</v>
      </c>
      <c r="B9081" s="1" t="s">
        <v>1927</v>
      </c>
      <c r="C9081" s="1" t="s">
        <v>10</v>
      </c>
      <c r="D9081" s="1" t="s">
        <v>11</v>
      </c>
      <c r="E9081" s="1" t="s">
        <v>35</v>
      </c>
      <c r="F9081" s="2" t="s">
        <v>613</v>
      </c>
      <c r="G9081" s="1">
        <v>5.8</v>
      </c>
      <c r="H9081" s="1">
        <v>1</v>
      </c>
      <c r="I9081" s="1">
        <v>2.61</v>
      </c>
    </row>
    <row r="9082" spans="1:9" x14ac:dyDescent="0.35">
      <c r="A9082" s="3">
        <v>43048</v>
      </c>
      <c r="B9082" s="1" t="s">
        <v>712</v>
      </c>
      <c r="C9082" s="1" t="s">
        <v>1144</v>
      </c>
      <c r="D9082" s="1" t="s">
        <v>18</v>
      </c>
      <c r="E9082" s="1" t="s">
        <v>33</v>
      </c>
      <c r="F9082" s="2" t="s">
        <v>1665</v>
      </c>
      <c r="G9082" s="1">
        <v>143.952</v>
      </c>
      <c r="H9082" s="1">
        <v>6</v>
      </c>
      <c r="I9082" s="1">
        <v>17.994</v>
      </c>
    </row>
    <row r="9083" spans="1:9" x14ac:dyDescent="0.35">
      <c r="A9083" s="3">
        <v>43048</v>
      </c>
      <c r="B9083" s="1" t="s">
        <v>712</v>
      </c>
      <c r="C9083" s="1" t="s">
        <v>1144</v>
      </c>
      <c r="D9083" s="1" t="s">
        <v>18</v>
      </c>
      <c r="E9083" s="1" t="s">
        <v>44</v>
      </c>
      <c r="F9083" s="2" t="s">
        <v>1695</v>
      </c>
      <c r="G9083" s="1">
        <v>19.440000000000001</v>
      </c>
      <c r="H9083" s="1">
        <v>3</v>
      </c>
      <c r="I9083" s="1">
        <v>9.3312000000000008</v>
      </c>
    </row>
    <row r="9084" spans="1:9" x14ac:dyDescent="0.35">
      <c r="A9084" s="3">
        <v>42777</v>
      </c>
      <c r="B9084" s="1" t="s">
        <v>2927</v>
      </c>
      <c r="C9084" s="1" t="s">
        <v>162</v>
      </c>
      <c r="D9084" s="1" t="s">
        <v>163</v>
      </c>
      <c r="E9084" s="1" t="s">
        <v>31</v>
      </c>
      <c r="F9084" s="2" t="s">
        <v>71</v>
      </c>
      <c r="G9084" s="1">
        <v>5.56</v>
      </c>
      <c r="H9084" s="1">
        <v>2</v>
      </c>
      <c r="I9084" s="1">
        <v>1.4456</v>
      </c>
    </row>
    <row r="9085" spans="1:9" x14ac:dyDescent="0.35">
      <c r="A9085" s="3">
        <v>42157</v>
      </c>
      <c r="B9085" s="1" t="s">
        <v>2260</v>
      </c>
      <c r="C9085" s="1" t="s">
        <v>1832</v>
      </c>
      <c r="D9085" s="1" t="s">
        <v>163</v>
      </c>
      <c r="E9085" s="1" t="s">
        <v>26</v>
      </c>
      <c r="F9085" s="2" t="s">
        <v>1939</v>
      </c>
      <c r="G9085" s="1">
        <v>146.72999999999999</v>
      </c>
      <c r="H9085" s="1">
        <v>3</v>
      </c>
      <c r="I9085" s="1">
        <v>2.9346000000000001</v>
      </c>
    </row>
    <row r="9086" spans="1:9" x14ac:dyDescent="0.35">
      <c r="A9086" s="3">
        <v>42157</v>
      </c>
      <c r="B9086" s="1" t="s">
        <v>2260</v>
      </c>
      <c r="C9086" s="1" t="s">
        <v>1832</v>
      </c>
      <c r="D9086" s="1" t="s">
        <v>163</v>
      </c>
      <c r="E9086" s="1" t="s">
        <v>44</v>
      </c>
      <c r="F9086" s="2" t="s">
        <v>326</v>
      </c>
      <c r="G9086" s="1">
        <v>29.9</v>
      </c>
      <c r="H9086" s="1">
        <v>5</v>
      </c>
      <c r="I9086" s="1">
        <v>13.455</v>
      </c>
    </row>
    <row r="9087" spans="1:9" x14ac:dyDescent="0.35">
      <c r="A9087" s="3">
        <v>42652</v>
      </c>
      <c r="B9087" s="1" t="s">
        <v>903</v>
      </c>
      <c r="C9087" s="1" t="s">
        <v>17</v>
      </c>
      <c r="D9087" s="1" t="s">
        <v>18</v>
      </c>
      <c r="E9087" s="1" t="s">
        <v>35</v>
      </c>
      <c r="F9087" s="2" t="s">
        <v>2650</v>
      </c>
      <c r="G9087" s="1">
        <v>276.78399999999999</v>
      </c>
      <c r="H9087" s="1">
        <v>2</v>
      </c>
      <c r="I9087" s="1">
        <v>89.954800000000006</v>
      </c>
    </row>
    <row r="9088" spans="1:9" x14ac:dyDescent="0.35">
      <c r="A9088" s="3" t="s">
        <v>3220</v>
      </c>
      <c r="B9088" s="1" t="s">
        <v>2856</v>
      </c>
      <c r="C9088" s="1" t="s">
        <v>93</v>
      </c>
      <c r="D9088" s="1" t="s">
        <v>52</v>
      </c>
      <c r="E9088" s="1" t="s">
        <v>37</v>
      </c>
      <c r="F9088" s="2" t="s">
        <v>2984</v>
      </c>
      <c r="G9088" s="1">
        <v>93.031999999999996</v>
      </c>
      <c r="H9088" s="1">
        <v>2</v>
      </c>
      <c r="I9088" s="1">
        <v>-251.18639999999999</v>
      </c>
    </row>
    <row r="9089" spans="1:9" x14ac:dyDescent="0.35">
      <c r="A9089" s="3" t="s">
        <v>3220</v>
      </c>
      <c r="B9089" s="1" t="s">
        <v>2856</v>
      </c>
      <c r="C9089" s="1" t="s">
        <v>93</v>
      </c>
      <c r="D9089" s="1" t="s">
        <v>52</v>
      </c>
      <c r="E9089" s="1" t="s">
        <v>14</v>
      </c>
      <c r="F9089" s="2" t="s">
        <v>172</v>
      </c>
      <c r="G9089" s="1">
        <v>454.96499999999997</v>
      </c>
      <c r="H9089" s="1">
        <v>5</v>
      </c>
      <c r="I9089" s="1">
        <v>-136.48949999999999</v>
      </c>
    </row>
    <row r="9090" spans="1:9" x14ac:dyDescent="0.35">
      <c r="A9090" s="3" t="s">
        <v>3341</v>
      </c>
      <c r="B9090" s="1" t="s">
        <v>2322</v>
      </c>
      <c r="C9090" s="1" t="s">
        <v>1032</v>
      </c>
      <c r="D9090" s="1" t="s">
        <v>43</v>
      </c>
      <c r="E9090" s="1" t="s">
        <v>33</v>
      </c>
      <c r="F9090" s="2" t="s">
        <v>476</v>
      </c>
      <c r="G9090" s="1">
        <v>246.16800000000001</v>
      </c>
      <c r="H9090" s="1">
        <v>3</v>
      </c>
      <c r="I9090" s="1">
        <v>21.5397</v>
      </c>
    </row>
    <row r="9091" spans="1:9" x14ac:dyDescent="0.35">
      <c r="A9091" s="3" t="s">
        <v>3168</v>
      </c>
      <c r="B9091" s="1" t="s">
        <v>271</v>
      </c>
      <c r="C9091" s="1" t="s">
        <v>162</v>
      </c>
      <c r="D9091" s="1" t="s">
        <v>250</v>
      </c>
      <c r="E9091" s="1" t="s">
        <v>26</v>
      </c>
      <c r="F9091" s="2" t="s">
        <v>471</v>
      </c>
      <c r="G9091" s="1">
        <v>295.39999999999998</v>
      </c>
      <c r="H9091" s="1">
        <v>5</v>
      </c>
      <c r="I9091" s="1">
        <v>-62.772500000000001</v>
      </c>
    </row>
    <row r="9092" spans="1:9" x14ac:dyDescent="0.35">
      <c r="A9092" s="3" t="s">
        <v>3316</v>
      </c>
      <c r="B9092" s="1" t="s">
        <v>477</v>
      </c>
      <c r="C9092" s="1" t="s">
        <v>697</v>
      </c>
      <c r="D9092" s="1" t="s">
        <v>11</v>
      </c>
      <c r="E9092" s="1" t="s">
        <v>26</v>
      </c>
      <c r="F9092" s="2" t="s">
        <v>274</v>
      </c>
      <c r="G9092" s="1">
        <v>348.56</v>
      </c>
      <c r="H9092" s="1">
        <v>8</v>
      </c>
      <c r="I9092" s="1">
        <v>104.568</v>
      </c>
    </row>
    <row r="9093" spans="1:9" x14ac:dyDescent="0.35">
      <c r="A9093" s="3" t="s">
        <v>3755</v>
      </c>
      <c r="B9093" s="1" t="s">
        <v>278</v>
      </c>
      <c r="C9093" s="1" t="s">
        <v>141</v>
      </c>
      <c r="D9093" s="1" t="s">
        <v>250</v>
      </c>
      <c r="E9093" s="1" t="s">
        <v>44</v>
      </c>
      <c r="F9093" s="2" t="s">
        <v>207</v>
      </c>
      <c r="G9093" s="1">
        <v>15.552</v>
      </c>
      <c r="H9093" s="1">
        <v>3</v>
      </c>
      <c r="I9093" s="1">
        <v>5.4432</v>
      </c>
    </row>
    <row r="9094" spans="1:9" x14ac:dyDescent="0.35">
      <c r="A9094" s="3" t="s">
        <v>3755</v>
      </c>
      <c r="B9094" s="1" t="s">
        <v>278</v>
      </c>
      <c r="C9094" s="1" t="s">
        <v>141</v>
      </c>
      <c r="D9094" s="1" t="s">
        <v>250</v>
      </c>
      <c r="E9094" s="1" t="s">
        <v>12</v>
      </c>
      <c r="F9094" s="2" t="s">
        <v>1934</v>
      </c>
      <c r="G9094" s="1">
        <v>482.94</v>
      </c>
      <c r="H9094" s="1">
        <v>6</v>
      </c>
      <c r="I9094" s="1">
        <v>-376.69319999999999</v>
      </c>
    </row>
    <row r="9095" spans="1:9" x14ac:dyDescent="0.35">
      <c r="A9095" s="3">
        <v>42010</v>
      </c>
      <c r="B9095" s="1" t="s">
        <v>873</v>
      </c>
      <c r="C9095" s="1" t="s">
        <v>429</v>
      </c>
      <c r="D9095" s="1" t="s">
        <v>120</v>
      </c>
      <c r="E9095" s="1" t="s">
        <v>33</v>
      </c>
      <c r="F9095" s="2" t="s">
        <v>2497</v>
      </c>
      <c r="G9095" s="1">
        <v>299.98</v>
      </c>
      <c r="H9095" s="1">
        <v>2</v>
      </c>
      <c r="I9095" s="1">
        <v>83.994399999999999</v>
      </c>
    </row>
    <row r="9096" spans="1:9" x14ac:dyDescent="0.35">
      <c r="A9096" s="3">
        <v>42010</v>
      </c>
      <c r="B9096" s="1" t="s">
        <v>873</v>
      </c>
      <c r="C9096" s="1" t="s">
        <v>429</v>
      </c>
      <c r="D9096" s="1" t="s">
        <v>120</v>
      </c>
      <c r="E9096" s="1" t="s">
        <v>35</v>
      </c>
      <c r="F9096" s="2" t="s">
        <v>1812</v>
      </c>
      <c r="G9096" s="1">
        <v>403.68</v>
      </c>
      <c r="H9096" s="1">
        <v>6</v>
      </c>
      <c r="I9096" s="1">
        <v>181.65600000000001</v>
      </c>
    </row>
    <row r="9097" spans="1:9" x14ac:dyDescent="0.35">
      <c r="A9097" s="3">
        <v>42010</v>
      </c>
      <c r="B9097" s="1" t="s">
        <v>873</v>
      </c>
      <c r="C9097" s="1" t="s">
        <v>429</v>
      </c>
      <c r="D9097" s="1" t="s">
        <v>120</v>
      </c>
      <c r="E9097" s="1" t="s">
        <v>33</v>
      </c>
      <c r="F9097" s="2" t="s">
        <v>1712</v>
      </c>
      <c r="G9097" s="1">
        <v>41.9</v>
      </c>
      <c r="H9097" s="1">
        <v>2</v>
      </c>
      <c r="I9097" s="1">
        <v>11.731999999999999</v>
      </c>
    </row>
    <row r="9098" spans="1:9" x14ac:dyDescent="0.35">
      <c r="A9098" s="3">
        <v>42010</v>
      </c>
      <c r="B9098" s="1" t="s">
        <v>873</v>
      </c>
      <c r="C9098" s="1" t="s">
        <v>429</v>
      </c>
      <c r="D9098" s="1" t="s">
        <v>120</v>
      </c>
      <c r="E9098" s="1" t="s">
        <v>19</v>
      </c>
      <c r="F9098" s="2" t="s">
        <v>2868</v>
      </c>
      <c r="G9098" s="1">
        <v>28.91</v>
      </c>
      <c r="H9098" s="1">
        <v>7</v>
      </c>
      <c r="I9098" s="1">
        <v>13.2986</v>
      </c>
    </row>
    <row r="9099" spans="1:9" x14ac:dyDescent="0.35">
      <c r="A9099" s="3">
        <v>41977</v>
      </c>
      <c r="B9099" s="1" t="s">
        <v>2326</v>
      </c>
      <c r="C9099" s="1" t="s">
        <v>269</v>
      </c>
      <c r="D9099" s="1" t="s">
        <v>129</v>
      </c>
      <c r="E9099" s="1" t="s">
        <v>44</v>
      </c>
      <c r="F9099" s="2" t="s">
        <v>1264</v>
      </c>
      <c r="G9099" s="1">
        <v>32.4</v>
      </c>
      <c r="H9099" s="1">
        <v>5</v>
      </c>
      <c r="I9099" s="1">
        <v>15.552</v>
      </c>
    </row>
    <row r="9100" spans="1:9" x14ac:dyDescent="0.35">
      <c r="A9100" s="3">
        <v>43079</v>
      </c>
      <c r="B9100" s="1" t="s">
        <v>1365</v>
      </c>
      <c r="C9100" s="1" t="s">
        <v>399</v>
      </c>
      <c r="D9100" s="1" t="s">
        <v>52</v>
      </c>
      <c r="E9100" s="1" t="s">
        <v>33</v>
      </c>
      <c r="F9100" s="2" t="s">
        <v>1163</v>
      </c>
      <c r="G9100" s="1">
        <v>369.54399999999998</v>
      </c>
      <c r="H9100" s="1">
        <v>7</v>
      </c>
      <c r="I9100" s="1">
        <v>27.715800000000002</v>
      </c>
    </row>
    <row r="9101" spans="1:9" x14ac:dyDescent="0.35">
      <c r="A9101" s="3">
        <v>43079</v>
      </c>
      <c r="B9101" s="1" t="s">
        <v>1365</v>
      </c>
      <c r="C9101" s="1" t="s">
        <v>399</v>
      </c>
      <c r="D9101" s="1" t="s">
        <v>52</v>
      </c>
      <c r="E9101" s="1" t="s">
        <v>44</v>
      </c>
      <c r="F9101" s="2" t="s">
        <v>974</v>
      </c>
      <c r="G9101" s="1">
        <v>10.368</v>
      </c>
      <c r="H9101" s="1">
        <v>2</v>
      </c>
      <c r="I9101" s="1">
        <v>3.7584</v>
      </c>
    </row>
    <row r="9102" spans="1:9" x14ac:dyDescent="0.35">
      <c r="A9102" s="3">
        <v>43079</v>
      </c>
      <c r="B9102" s="1" t="s">
        <v>1365</v>
      </c>
      <c r="C9102" s="1" t="s">
        <v>399</v>
      </c>
      <c r="D9102" s="1" t="s">
        <v>52</v>
      </c>
      <c r="E9102" s="1" t="s">
        <v>81</v>
      </c>
      <c r="F9102" s="2" t="s">
        <v>1313</v>
      </c>
      <c r="G9102" s="1">
        <v>791.88</v>
      </c>
      <c r="H9102" s="1">
        <v>3</v>
      </c>
      <c r="I9102" s="1">
        <v>128.68049999999999</v>
      </c>
    </row>
    <row r="9103" spans="1:9" x14ac:dyDescent="0.35">
      <c r="A9103" s="3">
        <v>42196</v>
      </c>
      <c r="B9103" s="1" t="s">
        <v>1641</v>
      </c>
      <c r="C9103" s="1" t="s">
        <v>93</v>
      </c>
      <c r="D9103" s="1" t="s">
        <v>52</v>
      </c>
      <c r="E9103" s="1" t="s">
        <v>31</v>
      </c>
      <c r="F9103" s="2" t="s">
        <v>91</v>
      </c>
      <c r="G9103" s="1">
        <v>23.64</v>
      </c>
      <c r="H9103" s="1">
        <v>3</v>
      </c>
      <c r="I9103" s="1">
        <v>5.319</v>
      </c>
    </row>
    <row r="9104" spans="1:9" x14ac:dyDescent="0.35">
      <c r="A9104" s="3">
        <v>42196</v>
      </c>
      <c r="B9104" s="1" t="s">
        <v>1641</v>
      </c>
      <c r="C9104" s="1" t="s">
        <v>93</v>
      </c>
      <c r="D9104" s="1" t="s">
        <v>52</v>
      </c>
      <c r="E9104" s="1" t="s">
        <v>26</v>
      </c>
      <c r="F9104" s="2" t="s">
        <v>121</v>
      </c>
      <c r="G9104" s="1">
        <v>84.784000000000006</v>
      </c>
      <c r="H9104" s="1">
        <v>2</v>
      </c>
      <c r="I9104" s="1">
        <v>-16.956800000000001</v>
      </c>
    </row>
    <row r="9105" spans="1:9" x14ac:dyDescent="0.35">
      <c r="A9105" s="3">
        <v>42196</v>
      </c>
      <c r="B9105" s="1" t="s">
        <v>1641</v>
      </c>
      <c r="C9105" s="1" t="s">
        <v>93</v>
      </c>
      <c r="D9105" s="1" t="s">
        <v>52</v>
      </c>
      <c r="E9105" s="1" t="s">
        <v>29</v>
      </c>
      <c r="F9105" s="2" t="s">
        <v>2539</v>
      </c>
      <c r="G9105" s="1">
        <v>64.959999999999994</v>
      </c>
      <c r="H9105" s="1">
        <v>5</v>
      </c>
      <c r="I9105" s="1">
        <v>-84.447999999999993</v>
      </c>
    </row>
    <row r="9106" spans="1:9" x14ac:dyDescent="0.35">
      <c r="A9106" s="3">
        <v>42196</v>
      </c>
      <c r="B9106" s="1" t="s">
        <v>1641</v>
      </c>
      <c r="C9106" s="1" t="s">
        <v>93</v>
      </c>
      <c r="D9106" s="1" t="s">
        <v>52</v>
      </c>
      <c r="E9106" s="1" t="s">
        <v>35</v>
      </c>
      <c r="F9106" s="2" t="s">
        <v>85</v>
      </c>
      <c r="G9106" s="1">
        <v>32.06</v>
      </c>
      <c r="H9106" s="1">
        <v>10</v>
      </c>
      <c r="I9106" s="1">
        <v>-51.295999999999999</v>
      </c>
    </row>
    <row r="9107" spans="1:9" x14ac:dyDescent="0.35">
      <c r="A9107" s="3">
        <v>42196</v>
      </c>
      <c r="B9107" s="1" t="s">
        <v>1641</v>
      </c>
      <c r="C9107" s="1" t="s">
        <v>93</v>
      </c>
      <c r="D9107" s="1" t="s">
        <v>52</v>
      </c>
      <c r="E9107" s="1" t="s">
        <v>26</v>
      </c>
      <c r="F9107" s="2" t="s">
        <v>2776</v>
      </c>
      <c r="G9107" s="1">
        <v>177.648</v>
      </c>
      <c r="H9107" s="1">
        <v>2</v>
      </c>
      <c r="I9107" s="1">
        <v>-28.867799999999999</v>
      </c>
    </row>
    <row r="9108" spans="1:9" x14ac:dyDescent="0.35">
      <c r="A9108" s="3">
        <v>42196</v>
      </c>
      <c r="B9108" s="1" t="s">
        <v>1641</v>
      </c>
      <c r="C9108" s="1" t="s">
        <v>93</v>
      </c>
      <c r="D9108" s="1" t="s">
        <v>52</v>
      </c>
      <c r="E9108" s="1" t="s">
        <v>338</v>
      </c>
      <c r="F9108" s="2" t="s">
        <v>2688</v>
      </c>
      <c r="G9108" s="1">
        <v>287.91000000000003</v>
      </c>
      <c r="H9108" s="1">
        <v>3</v>
      </c>
      <c r="I9108" s="1">
        <v>33.589500000000001</v>
      </c>
    </row>
    <row r="9109" spans="1:9" x14ac:dyDescent="0.35">
      <c r="A9109" s="3" t="s">
        <v>3572</v>
      </c>
      <c r="B9109" s="1" t="s">
        <v>625</v>
      </c>
      <c r="C9109" s="1" t="s">
        <v>2283</v>
      </c>
      <c r="D9109" s="1" t="s">
        <v>52</v>
      </c>
      <c r="E9109" s="1" t="s">
        <v>289</v>
      </c>
      <c r="F9109" s="2" t="s">
        <v>2237</v>
      </c>
      <c r="G9109" s="1">
        <v>22.367999999999999</v>
      </c>
      <c r="H9109" s="1">
        <v>2</v>
      </c>
      <c r="I9109" s="1">
        <v>1.6776</v>
      </c>
    </row>
    <row r="9110" spans="1:9" x14ac:dyDescent="0.35">
      <c r="A9110" s="3" t="s">
        <v>3572</v>
      </c>
      <c r="B9110" s="1" t="s">
        <v>625</v>
      </c>
      <c r="C9110" s="1" t="s">
        <v>2283</v>
      </c>
      <c r="D9110" s="1" t="s">
        <v>52</v>
      </c>
      <c r="E9110" s="1" t="s">
        <v>44</v>
      </c>
      <c r="F9110" s="2" t="s">
        <v>2004</v>
      </c>
      <c r="G9110" s="1">
        <v>32.368000000000002</v>
      </c>
      <c r="H9110" s="1">
        <v>7</v>
      </c>
      <c r="I9110" s="1">
        <v>11.7334</v>
      </c>
    </row>
    <row r="9111" spans="1:9" x14ac:dyDescent="0.35">
      <c r="A9111" s="3" t="s">
        <v>3572</v>
      </c>
      <c r="B9111" s="1" t="s">
        <v>625</v>
      </c>
      <c r="C9111" s="1" t="s">
        <v>2283</v>
      </c>
      <c r="D9111" s="1" t="s">
        <v>52</v>
      </c>
      <c r="E9111" s="1" t="s">
        <v>81</v>
      </c>
      <c r="F9111" s="2" t="s">
        <v>2163</v>
      </c>
      <c r="G9111" s="1">
        <v>207.98400000000001</v>
      </c>
      <c r="H9111" s="1">
        <v>2</v>
      </c>
      <c r="I9111" s="1">
        <v>36.397199999999998</v>
      </c>
    </row>
    <row r="9112" spans="1:9" x14ac:dyDescent="0.35">
      <c r="A9112" s="3" t="s">
        <v>3662</v>
      </c>
      <c r="B9112" s="1" t="s">
        <v>2425</v>
      </c>
      <c r="C9112" s="1" t="s">
        <v>693</v>
      </c>
      <c r="D9112" s="1" t="s">
        <v>163</v>
      </c>
      <c r="E9112" s="1" t="s">
        <v>87</v>
      </c>
      <c r="F9112" s="2" t="s">
        <v>1763</v>
      </c>
      <c r="G9112" s="1">
        <v>36.4</v>
      </c>
      <c r="H9112" s="1">
        <v>5</v>
      </c>
      <c r="I9112" s="1">
        <v>17.472000000000001</v>
      </c>
    </row>
    <row r="9113" spans="1:9" x14ac:dyDescent="0.35">
      <c r="A9113" s="3" t="s">
        <v>3662</v>
      </c>
      <c r="B9113" s="1" t="s">
        <v>2425</v>
      </c>
      <c r="C9113" s="1" t="s">
        <v>693</v>
      </c>
      <c r="D9113" s="1" t="s">
        <v>163</v>
      </c>
      <c r="E9113" s="1" t="s">
        <v>81</v>
      </c>
      <c r="F9113" s="2" t="s">
        <v>2810</v>
      </c>
      <c r="G9113" s="1">
        <v>22.96</v>
      </c>
      <c r="H9113" s="1">
        <v>2</v>
      </c>
      <c r="I9113" s="1">
        <v>4.3624000000000001</v>
      </c>
    </row>
    <row r="9114" spans="1:9" x14ac:dyDescent="0.35">
      <c r="A9114" s="3" t="s">
        <v>3662</v>
      </c>
      <c r="B9114" s="1" t="s">
        <v>2425</v>
      </c>
      <c r="C9114" s="1" t="s">
        <v>693</v>
      </c>
      <c r="D9114" s="1" t="s">
        <v>163</v>
      </c>
      <c r="E9114" s="1" t="s">
        <v>26</v>
      </c>
      <c r="F9114" s="2" t="s">
        <v>3055</v>
      </c>
      <c r="G9114" s="1">
        <v>315.2</v>
      </c>
      <c r="H9114" s="1">
        <v>4</v>
      </c>
      <c r="I9114" s="1">
        <v>6.3040000000000003</v>
      </c>
    </row>
    <row r="9115" spans="1:9" x14ac:dyDescent="0.35">
      <c r="A9115" s="3" t="s">
        <v>3662</v>
      </c>
      <c r="B9115" s="1" t="s">
        <v>2425</v>
      </c>
      <c r="C9115" s="1" t="s">
        <v>693</v>
      </c>
      <c r="D9115" s="1" t="s">
        <v>163</v>
      </c>
      <c r="E9115" s="1" t="s">
        <v>35</v>
      </c>
      <c r="F9115" s="2" t="s">
        <v>1486</v>
      </c>
      <c r="G9115" s="1">
        <v>15.18</v>
      </c>
      <c r="H9115" s="1">
        <v>3</v>
      </c>
      <c r="I9115" s="1">
        <v>7.1345999999999998</v>
      </c>
    </row>
    <row r="9116" spans="1:9" x14ac:dyDescent="0.35">
      <c r="A9116" s="3">
        <v>42553</v>
      </c>
      <c r="B9116" s="1" t="s">
        <v>1552</v>
      </c>
      <c r="C9116" s="1" t="s">
        <v>17</v>
      </c>
      <c r="D9116" s="1" t="s">
        <v>18</v>
      </c>
      <c r="E9116" s="1" t="s">
        <v>33</v>
      </c>
      <c r="F9116" s="2" t="s">
        <v>3035</v>
      </c>
      <c r="G9116" s="1">
        <v>623.96</v>
      </c>
      <c r="H9116" s="1">
        <v>5</v>
      </c>
      <c r="I9116" s="1">
        <v>38.997500000000002</v>
      </c>
    </row>
    <row r="9117" spans="1:9" x14ac:dyDescent="0.35">
      <c r="A9117" s="3" t="s">
        <v>3834</v>
      </c>
      <c r="B9117" s="1" t="s">
        <v>1824</v>
      </c>
      <c r="C9117" s="1" t="s">
        <v>74</v>
      </c>
      <c r="D9117" s="1" t="s">
        <v>75</v>
      </c>
      <c r="E9117" s="1" t="s">
        <v>33</v>
      </c>
      <c r="F9117" s="2" t="s">
        <v>1865</v>
      </c>
      <c r="G9117" s="1">
        <v>429.6</v>
      </c>
      <c r="H9117" s="1">
        <v>2</v>
      </c>
      <c r="I9117" s="1">
        <v>-93.08</v>
      </c>
    </row>
    <row r="9118" spans="1:9" x14ac:dyDescent="0.35">
      <c r="A9118" s="3" t="s">
        <v>3834</v>
      </c>
      <c r="B9118" s="1" t="s">
        <v>1824</v>
      </c>
      <c r="C9118" s="1" t="s">
        <v>74</v>
      </c>
      <c r="D9118" s="1" t="s">
        <v>75</v>
      </c>
      <c r="E9118" s="1" t="s">
        <v>29</v>
      </c>
      <c r="F9118" s="2" t="s">
        <v>996</v>
      </c>
      <c r="G9118" s="1">
        <v>31.968</v>
      </c>
      <c r="H9118" s="1">
        <v>2</v>
      </c>
      <c r="I9118" s="1">
        <v>6.3936000000000002</v>
      </c>
    </row>
    <row r="9119" spans="1:9" x14ac:dyDescent="0.35">
      <c r="A9119" s="3" t="s">
        <v>3834</v>
      </c>
      <c r="B9119" s="1" t="s">
        <v>1824</v>
      </c>
      <c r="C9119" s="1" t="s">
        <v>74</v>
      </c>
      <c r="D9119" s="1" t="s">
        <v>75</v>
      </c>
      <c r="E9119" s="1" t="s">
        <v>14</v>
      </c>
      <c r="F9119" s="2" t="s">
        <v>1330</v>
      </c>
      <c r="G9119" s="1">
        <v>887.27099999999996</v>
      </c>
      <c r="H9119" s="1">
        <v>3</v>
      </c>
      <c r="I9119" s="1">
        <v>-63.3765</v>
      </c>
    </row>
    <row r="9120" spans="1:9" x14ac:dyDescent="0.35">
      <c r="A9120" s="3" t="s">
        <v>3834</v>
      </c>
      <c r="B9120" s="1" t="s">
        <v>1824</v>
      </c>
      <c r="C9120" s="1" t="s">
        <v>74</v>
      </c>
      <c r="D9120" s="1" t="s">
        <v>75</v>
      </c>
      <c r="E9120" s="1" t="s">
        <v>44</v>
      </c>
      <c r="F9120" s="2" t="s">
        <v>1655</v>
      </c>
      <c r="G9120" s="1">
        <v>21.696000000000002</v>
      </c>
      <c r="H9120" s="1">
        <v>4</v>
      </c>
      <c r="I9120" s="1">
        <v>7.0511999999999997</v>
      </c>
    </row>
    <row r="9121" spans="1:9" x14ac:dyDescent="0.35">
      <c r="A9121" s="3">
        <v>42527</v>
      </c>
      <c r="B9121" s="1" t="s">
        <v>714</v>
      </c>
      <c r="C9121" s="1" t="s">
        <v>17</v>
      </c>
      <c r="D9121" s="1" t="s">
        <v>18</v>
      </c>
      <c r="E9121" s="1" t="s">
        <v>19</v>
      </c>
      <c r="F9121" s="2" t="s">
        <v>1392</v>
      </c>
      <c r="G9121" s="1">
        <v>22.05</v>
      </c>
      <c r="H9121" s="1">
        <v>7</v>
      </c>
      <c r="I9121" s="1">
        <v>10.584</v>
      </c>
    </row>
    <row r="9122" spans="1:9" x14ac:dyDescent="0.35">
      <c r="A9122" s="3">
        <v>42527</v>
      </c>
      <c r="B9122" s="1" t="s">
        <v>714</v>
      </c>
      <c r="C9122" s="1" t="s">
        <v>17</v>
      </c>
      <c r="D9122" s="1" t="s">
        <v>18</v>
      </c>
      <c r="E9122" s="1" t="s">
        <v>44</v>
      </c>
      <c r="F9122" s="2" t="s">
        <v>3113</v>
      </c>
      <c r="G9122" s="1">
        <v>99.9</v>
      </c>
      <c r="H9122" s="1">
        <v>5</v>
      </c>
      <c r="I9122" s="1">
        <v>46.953000000000003</v>
      </c>
    </row>
    <row r="9123" spans="1:9" x14ac:dyDescent="0.35">
      <c r="A9123" s="3" t="s">
        <v>3436</v>
      </c>
      <c r="B9123" s="1" t="s">
        <v>2886</v>
      </c>
      <c r="C9123" s="1" t="s">
        <v>17</v>
      </c>
      <c r="D9123" s="1" t="s">
        <v>18</v>
      </c>
      <c r="E9123" s="1" t="s">
        <v>37</v>
      </c>
      <c r="F9123" s="2" t="s">
        <v>220</v>
      </c>
      <c r="G9123" s="1">
        <v>90.86</v>
      </c>
      <c r="H9123" s="1">
        <v>7</v>
      </c>
      <c r="I9123" s="1">
        <v>26.349399999999999</v>
      </c>
    </row>
    <row r="9124" spans="1:9" x14ac:dyDescent="0.35">
      <c r="A9124" s="3" t="s">
        <v>3207</v>
      </c>
      <c r="B9124" s="1" t="s">
        <v>2538</v>
      </c>
      <c r="C9124" s="1" t="s">
        <v>64</v>
      </c>
      <c r="D9124" s="1" t="s">
        <v>18</v>
      </c>
      <c r="E9124" s="1" t="s">
        <v>44</v>
      </c>
      <c r="F9124" s="2" t="s">
        <v>1002</v>
      </c>
      <c r="G9124" s="1">
        <v>7.78</v>
      </c>
      <c r="H9124" s="1">
        <v>1</v>
      </c>
      <c r="I9124" s="1">
        <v>3.5009999999999999</v>
      </c>
    </row>
    <row r="9125" spans="1:9" x14ac:dyDescent="0.35">
      <c r="A9125" s="3" t="s">
        <v>3630</v>
      </c>
      <c r="B9125" s="1" t="s">
        <v>79</v>
      </c>
      <c r="C9125" s="1" t="s">
        <v>74</v>
      </c>
      <c r="D9125" s="1" t="s">
        <v>75</v>
      </c>
      <c r="E9125" s="1" t="s">
        <v>35</v>
      </c>
      <c r="F9125" s="2" t="s">
        <v>1223</v>
      </c>
      <c r="G9125" s="1">
        <v>78.759</v>
      </c>
      <c r="H9125" s="1">
        <v>9</v>
      </c>
      <c r="I9125" s="1">
        <v>-57.756599999999999</v>
      </c>
    </row>
    <row r="9126" spans="1:9" x14ac:dyDescent="0.35">
      <c r="A9126" s="3" t="s">
        <v>3306</v>
      </c>
      <c r="B9126" s="1" t="s">
        <v>92</v>
      </c>
      <c r="C9126" s="1" t="s">
        <v>93</v>
      </c>
      <c r="D9126" s="1" t="s">
        <v>52</v>
      </c>
      <c r="E9126" s="1" t="s">
        <v>29</v>
      </c>
      <c r="F9126" s="2" t="s">
        <v>449</v>
      </c>
      <c r="G9126" s="1">
        <v>9.5519999999999996</v>
      </c>
      <c r="H9126" s="1">
        <v>3</v>
      </c>
      <c r="I9126" s="1">
        <v>-3.8208000000000002</v>
      </c>
    </row>
    <row r="9127" spans="1:9" x14ac:dyDescent="0.35">
      <c r="A9127" s="3" t="s">
        <v>3306</v>
      </c>
      <c r="B9127" s="1" t="s">
        <v>92</v>
      </c>
      <c r="C9127" s="1" t="s">
        <v>93</v>
      </c>
      <c r="D9127" s="1" t="s">
        <v>52</v>
      </c>
      <c r="E9127" s="1" t="s">
        <v>29</v>
      </c>
      <c r="F9127" s="2" t="s">
        <v>2553</v>
      </c>
      <c r="G9127" s="1">
        <v>5.3440000000000003</v>
      </c>
      <c r="H9127" s="1">
        <v>4</v>
      </c>
      <c r="I9127" s="1">
        <v>-2.1375999999999999</v>
      </c>
    </row>
    <row r="9128" spans="1:9" x14ac:dyDescent="0.35">
      <c r="A9128" s="3" t="s">
        <v>3465</v>
      </c>
      <c r="B9128" s="1" t="s">
        <v>2425</v>
      </c>
      <c r="C9128" s="1" t="s">
        <v>2349</v>
      </c>
      <c r="D9128" s="1" t="s">
        <v>331</v>
      </c>
      <c r="E9128" s="1" t="s">
        <v>31</v>
      </c>
      <c r="F9128" s="2" t="s">
        <v>337</v>
      </c>
      <c r="G9128" s="1">
        <v>8.2799999999999994</v>
      </c>
      <c r="H9128" s="1">
        <v>2</v>
      </c>
      <c r="I9128" s="1">
        <v>3.4775999999999998</v>
      </c>
    </row>
    <row r="9129" spans="1:9" x14ac:dyDescent="0.35">
      <c r="A9129" s="3" t="s">
        <v>3738</v>
      </c>
      <c r="B9129" s="1" t="s">
        <v>598</v>
      </c>
      <c r="C9129" s="1" t="s">
        <v>93</v>
      </c>
      <c r="D9129" s="1" t="s">
        <v>52</v>
      </c>
      <c r="E9129" s="1" t="s">
        <v>26</v>
      </c>
      <c r="F9129" s="2" t="s">
        <v>2922</v>
      </c>
      <c r="G9129" s="1">
        <v>50.136000000000003</v>
      </c>
      <c r="H9129" s="1">
        <v>3</v>
      </c>
      <c r="I9129" s="1">
        <v>-11.2806</v>
      </c>
    </row>
    <row r="9130" spans="1:9" x14ac:dyDescent="0.35">
      <c r="A9130" s="3">
        <v>42834</v>
      </c>
      <c r="B9130" s="1" t="s">
        <v>1591</v>
      </c>
      <c r="C9130" s="1" t="s">
        <v>1910</v>
      </c>
      <c r="D9130" s="1" t="s">
        <v>212</v>
      </c>
      <c r="E9130" s="1" t="s">
        <v>35</v>
      </c>
      <c r="F9130" s="2" t="s">
        <v>1270</v>
      </c>
      <c r="G9130" s="1">
        <v>88.073999999999998</v>
      </c>
      <c r="H9130" s="1">
        <v>7</v>
      </c>
      <c r="I9130" s="1">
        <v>-58.716000000000001</v>
      </c>
    </row>
    <row r="9131" spans="1:9" x14ac:dyDescent="0.35">
      <c r="A9131" s="3" t="s">
        <v>3322</v>
      </c>
      <c r="B9131" s="1" t="s">
        <v>1527</v>
      </c>
      <c r="C9131" s="1" t="s">
        <v>994</v>
      </c>
      <c r="D9131" s="1" t="s">
        <v>250</v>
      </c>
      <c r="E9131" s="1" t="s">
        <v>12</v>
      </c>
      <c r="F9131" s="2" t="s">
        <v>2271</v>
      </c>
      <c r="G9131" s="1">
        <v>301.47000000000003</v>
      </c>
      <c r="H9131" s="1">
        <v>3</v>
      </c>
      <c r="I9131" s="1">
        <v>-241.17599999999999</v>
      </c>
    </row>
    <row r="9132" spans="1:9" x14ac:dyDescent="0.35">
      <c r="A9132" s="3" t="s">
        <v>3322</v>
      </c>
      <c r="B9132" s="1" t="s">
        <v>1527</v>
      </c>
      <c r="C9132" s="1" t="s">
        <v>994</v>
      </c>
      <c r="D9132" s="1" t="s">
        <v>250</v>
      </c>
      <c r="E9132" s="1" t="s">
        <v>31</v>
      </c>
      <c r="F9132" s="2" t="s">
        <v>1887</v>
      </c>
      <c r="G9132" s="1">
        <v>18.655999999999999</v>
      </c>
      <c r="H9132" s="1">
        <v>2</v>
      </c>
      <c r="I9132" s="1">
        <v>1.6324000000000001</v>
      </c>
    </row>
    <row r="9133" spans="1:9" x14ac:dyDescent="0.35">
      <c r="A9133" s="3" t="s">
        <v>3166</v>
      </c>
      <c r="B9133" s="1" t="s">
        <v>1960</v>
      </c>
      <c r="C9133" s="1" t="s">
        <v>3114</v>
      </c>
      <c r="D9133" s="1" t="s">
        <v>1217</v>
      </c>
      <c r="E9133" s="1" t="s">
        <v>29</v>
      </c>
      <c r="F9133" s="2" t="s">
        <v>1677</v>
      </c>
      <c r="G9133" s="1">
        <v>27.46</v>
      </c>
      <c r="H9133" s="1">
        <v>2</v>
      </c>
      <c r="I9133" s="1">
        <v>9.8856000000000002</v>
      </c>
    </row>
    <row r="9134" spans="1:9" x14ac:dyDescent="0.35">
      <c r="A9134" s="3" t="s">
        <v>3166</v>
      </c>
      <c r="B9134" s="1" t="s">
        <v>1960</v>
      </c>
      <c r="C9134" s="1" t="s">
        <v>3114</v>
      </c>
      <c r="D9134" s="1" t="s">
        <v>1217</v>
      </c>
      <c r="E9134" s="1" t="s">
        <v>37</v>
      </c>
      <c r="F9134" s="2" t="s">
        <v>1034</v>
      </c>
      <c r="G9134" s="1">
        <v>125.13</v>
      </c>
      <c r="H9134" s="1">
        <v>3</v>
      </c>
      <c r="I9134" s="1">
        <v>36.287700000000001</v>
      </c>
    </row>
    <row r="9135" spans="1:9" x14ac:dyDescent="0.35">
      <c r="A9135" s="3" t="s">
        <v>3695</v>
      </c>
      <c r="B9135" s="1" t="s">
        <v>2019</v>
      </c>
      <c r="C9135" s="1" t="s">
        <v>461</v>
      </c>
      <c r="D9135" s="1" t="s">
        <v>18</v>
      </c>
      <c r="E9135" s="1" t="s">
        <v>33</v>
      </c>
      <c r="F9135" s="2" t="s">
        <v>1473</v>
      </c>
      <c r="G9135" s="1">
        <v>555.96</v>
      </c>
      <c r="H9135" s="1">
        <v>5</v>
      </c>
      <c r="I9135" s="1">
        <v>41.697000000000003</v>
      </c>
    </row>
    <row r="9136" spans="1:9" x14ac:dyDescent="0.35">
      <c r="A9136" s="3">
        <v>42708</v>
      </c>
      <c r="B9136" s="1" t="s">
        <v>1888</v>
      </c>
      <c r="C9136" s="1" t="s">
        <v>3012</v>
      </c>
      <c r="D9136" s="1" t="s">
        <v>43</v>
      </c>
      <c r="E9136" s="1" t="s">
        <v>26</v>
      </c>
      <c r="F9136" s="2" t="s">
        <v>736</v>
      </c>
      <c r="G9136" s="1">
        <v>129.55199999999999</v>
      </c>
      <c r="H9136" s="1">
        <v>3</v>
      </c>
      <c r="I9136" s="1">
        <v>-22.671600000000002</v>
      </c>
    </row>
    <row r="9137" spans="1:9" x14ac:dyDescent="0.35">
      <c r="A9137" s="3">
        <v>42708</v>
      </c>
      <c r="B9137" s="1" t="s">
        <v>1888</v>
      </c>
      <c r="C9137" s="1" t="s">
        <v>3012</v>
      </c>
      <c r="D9137" s="1" t="s">
        <v>43</v>
      </c>
      <c r="E9137" s="1" t="s">
        <v>26</v>
      </c>
      <c r="F9137" s="2" t="s">
        <v>726</v>
      </c>
      <c r="G9137" s="1">
        <v>51.984000000000002</v>
      </c>
      <c r="H9137" s="1">
        <v>1</v>
      </c>
      <c r="I9137" s="1">
        <v>-5.1984000000000004</v>
      </c>
    </row>
    <row r="9138" spans="1:9" x14ac:dyDescent="0.35">
      <c r="A9138" s="3">
        <v>42708</v>
      </c>
      <c r="B9138" s="1" t="s">
        <v>1888</v>
      </c>
      <c r="C9138" s="1" t="s">
        <v>3012</v>
      </c>
      <c r="D9138" s="1" t="s">
        <v>43</v>
      </c>
      <c r="E9138" s="1" t="s">
        <v>44</v>
      </c>
      <c r="F9138" s="2" t="s">
        <v>2783</v>
      </c>
      <c r="G9138" s="1">
        <v>10.272</v>
      </c>
      <c r="H9138" s="1">
        <v>3</v>
      </c>
      <c r="I9138" s="1">
        <v>3.4668000000000001</v>
      </c>
    </row>
    <row r="9139" spans="1:9" x14ac:dyDescent="0.35">
      <c r="A9139" s="3">
        <v>41672</v>
      </c>
      <c r="B9139" s="1" t="s">
        <v>1833</v>
      </c>
      <c r="C9139" s="1" t="s">
        <v>550</v>
      </c>
      <c r="D9139" s="1" t="s">
        <v>23</v>
      </c>
      <c r="E9139" s="1" t="s">
        <v>35</v>
      </c>
      <c r="F9139" s="2" t="s">
        <v>1670</v>
      </c>
      <c r="G9139" s="1">
        <v>18.335999999999999</v>
      </c>
      <c r="H9139" s="1">
        <v>2</v>
      </c>
      <c r="I9139" s="1">
        <v>-12.224</v>
      </c>
    </row>
    <row r="9140" spans="1:9" x14ac:dyDescent="0.35">
      <c r="A9140" s="3">
        <v>41672</v>
      </c>
      <c r="B9140" s="1" t="s">
        <v>1833</v>
      </c>
      <c r="C9140" s="1" t="s">
        <v>550</v>
      </c>
      <c r="D9140" s="1" t="s">
        <v>23</v>
      </c>
      <c r="E9140" s="1" t="s">
        <v>33</v>
      </c>
      <c r="F9140" s="2" t="s">
        <v>2334</v>
      </c>
      <c r="G9140" s="1">
        <v>180.96</v>
      </c>
      <c r="H9140" s="1">
        <v>5</v>
      </c>
      <c r="I9140" s="1">
        <v>13.571999999999999</v>
      </c>
    </row>
    <row r="9141" spans="1:9" x14ac:dyDescent="0.35">
      <c r="A9141" s="3">
        <v>41679</v>
      </c>
      <c r="B9141" s="1" t="s">
        <v>1110</v>
      </c>
      <c r="C9141" s="1" t="s">
        <v>2937</v>
      </c>
      <c r="D9141" s="1" t="s">
        <v>106</v>
      </c>
      <c r="E9141" s="1" t="s">
        <v>81</v>
      </c>
      <c r="F9141" s="2" t="s">
        <v>240</v>
      </c>
      <c r="G9141" s="1">
        <v>475.94400000000002</v>
      </c>
      <c r="H9141" s="1">
        <v>7</v>
      </c>
      <c r="I9141" s="1">
        <v>95.188800000000001</v>
      </c>
    </row>
    <row r="9142" spans="1:9" x14ac:dyDescent="0.35">
      <c r="A9142" s="3" t="s">
        <v>3628</v>
      </c>
      <c r="B9142" s="1" t="s">
        <v>1472</v>
      </c>
      <c r="C9142" s="1" t="s">
        <v>17</v>
      </c>
      <c r="D9142" s="1" t="s">
        <v>18</v>
      </c>
      <c r="E9142" s="1" t="s">
        <v>81</v>
      </c>
      <c r="F9142" s="2" t="s">
        <v>1154</v>
      </c>
      <c r="G9142" s="1">
        <v>159.97999999999999</v>
      </c>
      <c r="H9142" s="1">
        <v>2</v>
      </c>
      <c r="I9142" s="1">
        <v>47.994</v>
      </c>
    </row>
    <row r="9143" spans="1:9" x14ac:dyDescent="0.35">
      <c r="A9143" s="3">
        <v>42499</v>
      </c>
      <c r="B9143" s="1" t="s">
        <v>3061</v>
      </c>
      <c r="C9143" s="1" t="s">
        <v>135</v>
      </c>
      <c r="D9143" s="1" t="s">
        <v>136</v>
      </c>
      <c r="E9143" s="1" t="s">
        <v>33</v>
      </c>
      <c r="F9143" s="2" t="s">
        <v>126</v>
      </c>
      <c r="G9143" s="1">
        <v>43.6</v>
      </c>
      <c r="H9143" s="1">
        <v>4</v>
      </c>
      <c r="I9143" s="1">
        <v>12.208</v>
      </c>
    </row>
    <row r="9144" spans="1:9" x14ac:dyDescent="0.35">
      <c r="A9144" s="3" t="s">
        <v>3541</v>
      </c>
      <c r="B9144" s="1" t="s">
        <v>1775</v>
      </c>
      <c r="C9144" s="1" t="s">
        <v>658</v>
      </c>
      <c r="D9144" s="1" t="s">
        <v>659</v>
      </c>
      <c r="E9144" s="1" t="s">
        <v>35</v>
      </c>
      <c r="F9144" s="2" t="s">
        <v>2495</v>
      </c>
      <c r="G9144" s="1">
        <v>8.2880000000000003</v>
      </c>
      <c r="H9144" s="1">
        <v>2</v>
      </c>
      <c r="I9144" s="1">
        <v>3.0044</v>
      </c>
    </row>
    <row r="9145" spans="1:9" x14ac:dyDescent="0.35">
      <c r="A9145" s="3" t="s">
        <v>3541</v>
      </c>
      <c r="B9145" s="1" t="s">
        <v>1775</v>
      </c>
      <c r="C9145" s="1" t="s">
        <v>658</v>
      </c>
      <c r="D9145" s="1" t="s">
        <v>659</v>
      </c>
      <c r="E9145" s="1" t="s">
        <v>33</v>
      </c>
      <c r="F9145" s="2" t="s">
        <v>3035</v>
      </c>
      <c r="G9145" s="1">
        <v>1123.1279999999999</v>
      </c>
      <c r="H9145" s="1">
        <v>9</v>
      </c>
      <c r="I9145" s="1">
        <v>70.195499999999996</v>
      </c>
    </row>
    <row r="9146" spans="1:9" x14ac:dyDescent="0.35">
      <c r="A9146" s="3" t="s">
        <v>3541</v>
      </c>
      <c r="B9146" s="1" t="s">
        <v>1775</v>
      </c>
      <c r="C9146" s="1" t="s">
        <v>658</v>
      </c>
      <c r="D9146" s="1" t="s">
        <v>659</v>
      </c>
      <c r="E9146" s="1" t="s">
        <v>37</v>
      </c>
      <c r="F9146" s="2" t="s">
        <v>220</v>
      </c>
      <c r="G9146" s="1">
        <v>64.900000000000006</v>
      </c>
      <c r="H9146" s="1">
        <v>5</v>
      </c>
      <c r="I9146" s="1">
        <v>18.821000000000002</v>
      </c>
    </row>
    <row r="9147" spans="1:9" x14ac:dyDescent="0.35">
      <c r="A9147" s="3" t="s">
        <v>3808</v>
      </c>
      <c r="B9147" s="1" t="s">
        <v>919</v>
      </c>
      <c r="C9147" s="1" t="s">
        <v>105</v>
      </c>
      <c r="D9147" s="1" t="s">
        <v>106</v>
      </c>
      <c r="E9147" s="1" t="s">
        <v>35</v>
      </c>
      <c r="F9147" s="2" t="s">
        <v>1068</v>
      </c>
      <c r="G9147" s="1">
        <v>2.8079999999999998</v>
      </c>
      <c r="H9147" s="1">
        <v>3</v>
      </c>
      <c r="I9147" s="1">
        <v>-4.4927999999999999</v>
      </c>
    </row>
    <row r="9148" spans="1:9" x14ac:dyDescent="0.35">
      <c r="A9148" s="3" t="s">
        <v>3771</v>
      </c>
      <c r="B9148" s="1" t="s">
        <v>480</v>
      </c>
      <c r="C9148" s="1" t="s">
        <v>1011</v>
      </c>
      <c r="D9148" s="1" t="s">
        <v>2122</v>
      </c>
      <c r="E9148" s="1" t="s">
        <v>81</v>
      </c>
      <c r="F9148" s="2" t="s">
        <v>1895</v>
      </c>
      <c r="G9148" s="1">
        <v>99.98</v>
      </c>
      <c r="H9148" s="1">
        <v>2</v>
      </c>
      <c r="I9148" s="1">
        <v>42.991399999999999</v>
      </c>
    </row>
    <row r="9149" spans="1:9" x14ac:dyDescent="0.35">
      <c r="A9149" s="3" t="s">
        <v>3771</v>
      </c>
      <c r="B9149" s="1" t="s">
        <v>480</v>
      </c>
      <c r="C9149" s="1" t="s">
        <v>1011</v>
      </c>
      <c r="D9149" s="1" t="s">
        <v>2122</v>
      </c>
      <c r="E9149" s="1" t="s">
        <v>31</v>
      </c>
      <c r="F9149" s="2" t="s">
        <v>3115</v>
      </c>
      <c r="G9149" s="1">
        <v>8.0399999999999991</v>
      </c>
      <c r="H9149" s="1">
        <v>6</v>
      </c>
      <c r="I9149" s="1">
        <v>2.7336</v>
      </c>
    </row>
    <row r="9150" spans="1:9" x14ac:dyDescent="0.35">
      <c r="A9150" s="3" t="s">
        <v>3771</v>
      </c>
      <c r="B9150" s="1" t="s">
        <v>480</v>
      </c>
      <c r="C9150" s="1" t="s">
        <v>1011</v>
      </c>
      <c r="D9150" s="1" t="s">
        <v>2122</v>
      </c>
      <c r="E9150" s="1" t="s">
        <v>26</v>
      </c>
      <c r="F9150" s="2" t="s">
        <v>1327</v>
      </c>
      <c r="G9150" s="1">
        <v>1564.29</v>
      </c>
      <c r="H9150" s="1">
        <v>13</v>
      </c>
      <c r="I9150" s="1">
        <v>406.71539999999999</v>
      </c>
    </row>
    <row r="9151" spans="1:9" x14ac:dyDescent="0.35">
      <c r="A9151" s="3">
        <v>41645</v>
      </c>
      <c r="B9151" s="1" t="s">
        <v>1554</v>
      </c>
      <c r="C9151" s="1" t="s">
        <v>429</v>
      </c>
      <c r="D9151" s="1" t="s">
        <v>120</v>
      </c>
      <c r="E9151" s="1" t="s">
        <v>35</v>
      </c>
      <c r="F9151" s="2" t="s">
        <v>1678</v>
      </c>
      <c r="G9151" s="1">
        <v>138.56</v>
      </c>
      <c r="H9151" s="1">
        <v>4</v>
      </c>
      <c r="I9151" s="1">
        <v>66.508799999999994</v>
      </c>
    </row>
    <row r="9152" spans="1:9" x14ac:dyDescent="0.35">
      <c r="A9152" s="3">
        <v>41645</v>
      </c>
      <c r="B9152" s="1" t="s">
        <v>1554</v>
      </c>
      <c r="C9152" s="1" t="s">
        <v>429</v>
      </c>
      <c r="D9152" s="1" t="s">
        <v>120</v>
      </c>
      <c r="E9152" s="1" t="s">
        <v>37</v>
      </c>
      <c r="F9152" s="2" t="s">
        <v>1572</v>
      </c>
      <c r="G9152" s="1">
        <v>65.52</v>
      </c>
      <c r="H9152" s="1">
        <v>5</v>
      </c>
      <c r="I9152" s="1">
        <v>12.375999999999999</v>
      </c>
    </row>
    <row r="9153" spans="1:9" x14ac:dyDescent="0.35">
      <c r="A9153" s="3" t="s">
        <v>3392</v>
      </c>
      <c r="B9153" s="1" t="s">
        <v>148</v>
      </c>
      <c r="C9153" s="1" t="s">
        <v>2824</v>
      </c>
      <c r="D9153" s="1" t="s">
        <v>158</v>
      </c>
      <c r="E9153" s="1" t="s">
        <v>31</v>
      </c>
      <c r="F9153" s="2" t="s">
        <v>2638</v>
      </c>
      <c r="G9153" s="1">
        <v>14.576000000000001</v>
      </c>
      <c r="H9153" s="1">
        <v>2</v>
      </c>
      <c r="I9153" s="1">
        <v>2.3685999999999998</v>
      </c>
    </row>
    <row r="9154" spans="1:9" x14ac:dyDescent="0.35">
      <c r="A9154" s="3" t="s">
        <v>3392</v>
      </c>
      <c r="B9154" s="1" t="s">
        <v>148</v>
      </c>
      <c r="C9154" s="1" t="s">
        <v>2824</v>
      </c>
      <c r="D9154" s="1" t="s">
        <v>158</v>
      </c>
      <c r="E9154" s="1" t="s">
        <v>81</v>
      </c>
      <c r="F9154" s="2" t="s">
        <v>365</v>
      </c>
      <c r="G9154" s="1">
        <v>23.2</v>
      </c>
      <c r="H9154" s="1">
        <v>2</v>
      </c>
      <c r="I9154" s="1">
        <v>1.45</v>
      </c>
    </row>
    <row r="9155" spans="1:9" x14ac:dyDescent="0.35">
      <c r="A9155" s="3" t="s">
        <v>3392</v>
      </c>
      <c r="B9155" s="1" t="s">
        <v>148</v>
      </c>
      <c r="C9155" s="1" t="s">
        <v>2824</v>
      </c>
      <c r="D9155" s="1" t="s">
        <v>158</v>
      </c>
      <c r="E9155" s="1" t="s">
        <v>31</v>
      </c>
      <c r="F9155" s="2" t="s">
        <v>821</v>
      </c>
      <c r="G9155" s="1">
        <v>16.463999999999999</v>
      </c>
      <c r="H9155" s="1">
        <v>7</v>
      </c>
      <c r="I9155" s="1">
        <v>1.8522000000000001</v>
      </c>
    </row>
    <row r="9156" spans="1:9" x14ac:dyDescent="0.35">
      <c r="A9156" s="3">
        <v>42377</v>
      </c>
      <c r="B9156" s="1" t="s">
        <v>2689</v>
      </c>
      <c r="C9156" s="1" t="s">
        <v>74</v>
      </c>
      <c r="D9156" s="1" t="s">
        <v>75</v>
      </c>
      <c r="E9156" s="1" t="s">
        <v>29</v>
      </c>
      <c r="F9156" s="2" t="s">
        <v>2884</v>
      </c>
      <c r="G9156" s="1">
        <v>19.312000000000001</v>
      </c>
      <c r="H9156" s="1">
        <v>2</v>
      </c>
      <c r="I9156" s="1">
        <v>3.1381999999999999</v>
      </c>
    </row>
    <row r="9157" spans="1:9" x14ac:dyDescent="0.35">
      <c r="A9157" s="3" t="s">
        <v>3835</v>
      </c>
      <c r="B9157" s="1" t="s">
        <v>3023</v>
      </c>
      <c r="C9157" s="1" t="s">
        <v>658</v>
      </c>
      <c r="D9157" s="1" t="s">
        <v>659</v>
      </c>
      <c r="E9157" s="1" t="s">
        <v>44</v>
      </c>
      <c r="F9157" s="2" t="s">
        <v>284</v>
      </c>
      <c r="G9157" s="1">
        <v>40.08</v>
      </c>
      <c r="H9157" s="1">
        <v>6</v>
      </c>
      <c r="I9157" s="1">
        <v>19.238399999999999</v>
      </c>
    </row>
    <row r="9158" spans="1:9" x14ac:dyDescent="0.35">
      <c r="A9158" s="3">
        <v>41737</v>
      </c>
      <c r="B9158" s="1" t="s">
        <v>1787</v>
      </c>
      <c r="C9158" s="1" t="s">
        <v>2133</v>
      </c>
      <c r="D9158" s="1" t="s">
        <v>2134</v>
      </c>
      <c r="E9158" s="1" t="s">
        <v>37</v>
      </c>
      <c r="F9158" s="2" t="s">
        <v>855</v>
      </c>
      <c r="G9158" s="1">
        <v>101.96</v>
      </c>
      <c r="H9158" s="1">
        <v>2</v>
      </c>
      <c r="I9158" s="1">
        <v>27.529199999999999</v>
      </c>
    </row>
    <row r="9159" spans="1:9" x14ac:dyDescent="0.35">
      <c r="A9159" s="3">
        <v>41737</v>
      </c>
      <c r="B9159" s="1" t="s">
        <v>1787</v>
      </c>
      <c r="C9159" s="1" t="s">
        <v>2133</v>
      </c>
      <c r="D9159" s="1" t="s">
        <v>2134</v>
      </c>
      <c r="E9159" s="1" t="s">
        <v>44</v>
      </c>
      <c r="F9159" s="2" t="s">
        <v>2786</v>
      </c>
      <c r="G9159" s="1">
        <v>259.74</v>
      </c>
      <c r="H9159" s="1">
        <v>13</v>
      </c>
      <c r="I9159" s="1">
        <v>124.6752</v>
      </c>
    </row>
    <row r="9160" spans="1:9" x14ac:dyDescent="0.35">
      <c r="A9160" s="3">
        <v>41737</v>
      </c>
      <c r="B9160" s="1" t="s">
        <v>1787</v>
      </c>
      <c r="C9160" s="1" t="s">
        <v>2133</v>
      </c>
      <c r="D9160" s="1" t="s">
        <v>2134</v>
      </c>
      <c r="E9160" s="1" t="s">
        <v>81</v>
      </c>
      <c r="F9160" s="2" t="s">
        <v>1249</v>
      </c>
      <c r="G9160" s="1">
        <v>255.42</v>
      </c>
      <c r="H9160" s="1">
        <v>9</v>
      </c>
      <c r="I9160" s="1">
        <v>104.7222</v>
      </c>
    </row>
    <row r="9161" spans="1:9" x14ac:dyDescent="0.35">
      <c r="A9161" s="3">
        <v>42621</v>
      </c>
      <c r="B9161" s="1" t="s">
        <v>2493</v>
      </c>
      <c r="C9161" s="1" t="s">
        <v>2981</v>
      </c>
      <c r="D9161" s="1" t="s">
        <v>171</v>
      </c>
      <c r="E9161" s="1" t="s">
        <v>35</v>
      </c>
      <c r="F9161" s="2" t="s">
        <v>583</v>
      </c>
      <c r="G9161" s="1">
        <v>4.3380000000000001</v>
      </c>
      <c r="H9161" s="1">
        <v>3</v>
      </c>
      <c r="I9161" s="1">
        <v>-3.0366</v>
      </c>
    </row>
    <row r="9162" spans="1:9" x14ac:dyDescent="0.35">
      <c r="A9162" s="3">
        <v>42621</v>
      </c>
      <c r="B9162" s="1" t="s">
        <v>2493</v>
      </c>
      <c r="C9162" s="1" t="s">
        <v>2981</v>
      </c>
      <c r="D9162" s="1" t="s">
        <v>171</v>
      </c>
      <c r="E9162" s="1" t="s">
        <v>35</v>
      </c>
      <c r="F9162" s="2" t="s">
        <v>1280</v>
      </c>
      <c r="G9162" s="1">
        <v>11.88</v>
      </c>
      <c r="H9162" s="1">
        <v>5</v>
      </c>
      <c r="I9162" s="1">
        <v>-7.92</v>
      </c>
    </row>
    <row r="9163" spans="1:9" x14ac:dyDescent="0.35">
      <c r="A9163" s="3">
        <v>42594</v>
      </c>
      <c r="B9163" s="1" t="s">
        <v>620</v>
      </c>
      <c r="C9163" s="1" t="s">
        <v>2442</v>
      </c>
      <c r="D9163" s="1" t="s">
        <v>57</v>
      </c>
      <c r="E9163" s="1" t="s">
        <v>12</v>
      </c>
      <c r="F9163" s="2" t="s">
        <v>2265</v>
      </c>
      <c r="G9163" s="1">
        <v>405.86</v>
      </c>
      <c r="H9163" s="1">
        <v>7</v>
      </c>
      <c r="I9163" s="1">
        <v>32.468800000000002</v>
      </c>
    </row>
    <row r="9164" spans="1:9" x14ac:dyDescent="0.35">
      <c r="A9164" s="3">
        <v>42594</v>
      </c>
      <c r="B9164" s="1" t="s">
        <v>620</v>
      </c>
      <c r="C9164" s="1" t="s">
        <v>2442</v>
      </c>
      <c r="D9164" s="1" t="s">
        <v>57</v>
      </c>
      <c r="E9164" s="1" t="s">
        <v>14</v>
      </c>
      <c r="F9164" s="2" t="s">
        <v>1108</v>
      </c>
      <c r="G9164" s="1">
        <v>680.01</v>
      </c>
      <c r="H9164" s="1">
        <v>3</v>
      </c>
      <c r="I9164" s="1">
        <v>176.80260000000001</v>
      </c>
    </row>
    <row r="9165" spans="1:9" x14ac:dyDescent="0.35">
      <c r="A9165" s="3">
        <v>42222</v>
      </c>
      <c r="B9165" s="1" t="s">
        <v>2674</v>
      </c>
      <c r="C9165" s="1" t="s">
        <v>154</v>
      </c>
      <c r="D9165" s="1" t="s">
        <v>106</v>
      </c>
      <c r="E9165" s="1" t="s">
        <v>81</v>
      </c>
      <c r="F9165" s="2" t="s">
        <v>2373</v>
      </c>
      <c r="G9165" s="1">
        <v>2.3759999999999999</v>
      </c>
      <c r="H9165" s="1">
        <v>3</v>
      </c>
      <c r="I9165" s="1">
        <v>0.74250000000000005</v>
      </c>
    </row>
    <row r="9166" spans="1:9" x14ac:dyDescent="0.35">
      <c r="A9166" s="3">
        <v>42222</v>
      </c>
      <c r="B9166" s="1" t="s">
        <v>2674</v>
      </c>
      <c r="C9166" s="1" t="s">
        <v>154</v>
      </c>
      <c r="D9166" s="1" t="s">
        <v>106</v>
      </c>
      <c r="E9166" s="1" t="s">
        <v>37</v>
      </c>
      <c r="F9166" s="2" t="s">
        <v>1434</v>
      </c>
      <c r="G9166" s="1">
        <v>143.12799999999999</v>
      </c>
      <c r="H9166" s="1">
        <v>2</v>
      </c>
      <c r="I9166" s="1">
        <v>-393.60199999999998</v>
      </c>
    </row>
    <row r="9167" spans="1:9" x14ac:dyDescent="0.35">
      <c r="A9167" s="3" t="s">
        <v>3411</v>
      </c>
      <c r="B9167" s="1" t="s">
        <v>333</v>
      </c>
      <c r="C9167" s="1" t="s">
        <v>461</v>
      </c>
      <c r="D9167" s="1" t="s">
        <v>18</v>
      </c>
      <c r="E9167" s="1" t="s">
        <v>338</v>
      </c>
      <c r="F9167" s="2" t="s">
        <v>3078</v>
      </c>
      <c r="G9167" s="1">
        <v>4476.8</v>
      </c>
      <c r="H9167" s="1">
        <v>4</v>
      </c>
      <c r="I9167" s="1">
        <v>503.64</v>
      </c>
    </row>
    <row r="9168" spans="1:9" x14ac:dyDescent="0.35">
      <c r="A9168" s="3" t="s">
        <v>3411</v>
      </c>
      <c r="B9168" s="1" t="s">
        <v>333</v>
      </c>
      <c r="C9168" s="1" t="s">
        <v>461</v>
      </c>
      <c r="D9168" s="1" t="s">
        <v>18</v>
      </c>
      <c r="E9168" s="1" t="s">
        <v>44</v>
      </c>
      <c r="F9168" s="2" t="s">
        <v>1639</v>
      </c>
      <c r="G9168" s="1">
        <v>104.85</v>
      </c>
      <c r="H9168" s="1">
        <v>1</v>
      </c>
      <c r="I9168" s="1">
        <v>50.328000000000003</v>
      </c>
    </row>
    <row r="9169" spans="1:9" x14ac:dyDescent="0.35">
      <c r="A9169" s="3" t="s">
        <v>3411</v>
      </c>
      <c r="B9169" s="1" t="s">
        <v>333</v>
      </c>
      <c r="C9169" s="1" t="s">
        <v>461</v>
      </c>
      <c r="D9169" s="1" t="s">
        <v>18</v>
      </c>
      <c r="E9169" s="1" t="s">
        <v>37</v>
      </c>
      <c r="F9169" s="2" t="s">
        <v>2369</v>
      </c>
      <c r="G9169" s="1">
        <v>241.44</v>
      </c>
      <c r="H9169" s="1">
        <v>3</v>
      </c>
      <c r="I9169" s="1">
        <v>72.432000000000002</v>
      </c>
    </row>
    <row r="9170" spans="1:9" x14ac:dyDescent="0.35">
      <c r="A9170" s="3" t="s">
        <v>3785</v>
      </c>
      <c r="B9170" s="1" t="s">
        <v>1192</v>
      </c>
      <c r="C9170" s="1" t="s">
        <v>167</v>
      </c>
      <c r="D9170" s="1" t="s">
        <v>704</v>
      </c>
      <c r="E9170" s="1" t="s">
        <v>44</v>
      </c>
      <c r="F9170" s="2" t="s">
        <v>1062</v>
      </c>
      <c r="G9170" s="1">
        <v>319.76</v>
      </c>
      <c r="H9170" s="1">
        <v>14</v>
      </c>
      <c r="I9170" s="1">
        <v>147.08959999999999</v>
      </c>
    </row>
    <row r="9171" spans="1:9" x14ac:dyDescent="0.35">
      <c r="A9171" s="3" t="s">
        <v>3785</v>
      </c>
      <c r="B9171" s="1" t="s">
        <v>1192</v>
      </c>
      <c r="C9171" s="1" t="s">
        <v>167</v>
      </c>
      <c r="D9171" s="1" t="s">
        <v>704</v>
      </c>
      <c r="E9171" s="1" t="s">
        <v>44</v>
      </c>
      <c r="F9171" s="2" t="s">
        <v>1062</v>
      </c>
      <c r="G9171" s="1">
        <v>45.68</v>
      </c>
      <c r="H9171" s="1">
        <v>2</v>
      </c>
      <c r="I9171" s="1">
        <v>21.012799999999999</v>
      </c>
    </row>
    <row r="9172" spans="1:9" x14ac:dyDescent="0.35">
      <c r="A9172" s="3">
        <v>42381</v>
      </c>
      <c r="B9172" s="1" t="s">
        <v>2522</v>
      </c>
      <c r="C9172" s="1" t="s">
        <v>2992</v>
      </c>
      <c r="D9172" s="1" t="s">
        <v>18</v>
      </c>
      <c r="E9172" s="1" t="s">
        <v>29</v>
      </c>
      <c r="F9172" s="2" t="s">
        <v>844</v>
      </c>
      <c r="G9172" s="1">
        <v>31.96</v>
      </c>
      <c r="H9172" s="1">
        <v>2</v>
      </c>
      <c r="I9172" s="1">
        <v>1.5980000000000001</v>
      </c>
    </row>
    <row r="9173" spans="1:9" x14ac:dyDescent="0.35">
      <c r="A9173" s="3">
        <v>42381</v>
      </c>
      <c r="B9173" s="1" t="s">
        <v>2522</v>
      </c>
      <c r="C9173" s="1" t="s">
        <v>2992</v>
      </c>
      <c r="D9173" s="1" t="s">
        <v>18</v>
      </c>
      <c r="E9173" s="1" t="s">
        <v>44</v>
      </c>
      <c r="F9173" s="2" t="s">
        <v>1771</v>
      </c>
      <c r="G9173" s="1">
        <v>47.9</v>
      </c>
      <c r="H9173" s="1">
        <v>1</v>
      </c>
      <c r="I9173" s="1">
        <v>22.992000000000001</v>
      </c>
    </row>
    <row r="9174" spans="1:9" x14ac:dyDescent="0.35">
      <c r="A9174" s="3">
        <v>42381</v>
      </c>
      <c r="B9174" s="1" t="s">
        <v>2522</v>
      </c>
      <c r="C9174" s="1" t="s">
        <v>2992</v>
      </c>
      <c r="D9174" s="1" t="s">
        <v>18</v>
      </c>
      <c r="E9174" s="1" t="s">
        <v>26</v>
      </c>
      <c r="F9174" s="2" t="s">
        <v>1480</v>
      </c>
      <c r="G9174" s="1">
        <v>1112.94</v>
      </c>
      <c r="H9174" s="1">
        <v>3</v>
      </c>
      <c r="I9174" s="1">
        <v>222.58799999999999</v>
      </c>
    </row>
    <row r="9175" spans="1:9" x14ac:dyDescent="0.35">
      <c r="A9175" s="3">
        <v>42381</v>
      </c>
      <c r="B9175" s="1" t="s">
        <v>2522</v>
      </c>
      <c r="C9175" s="1" t="s">
        <v>2992</v>
      </c>
      <c r="D9175" s="1" t="s">
        <v>18</v>
      </c>
      <c r="E9175" s="1" t="s">
        <v>87</v>
      </c>
      <c r="F9175" s="2" t="s">
        <v>1040</v>
      </c>
      <c r="G9175" s="1">
        <v>22.92</v>
      </c>
      <c r="H9175" s="1">
        <v>3</v>
      </c>
      <c r="I9175" s="1">
        <v>11.2308</v>
      </c>
    </row>
    <row r="9176" spans="1:9" x14ac:dyDescent="0.35">
      <c r="A9176" s="3">
        <v>43075</v>
      </c>
      <c r="B9176" s="1" t="s">
        <v>2924</v>
      </c>
      <c r="C9176" s="1" t="s">
        <v>1793</v>
      </c>
      <c r="D9176" s="1" t="s">
        <v>48</v>
      </c>
      <c r="E9176" s="1" t="s">
        <v>33</v>
      </c>
      <c r="F9176" s="2" t="s">
        <v>1665</v>
      </c>
      <c r="G9176" s="1">
        <v>71.975999999999999</v>
      </c>
      <c r="H9176" s="1">
        <v>3</v>
      </c>
      <c r="I9176" s="1">
        <v>8.9969999999999999</v>
      </c>
    </row>
    <row r="9177" spans="1:9" x14ac:dyDescent="0.35">
      <c r="A9177" s="3">
        <v>43075</v>
      </c>
      <c r="B9177" s="1" t="s">
        <v>2924</v>
      </c>
      <c r="C9177" s="1" t="s">
        <v>1793</v>
      </c>
      <c r="D9177" s="1" t="s">
        <v>48</v>
      </c>
      <c r="E9177" s="1" t="s">
        <v>44</v>
      </c>
      <c r="F9177" s="2" t="s">
        <v>1658</v>
      </c>
      <c r="G9177" s="1">
        <v>19.440000000000001</v>
      </c>
      <c r="H9177" s="1">
        <v>3</v>
      </c>
      <c r="I9177" s="1">
        <v>9.3312000000000008</v>
      </c>
    </row>
    <row r="9178" spans="1:9" x14ac:dyDescent="0.35">
      <c r="A9178" s="3" t="s">
        <v>3275</v>
      </c>
      <c r="B9178" s="1" t="s">
        <v>2035</v>
      </c>
      <c r="C9178" s="1" t="s">
        <v>2272</v>
      </c>
      <c r="D9178" s="1" t="s">
        <v>171</v>
      </c>
      <c r="E9178" s="1" t="s">
        <v>35</v>
      </c>
      <c r="F9178" s="2" t="s">
        <v>575</v>
      </c>
      <c r="G9178" s="1">
        <v>31.085999999999999</v>
      </c>
      <c r="H9178" s="1">
        <v>3</v>
      </c>
      <c r="I9178" s="1">
        <v>-20.724</v>
      </c>
    </row>
    <row r="9179" spans="1:9" x14ac:dyDescent="0.35">
      <c r="A9179" s="3" t="s">
        <v>3564</v>
      </c>
      <c r="B9179" s="1" t="s">
        <v>127</v>
      </c>
      <c r="C9179" s="1" t="s">
        <v>135</v>
      </c>
      <c r="D9179" s="1" t="s">
        <v>136</v>
      </c>
      <c r="E9179" s="1" t="s">
        <v>33</v>
      </c>
      <c r="F9179" s="2" t="s">
        <v>2849</v>
      </c>
      <c r="G9179" s="1">
        <v>13.98</v>
      </c>
      <c r="H9179" s="1">
        <v>2</v>
      </c>
      <c r="I9179" s="1">
        <v>3.9144000000000001</v>
      </c>
    </row>
    <row r="9180" spans="1:9" x14ac:dyDescent="0.35">
      <c r="A9180" s="3" t="s">
        <v>3564</v>
      </c>
      <c r="B9180" s="1" t="s">
        <v>127</v>
      </c>
      <c r="C9180" s="1" t="s">
        <v>135</v>
      </c>
      <c r="D9180" s="1" t="s">
        <v>136</v>
      </c>
      <c r="E9180" s="1" t="s">
        <v>31</v>
      </c>
      <c r="F9180" s="2" t="s">
        <v>2601</v>
      </c>
      <c r="G9180" s="1">
        <v>23.65</v>
      </c>
      <c r="H9180" s="1">
        <v>1</v>
      </c>
      <c r="I9180" s="1">
        <v>6.149</v>
      </c>
    </row>
    <row r="9181" spans="1:9" x14ac:dyDescent="0.35">
      <c r="A9181" s="3">
        <v>42924</v>
      </c>
      <c r="B9181" s="1" t="s">
        <v>598</v>
      </c>
      <c r="C9181" s="1" t="s">
        <v>1694</v>
      </c>
      <c r="D9181" s="1" t="s">
        <v>18</v>
      </c>
      <c r="E9181" s="1" t="s">
        <v>33</v>
      </c>
      <c r="F9181" s="2" t="s">
        <v>2563</v>
      </c>
      <c r="G9181" s="1">
        <v>707.88</v>
      </c>
      <c r="H9181" s="1">
        <v>3</v>
      </c>
      <c r="I9181" s="1">
        <v>44.2425</v>
      </c>
    </row>
    <row r="9182" spans="1:9" x14ac:dyDescent="0.35">
      <c r="A9182" s="3">
        <v>42924</v>
      </c>
      <c r="B9182" s="1" t="s">
        <v>598</v>
      </c>
      <c r="C9182" s="1" t="s">
        <v>1694</v>
      </c>
      <c r="D9182" s="1" t="s">
        <v>18</v>
      </c>
      <c r="E9182" s="1" t="s">
        <v>35</v>
      </c>
      <c r="F9182" s="2" t="s">
        <v>1045</v>
      </c>
      <c r="G9182" s="1">
        <v>11.952</v>
      </c>
      <c r="H9182" s="1">
        <v>3</v>
      </c>
      <c r="I9182" s="1">
        <v>4.1832000000000003</v>
      </c>
    </row>
    <row r="9183" spans="1:9" x14ac:dyDescent="0.35">
      <c r="A9183" s="3">
        <v>42924</v>
      </c>
      <c r="B9183" s="1" t="s">
        <v>598</v>
      </c>
      <c r="C9183" s="1" t="s">
        <v>1694</v>
      </c>
      <c r="D9183" s="1" t="s">
        <v>18</v>
      </c>
      <c r="E9183" s="1" t="s">
        <v>35</v>
      </c>
      <c r="F9183" s="2" t="s">
        <v>2738</v>
      </c>
      <c r="G9183" s="1">
        <v>31.128</v>
      </c>
      <c r="H9183" s="1">
        <v>3</v>
      </c>
      <c r="I9183" s="1">
        <v>11.673</v>
      </c>
    </row>
    <row r="9184" spans="1:9" x14ac:dyDescent="0.35">
      <c r="A9184" s="3">
        <v>42924</v>
      </c>
      <c r="B9184" s="1" t="s">
        <v>598</v>
      </c>
      <c r="C9184" s="1" t="s">
        <v>1694</v>
      </c>
      <c r="D9184" s="1" t="s">
        <v>18</v>
      </c>
      <c r="E9184" s="1" t="s">
        <v>81</v>
      </c>
      <c r="F9184" s="2" t="s">
        <v>2976</v>
      </c>
      <c r="G9184" s="1">
        <v>55.76</v>
      </c>
      <c r="H9184" s="1">
        <v>4</v>
      </c>
      <c r="I9184" s="1">
        <v>7.8064</v>
      </c>
    </row>
    <row r="9185" spans="1:9" x14ac:dyDescent="0.35">
      <c r="A9185" s="3">
        <v>42924</v>
      </c>
      <c r="B9185" s="1" t="s">
        <v>598</v>
      </c>
      <c r="C9185" s="1" t="s">
        <v>1694</v>
      </c>
      <c r="D9185" s="1" t="s">
        <v>18</v>
      </c>
      <c r="E9185" s="1" t="s">
        <v>44</v>
      </c>
      <c r="F9185" s="2" t="s">
        <v>595</v>
      </c>
      <c r="G9185" s="1">
        <v>24.56</v>
      </c>
      <c r="H9185" s="1">
        <v>2</v>
      </c>
      <c r="I9185" s="1">
        <v>11.543200000000001</v>
      </c>
    </row>
    <row r="9186" spans="1:9" x14ac:dyDescent="0.35">
      <c r="A9186" s="3">
        <v>42924</v>
      </c>
      <c r="B9186" s="1" t="s">
        <v>598</v>
      </c>
      <c r="C9186" s="1" t="s">
        <v>1694</v>
      </c>
      <c r="D9186" s="1" t="s">
        <v>18</v>
      </c>
      <c r="E9186" s="1" t="s">
        <v>29</v>
      </c>
      <c r="F9186" s="2" t="s">
        <v>86</v>
      </c>
      <c r="G9186" s="1">
        <v>51.75</v>
      </c>
      <c r="H9186" s="1">
        <v>1</v>
      </c>
      <c r="I9186" s="1">
        <v>15.525</v>
      </c>
    </row>
    <row r="9187" spans="1:9" x14ac:dyDescent="0.35">
      <c r="A9187" s="3">
        <v>42924</v>
      </c>
      <c r="B9187" s="1" t="s">
        <v>598</v>
      </c>
      <c r="C9187" s="1" t="s">
        <v>1694</v>
      </c>
      <c r="D9187" s="1" t="s">
        <v>18</v>
      </c>
      <c r="E9187" s="1" t="s">
        <v>14</v>
      </c>
      <c r="F9187" s="2" t="s">
        <v>3116</v>
      </c>
      <c r="G9187" s="1">
        <v>207.184</v>
      </c>
      <c r="H9187" s="1">
        <v>1</v>
      </c>
      <c r="I9187" s="1">
        <v>25.898</v>
      </c>
    </row>
    <row r="9188" spans="1:9" x14ac:dyDescent="0.35">
      <c r="A9188" s="3">
        <v>42924</v>
      </c>
      <c r="B9188" s="1" t="s">
        <v>598</v>
      </c>
      <c r="C9188" s="1" t="s">
        <v>1694</v>
      </c>
      <c r="D9188" s="1" t="s">
        <v>18</v>
      </c>
      <c r="E9188" s="1" t="s">
        <v>37</v>
      </c>
      <c r="F9188" s="2" t="s">
        <v>2008</v>
      </c>
      <c r="G9188" s="1">
        <v>1473.1</v>
      </c>
      <c r="H9188" s="1">
        <v>5</v>
      </c>
      <c r="I9188" s="1">
        <v>412.46800000000002</v>
      </c>
    </row>
    <row r="9189" spans="1:9" x14ac:dyDescent="0.35">
      <c r="A9189" s="3" t="s">
        <v>3577</v>
      </c>
      <c r="B9189" s="1" t="s">
        <v>2141</v>
      </c>
      <c r="C9189" s="1" t="s">
        <v>1725</v>
      </c>
      <c r="D9189" s="1" t="s">
        <v>75</v>
      </c>
      <c r="E9189" s="1" t="s">
        <v>289</v>
      </c>
      <c r="F9189" s="2" t="s">
        <v>614</v>
      </c>
      <c r="G9189" s="1">
        <v>3.488</v>
      </c>
      <c r="H9189" s="1">
        <v>2</v>
      </c>
      <c r="I9189" s="1">
        <v>-0.6976</v>
      </c>
    </row>
    <row r="9190" spans="1:9" x14ac:dyDescent="0.35">
      <c r="A9190" s="3" t="s">
        <v>3577</v>
      </c>
      <c r="B9190" s="1" t="s">
        <v>2141</v>
      </c>
      <c r="C9190" s="1" t="s">
        <v>1725</v>
      </c>
      <c r="D9190" s="1" t="s">
        <v>75</v>
      </c>
      <c r="E9190" s="1" t="s">
        <v>81</v>
      </c>
      <c r="F9190" s="2" t="s">
        <v>470</v>
      </c>
      <c r="G9190" s="1">
        <v>21.728000000000002</v>
      </c>
      <c r="H9190" s="1">
        <v>4</v>
      </c>
      <c r="I9190" s="1">
        <v>3.8024</v>
      </c>
    </row>
    <row r="9191" spans="1:9" x14ac:dyDescent="0.35">
      <c r="A9191" s="3" t="s">
        <v>3577</v>
      </c>
      <c r="B9191" s="1" t="s">
        <v>2141</v>
      </c>
      <c r="C9191" s="1" t="s">
        <v>1725</v>
      </c>
      <c r="D9191" s="1" t="s">
        <v>75</v>
      </c>
      <c r="E9191" s="1" t="s">
        <v>26</v>
      </c>
      <c r="F9191" s="2" t="s">
        <v>1585</v>
      </c>
      <c r="G9191" s="1">
        <v>663.072</v>
      </c>
      <c r="H9191" s="1">
        <v>6</v>
      </c>
      <c r="I9191" s="1">
        <v>-165.768</v>
      </c>
    </row>
    <row r="9192" spans="1:9" x14ac:dyDescent="0.35">
      <c r="A9192" s="3" t="s">
        <v>3577</v>
      </c>
      <c r="B9192" s="1" t="s">
        <v>2141</v>
      </c>
      <c r="C9192" s="1" t="s">
        <v>1725</v>
      </c>
      <c r="D9192" s="1" t="s">
        <v>75</v>
      </c>
      <c r="E9192" s="1" t="s">
        <v>35</v>
      </c>
      <c r="F9192" s="2" t="s">
        <v>1505</v>
      </c>
      <c r="G9192" s="1">
        <v>99.587999999999994</v>
      </c>
      <c r="H9192" s="1">
        <v>2</v>
      </c>
      <c r="I9192" s="1">
        <v>-82.99</v>
      </c>
    </row>
    <row r="9193" spans="1:9" x14ac:dyDescent="0.35">
      <c r="A9193" s="3" t="s">
        <v>3577</v>
      </c>
      <c r="B9193" s="1" t="s">
        <v>2141</v>
      </c>
      <c r="C9193" s="1" t="s">
        <v>1725</v>
      </c>
      <c r="D9193" s="1" t="s">
        <v>75</v>
      </c>
      <c r="E9193" s="1" t="s">
        <v>44</v>
      </c>
      <c r="F9193" s="2" t="s">
        <v>1304</v>
      </c>
      <c r="G9193" s="1">
        <v>49.567999999999998</v>
      </c>
      <c r="H9193" s="1">
        <v>2</v>
      </c>
      <c r="I9193" s="1">
        <v>15.49</v>
      </c>
    </row>
    <row r="9194" spans="1:9" x14ac:dyDescent="0.35">
      <c r="A9194" s="3">
        <v>42046</v>
      </c>
      <c r="B9194" s="1" t="s">
        <v>493</v>
      </c>
      <c r="C9194" s="1" t="s">
        <v>336</v>
      </c>
      <c r="D9194" s="1" t="s">
        <v>52</v>
      </c>
      <c r="E9194" s="1" t="s">
        <v>35</v>
      </c>
      <c r="F9194" s="2" t="s">
        <v>572</v>
      </c>
      <c r="G9194" s="1">
        <v>29.372</v>
      </c>
      <c r="H9194" s="1">
        <v>7</v>
      </c>
      <c r="I9194" s="1">
        <v>-46.995199999999997</v>
      </c>
    </row>
    <row r="9195" spans="1:9" x14ac:dyDescent="0.35">
      <c r="A9195" s="3">
        <v>42046</v>
      </c>
      <c r="B9195" s="1" t="s">
        <v>493</v>
      </c>
      <c r="C9195" s="1" t="s">
        <v>336</v>
      </c>
      <c r="D9195" s="1" t="s">
        <v>52</v>
      </c>
      <c r="E9195" s="1" t="s">
        <v>33</v>
      </c>
      <c r="F9195" s="2" t="s">
        <v>2483</v>
      </c>
      <c r="G9195" s="1">
        <v>344.70400000000001</v>
      </c>
      <c r="H9195" s="1">
        <v>2</v>
      </c>
      <c r="I9195" s="1">
        <v>38.779200000000003</v>
      </c>
    </row>
    <row r="9196" spans="1:9" x14ac:dyDescent="0.35">
      <c r="A9196" s="3" t="s">
        <v>3517</v>
      </c>
      <c r="B9196" s="1" t="s">
        <v>691</v>
      </c>
      <c r="C9196" s="1" t="s">
        <v>2824</v>
      </c>
      <c r="D9196" s="1" t="s">
        <v>158</v>
      </c>
      <c r="E9196" s="1" t="s">
        <v>289</v>
      </c>
      <c r="F9196" s="2" t="s">
        <v>2075</v>
      </c>
      <c r="G9196" s="1">
        <v>47.991999999999997</v>
      </c>
      <c r="H9196" s="1">
        <v>7</v>
      </c>
      <c r="I9196" s="1">
        <v>3.5994000000000002</v>
      </c>
    </row>
    <row r="9197" spans="1:9" x14ac:dyDescent="0.35">
      <c r="A9197" s="3" t="s">
        <v>3517</v>
      </c>
      <c r="B9197" s="1" t="s">
        <v>691</v>
      </c>
      <c r="C9197" s="1" t="s">
        <v>2824</v>
      </c>
      <c r="D9197" s="1" t="s">
        <v>158</v>
      </c>
      <c r="E9197" s="1" t="s">
        <v>81</v>
      </c>
      <c r="F9197" s="2" t="s">
        <v>2600</v>
      </c>
      <c r="G9197" s="1">
        <v>102.24</v>
      </c>
      <c r="H9197" s="1">
        <v>4</v>
      </c>
      <c r="I9197" s="1">
        <v>-16.614000000000001</v>
      </c>
    </row>
    <row r="9198" spans="1:9" x14ac:dyDescent="0.35">
      <c r="A9198" s="3">
        <v>41917</v>
      </c>
      <c r="B9198" s="1" t="s">
        <v>1501</v>
      </c>
      <c r="C9198" s="1" t="s">
        <v>314</v>
      </c>
      <c r="D9198" s="1" t="s">
        <v>18</v>
      </c>
      <c r="E9198" s="1" t="s">
        <v>44</v>
      </c>
      <c r="F9198" s="2" t="s">
        <v>2786</v>
      </c>
      <c r="G9198" s="1">
        <v>39.96</v>
      </c>
      <c r="H9198" s="1">
        <v>2</v>
      </c>
      <c r="I9198" s="1">
        <v>19.180800000000001</v>
      </c>
    </row>
    <row r="9199" spans="1:9" x14ac:dyDescent="0.35">
      <c r="A9199" s="3">
        <v>41917</v>
      </c>
      <c r="B9199" s="1" t="s">
        <v>1501</v>
      </c>
      <c r="C9199" s="1" t="s">
        <v>314</v>
      </c>
      <c r="D9199" s="1" t="s">
        <v>18</v>
      </c>
      <c r="E9199" s="1" t="s">
        <v>33</v>
      </c>
      <c r="F9199" s="2" t="s">
        <v>1865</v>
      </c>
      <c r="G9199" s="1">
        <v>1432</v>
      </c>
      <c r="H9199" s="1">
        <v>5</v>
      </c>
      <c r="I9199" s="1">
        <v>125.3</v>
      </c>
    </row>
    <row r="9200" spans="1:9" x14ac:dyDescent="0.35">
      <c r="A9200" s="3">
        <v>41917</v>
      </c>
      <c r="B9200" s="1" t="s">
        <v>1501</v>
      </c>
      <c r="C9200" s="1" t="s">
        <v>314</v>
      </c>
      <c r="D9200" s="1" t="s">
        <v>18</v>
      </c>
      <c r="E9200" s="1" t="s">
        <v>289</v>
      </c>
      <c r="F9200" s="2" t="s">
        <v>2876</v>
      </c>
      <c r="G9200" s="1">
        <v>41.04</v>
      </c>
      <c r="H9200" s="1">
        <v>6</v>
      </c>
      <c r="I9200" s="1">
        <v>11.0808</v>
      </c>
    </row>
    <row r="9201" spans="1:9" x14ac:dyDescent="0.35">
      <c r="A9201" s="3">
        <v>41917</v>
      </c>
      <c r="B9201" s="1" t="s">
        <v>1501</v>
      </c>
      <c r="C9201" s="1" t="s">
        <v>314</v>
      </c>
      <c r="D9201" s="1" t="s">
        <v>18</v>
      </c>
      <c r="E9201" s="1" t="s">
        <v>14</v>
      </c>
      <c r="F9201" s="2" t="s">
        <v>2455</v>
      </c>
      <c r="G9201" s="1">
        <v>256.78399999999999</v>
      </c>
      <c r="H9201" s="1">
        <v>1</v>
      </c>
      <c r="I9201" s="1">
        <v>32.097999999999999</v>
      </c>
    </row>
    <row r="9202" spans="1:9" x14ac:dyDescent="0.35">
      <c r="A9202" s="3" t="s">
        <v>3816</v>
      </c>
      <c r="B9202" s="1" t="s">
        <v>2816</v>
      </c>
      <c r="C9202" s="1" t="s">
        <v>2025</v>
      </c>
      <c r="D9202" s="1" t="s">
        <v>388</v>
      </c>
      <c r="E9202" s="1" t="s">
        <v>12</v>
      </c>
      <c r="F9202" s="2" t="s">
        <v>780</v>
      </c>
      <c r="G9202" s="1">
        <v>120.98</v>
      </c>
      <c r="H9202" s="1">
        <v>1</v>
      </c>
      <c r="I9202" s="1">
        <v>12.098000000000001</v>
      </c>
    </row>
    <row r="9203" spans="1:9" x14ac:dyDescent="0.35">
      <c r="A9203" s="3" t="s">
        <v>3816</v>
      </c>
      <c r="B9203" s="1" t="s">
        <v>2816</v>
      </c>
      <c r="C9203" s="1" t="s">
        <v>2025</v>
      </c>
      <c r="D9203" s="1" t="s">
        <v>388</v>
      </c>
      <c r="E9203" s="1" t="s">
        <v>35</v>
      </c>
      <c r="F9203" s="2" t="s">
        <v>715</v>
      </c>
      <c r="G9203" s="1">
        <v>315.98</v>
      </c>
      <c r="H9203" s="1">
        <v>1</v>
      </c>
      <c r="I9203" s="1">
        <v>148.51060000000001</v>
      </c>
    </row>
    <row r="9204" spans="1:9" x14ac:dyDescent="0.35">
      <c r="A9204" s="3" t="s">
        <v>3365</v>
      </c>
      <c r="B9204" s="1" t="s">
        <v>1970</v>
      </c>
      <c r="C9204" s="1" t="s">
        <v>135</v>
      </c>
      <c r="D9204" s="1" t="s">
        <v>136</v>
      </c>
      <c r="E9204" s="1" t="s">
        <v>35</v>
      </c>
      <c r="F9204" s="2" t="s">
        <v>2023</v>
      </c>
      <c r="G9204" s="1">
        <v>28.751999999999999</v>
      </c>
      <c r="H9204" s="1">
        <v>3</v>
      </c>
      <c r="I9204" s="1">
        <v>10.0632</v>
      </c>
    </row>
    <row r="9205" spans="1:9" x14ac:dyDescent="0.35">
      <c r="A9205" s="3" t="s">
        <v>3365</v>
      </c>
      <c r="B9205" s="1" t="s">
        <v>1970</v>
      </c>
      <c r="C9205" s="1" t="s">
        <v>135</v>
      </c>
      <c r="D9205" s="1" t="s">
        <v>136</v>
      </c>
      <c r="E9205" s="1" t="s">
        <v>31</v>
      </c>
      <c r="F9205" s="2" t="s">
        <v>2050</v>
      </c>
      <c r="G9205" s="1">
        <v>114.95</v>
      </c>
      <c r="H9205" s="1">
        <v>5</v>
      </c>
      <c r="I9205" s="1">
        <v>32.186</v>
      </c>
    </row>
    <row r="9206" spans="1:9" x14ac:dyDescent="0.35">
      <c r="A9206" s="3">
        <v>42381</v>
      </c>
      <c r="B9206" s="1" t="s">
        <v>389</v>
      </c>
      <c r="C9206" s="1" t="s">
        <v>17</v>
      </c>
      <c r="D9206" s="1" t="s">
        <v>18</v>
      </c>
      <c r="E9206" s="1" t="s">
        <v>31</v>
      </c>
      <c r="F9206" s="2" t="s">
        <v>286</v>
      </c>
      <c r="G9206" s="1">
        <v>23.04</v>
      </c>
      <c r="H9206" s="1">
        <v>8</v>
      </c>
      <c r="I9206" s="1">
        <v>6.9119999999999999</v>
      </c>
    </row>
    <row r="9207" spans="1:9" x14ac:dyDescent="0.35">
      <c r="A9207" s="3" t="s">
        <v>3805</v>
      </c>
      <c r="B9207" s="1" t="s">
        <v>1901</v>
      </c>
      <c r="C9207" s="1" t="s">
        <v>2936</v>
      </c>
      <c r="D9207" s="1" t="s">
        <v>368</v>
      </c>
      <c r="E9207" s="1" t="s">
        <v>31</v>
      </c>
      <c r="F9207" s="2" t="s">
        <v>1545</v>
      </c>
      <c r="G9207" s="1">
        <v>15.48</v>
      </c>
      <c r="H9207" s="1">
        <v>3</v>
      </c>
      <c r="I9207" s="1">
        <v>4.4892000000000003</v>
      </c>
    </row>
    <row r="9208" spans="1:9" x14ac:dyDescent="0.35">
      <c r="A9208" s="3" t="s">
        <v>3805</v>
      </c>
      <c r="B9208" s="1" t="s">
        <v>1901</v>
      </c>
      <c r="C9208" s="1" t="s">
        <v>2936</v>
      </c>
      <c r="D9208" s="1" t="s">
        <v>368</v>
      </c>
      <c r="E9208" s="1" t="s">
        <v>44</v>
      </c>
      <c r="F9208" s="2" t="s">
        <v>2869</v>
      </c>
      <c r="G9208" s="1">
        <v>51.84</v>
      </c>
      <c r="H9208" s="1">
        <v>8</v>
      </c>
      <c r="I9208" s="1">
        <v>24.883199999999999</v>
      </c>
    </row>
    <row r="9209" spans="1:9" x14ac:dyDescent="0.35">
      <c r="A9209" s="3">
        <v>42802</v>
      </c>
      <c r="B9209" s="1" t="s">
        <v>1641</v>
      </c>
      <c r="C9209" s="1" t="s">
        <v>269</v>
      </c>
      <c r="D9209" s="1" t="s">
        <v>106</v>
      </c>
      <c r="E9209" s="1" t="s">
        <v>81</v>
      </c>
      <c r="F9209" s="2" t="s">
        <v>2234</v>
      </c>
      <c r="G9209" s="1">
        <v>39.816000000000003</v>
      </c>
      <c r="H9209" s="1">
        <v>3</v>
      </c>
      <c r="I9209" s="1">
        <v>7.4654999999999996</v>
      </c>
    </row>
    <row r="9210" spans="1:9" x14ac:dyDescent="0.35">
      <c r="A9210" s="3">
        <v>42802</v>
      </c>
      <c r="B9210" s="1" t="s">
        <v>1974</v>
      </c>
      <c r="C9210" s="1" t="s">
        <v>47</v>
      </c>
      <c r="D9210" s="1" t="s">
        <v>48</v>
      </c>
      <c r="E9210" s="1" t="s">
        <v>26</v>
      </c>
      <c r="F9210" s="2" t="s">
        <v>2029</v>
      </c>
      <c r="G9210" s="1">
        <v>16.059999999999999</v>
      </c>
      <c r="H9210" s="1">
        <v>1</v>
      </c>
      <c r="I9210" s="1">
        <v>4.1756000000000002</v>
      </c>
    </row>
    <row r="9211" spans="1:9" x14ac:dyDescent="0.35">
      <c r="A9211" s="3">
        <v>43051</v>
      </c>
      <c r="B9211" s="1" t="s">
        <v>3117</v>
      </c>
      <c r="C9211" s="1" t="s">
        <v>1011</v>
      </c>
      <c r="D9211" s="1" t="s">
        <v>245</v>
      </c>
      <c r="E9211" s="1" t="s">
        <v>87</v>
      </c>
      <c r="F9211" s="2" t="s">
        <v>1763</v>
      </c>
      <c r="G9211" s="1">
        <v>7.28</v>
      </c>
      <c r="H9211" s="1">
        <v>1</v>
      </c>
      <c r="I9211" s="1">
        <v>3.4944000000000002</v>
      </c>
    </row>
    <row r="9212" spans="1:9" x14ac:dyDescent="0.35">
      <c r="A9212" s="3">
        <v>43051</v>
      </c>
      <c r="B9212" s="1" t="s">
        <v>3117</v>
      </c>
      <c r="C9212" s="1" t="s">
        <v>1011</v>
      </c>
      <c r="D9212" s="1" t="s">
        <v>245</v>
      </c>
      <c r="E9212" s="1" t="s">
        <v>35</v>
      </c>
      <c r="F9212" s="2" t="s">
        <v>1292</v>
      </c>
      <c r="G9212" s="1">
        <v>5.4</v>
      </c>
      <c r="H9212" s="1">
        <v>3</v>
      </c>
      <c r="I9212" s="1">
        <v>2.5920000000000001</v>
      </c>
    </row>
    <row r="9213" spans="1:9" x14ac:dyDescent="0.35">
      <c r="A9213" s="3" t="s">
        <v>3511</v>
      </c>
      <c r="B9213" s="1" t="s">
        <v>1718</v>
      </c>
      <c r="C9213" s="1" t="s">
        <v>283</v>
      </c>
      <c r="D9213" s="1" t="s">
        <v>18</v>
      </c>
      <c r="E9213" s="1" t="s">
        <v>44</v>
      </c>
      <c r="F9213" s="2" t="s">
        <v>525</v>
      </c>
      <c r="G9213" s="1">
        <v>19.440000000000001</v>
      </c>
      <c r="H9213" s="1">
        <v>3</v>
      </c>
      <c r="I9213" s="1">
        <v>9.3312000000000008</v>
      </c>
    </row>
    <row r="9214" spans="1:9" x14ac:dyDescent="0.35">
      <c r="A9214" s="3">
        <v>41863</v>
      </c>
      <c r="B9214" s="1" t="s">
        <v>959</v>
      </c>
      <c r="C9214" s="1" t="s">
        <v>64</v>
      </c>
      <c r="D9214" s="1" t="s">
        <v>18</v>
      </c>
      <c r="E9214" s="1" t="s">
        <v>29</v>
      </c>
      <c r="F9214" s="2" t="s">
        <v>152</v>
      </c>
      <c r="G9214" s="1">
        <v>39.880000000000003</v>
      </c>
      <c r="H9214" s="1">
        <v>2</v>
      </c>
      <c r="I9214" s="1">
        <v>11.166399999999999</v>
      </c>
    </row>
    <row r="9215" spans="1:9" x14ac:dyDescent="0.35">
      <c r="A9215" s="3">
        <v>41863</v>
      </c>
      <c r="B9215" s="1" t="s">
        <v>959</v>
      </c>
      <c r="C9215" s="1" t="s">
        <v>64</v>
      </c>
      <c r="D9215" s="1" t="s">
        <v>18</v>
      </c>
      <c r="E9215" s="1" t="s">
        <v>29</v>
      </c>
      <c r="F9215" s="2" t="s">
        <v>1834</v>
      </c>
      <c r="G9215" s="1">
        <v>79.44</v>
      </c>
      <c r="H9215" s="1">
        <v>3</v>
      </c>
      <c r="I9215" s="1">
        <v>28.598400000000002</v>
      </c>
    </row>
    <row r="9216" spans="1:9" x14ac:dyDescent="0.35">
      <c r="A9216" s="3" t="s">
        <v>3628</v>
      </c>
      <c r="B9216" s="1" t="s">
        <v>1921</v>
      </c>
      <c r="C9216" s="1" t="s">
        <v>74</v>
      </c>
      <c r="D9216" s="1" t="s">
        <v>75</v>
      </c>
      <c r="E9216" s="1" t="s">
        <v>19</v>
      </c>
      <c r="F9216" s="2" t="s">
        <v>3118</v>
      </c>
      <c r="G9216" s="1">
        <v>20.664000000000001</v>
      </c>
      <c r="H9216" s="1">
        <v>7</v>
      </c>
      <c r="I9216" s="1">
        <v>6.9741</v>
      </c>
    </row>
    <row r="9217" spans="1:9" x14ac:dyDescent="0.35">
      <c r="A9217" s="3" t="s">
        <v>3323</v>
      </c>
      <c r="B9217" s="1" t="s">
        <v>990</v>
      </c>
      <c r="C9217" s="1" t="s">
        <v>17</v>
      </c>
      <c r="D9217" s="1" t="s">
        <v>18</v>
      </c>
      <c r="E9217" s="1" t="s">
        <v>44</v>
      </c>
      <c r="F9217" s="2" t="s">
        <v>890</v>
      </c>
      <c r="G9217" s="1">
        <v>32.4</v>
      </c>
      <c r="H9217" s="1">
        <v>5</v>
      </c>
      <c r="I9217" s="1">
        <v>15.552</v>
      </c>
    </row>
    <row r="9218" spans="1:9" x14ac:dyDescent="0.35">
      <c r="A9218" s="3" t="s">
        <v>3207</v>
      </c>
      <c r="B9218" s="1" t="s">
        <v>2474</v>
      </c>
      <c r="C9218" s="1" t="s">
        <v>2627</v>
      </c>
      <c r="D9218" s="1" t="s">
        <v>52</v>
      </c>
      <c r="E9218" s="1" t="s">
        <v>37</v>
      </c>
      <c r="F9218" s="2" t="s">
        <v>53</v>
      </c>
      <c r="G9218" s="1">
        <v>13.762</v>
      </c>
      <c r="H9218" s="1">
        <v>1</v>
      </c>
      <c r="I9218" s="1">
        <v>-24.771599999999999</v>
      </c>
    </row>
    <row r="9219" spans="1:9" x14ac:dyDescent="0.35">
      <c r="A9219" s="3" t="s">
        <v>3621</v>
      </c>
      <c r="B9219" s="1" t="s">
        <v>2104</v>
      </c>
      <c r="C9219" s="1" t="s">
        <v>206</v>
      </c>
      <c r="D9219" s="1" t="s">
        <v>115</v>
      </c>
      <c r="E9219" s="1" t="s">
        <v>87</v>
      </c>
      <c r="F9219" s="2" t="s">
        <v>1159</v>
      </c>
      <c r="G9219" s="1">
        <v>15.28</v>
      </c>
      <c r="H9219" s="1">
        <v>2</v>
      </c>
      <c r="I9219" s="1">
        <v>7.4871999999999996</v>
      </c>
    </row>
    <row r="9220" spans="1:9" x14ac:dyDescent="0.35">
      <c r="A9220" s="3" t="s">
        <v>3193</v>
      </c>
      <c r="B9220" s="1" t="s">
        <v>1863</v>
      </c>
      <c r="C9220" s="1" t="s">
        <v>74</v>
      </c>
      <c r="D9220" s="1" t="s">
        <v>75</v>
      </c>
      <c r="E9220" s="1" t="s">
        <v>26</v>
      </c>
      <c r="F9220" s="2" t="s">
        <v>1456</v>
      </c>
      <c r="G9220" s="1">
        <v>44.688000000000002</v>
      </c>
      <c r="H9220" s="1">
        <v>7</v>
      </c>
      <c r="I9220" s="1">
        <v>3.3515999999999999</v>
      </c>
    </row>
    <row r="9221" spans="1:9" x14ac:dyDescent="0.35">
      <c r="A9221" s="3" t="s">
        <v>3193</v>
      </c>
      <c r="B9221" s="1" t="s">
        <v>1863</v>
      </c>
      <c r="C9221" s="1" t="s">
        <v>74</v>
      </c>
      <c r="D9221" s="1" t="s">
        <v>75</v>
      </c>
      <c r="E9221" s="1" t="s">
        <v>12</v>
      </c>
      <c r="F9221" s="2" t="s">
        <v>2204</v>
      </c>
      <c r="G9221" s="1">
        <v>301.47000000000003</v>
      </c>
      <c r="H9221" s="1">
        <v>3</v>
      </c>
      <c r="I9221" s="1">
        <v>-204.99959999999999</v>
      </c>
    </row>
    <row r="9222" spans="1:9" x14ac:dyDescent="0.35">
      <c r="A9222" s="3" t="s">
        <v>3316</v>
      </c>
      <c r="B9222" s="1" t="s">
        <v>2380</v>
      </c>
      <c r="C9222" s="1" t="s">
        <v>1799</v>
      </c>
      <c r="D9222" s="1" t="s">
        <v>362</v>
      </c>
      <c r="E9222" s="1" t="s">
        <v>19</v>
      </c>
      <c r="F9222" s="2" t="s">
        <v>2042</v>
      </c>
      <c r="G9222" s="1">
        <v>11.07</v>
      </c>
      <c r="H9222" s="1">
        <v>3</v>
      </c>
      <c r="I9222" s="1">
        <v>5.2028999999999996</v>
      </c>
    </row>
    <row r="9223" spans="1:9" x14ac:dyDescent="0.35">
      <c r="A9223" s="3" t="s">
        <v>3316</v>
      </c>
      <c r="B9223" s="1" t="s">
        <v>2380</v>
      </c>
      <c r="C9223" s="1" t="s">
        <v>1799</v>
      </c>
      <c r="D9223" s="1" t="s">
        <v>362</v>
      </c>
      <c r="E9223" s="1" t="s">
        <v>24</v>
      </c>
      <c r="F9223" s="2" t="s">
        <v>440</v>
      </c>
      <c r="G9223" s="1">
        <v>1504.52</v>
      </c>
      <c r="H9223" s="1">
        <v>4</v>
      </c>
      <c r="I9223" s="1">
        <v>346.03960000000001</v>
      </c>
    </row>
    <row r="9224" spans="1:9" x14ac:dyDescent="0.35">
      <c r="A9224" s="3" t="s">
        <v>3316</v>
      </c>
      <c r="B9224" s="1" t="s">
        <v>2380</v>
      </c>
      <c r="C9224" s="1" t="s">
        <v>1799</v>
      </c>
      <c r="D9224" s="1" t="s">
        <v>362</v>
      </c>
      <c r="E9224" s="1" t="s">
        <v>44</v>
      </c>
      <c r="F9224" s="2" t="s">
        <v>1860</v>
      </c>
      <c r="G9224" s="1">
        <v>25.92</v>
      </c>
      <c r="H9224" s="1">
        <v>4</v>
      </c>
      <c r="I9224" s="1">
        <v>12.441599999999999</v>
      </c>
    </row>
    <row r="9225" spans="1:9" x14ac:dyDescent="0.35">
      <c r="A9225" s="3">
        <v>42836</v>
      </c>
      <c r="B9225" s="1" t="s">
        <v>370</v>
      </c>
      <c r="C9225" s="1" t="s">
        <v>3119</v>
      </c>
      <c r="D9225" s="1" t="s">
        <v>52</v>
      </c>
      <c r="E9225" s="1" t="s">
        <v>35</v>
      </c>
      <c r="F9225" s="2" t="s">
        <v>2276</v>
      </c>
      <c r="G9225" s="1">
        <v>7.5359999999999996</v>
      </c>
      <c r="H9225" s="1">
        <v>6</v>
      </c>
      <c r="I9225" s="1">
        <v>-13.188000000000001</v>
      </c>
    </row>
    <row r="9226" spans="1:9" x14ac:dyDescent="0.35">
      <c r="A9226" s="3">
        <v>42836</v>
      </c>
      <c r="B9226" s="1" t="s">
        <v>370</v>
      </c>
      <c r="C9226" s="1" t="s">
        <v>3119</v>
      </c>
      <c r="D9226" s="1" t="s">
        <v>52</v>
      </c>
      <c r="E9226" s="1" t="s">
        <v>35</v>
      </c>
      <c r="F9226" s="2" t="s">
        <v>1149</v>
      </c>
      <c r="G9226" s="1">
        <v>1.4079999999999999</v>
      </c>
      <c r="H9226" s="1">
        <v>2</v>
      </c>
      <c r="I9226" s="1">
        <v>-2.3231999999999999</v>
      </c>
    </row>
    <row r="9227" spans="1:9" x14ac:dyDescent="0.35">
      <c r="A9227" s="3">
        <v>42836</v>
      </c>
      <c r="B9227" s="1" t="s">
        <v>370</v>
      </c>
      <c r="C9227" s="1" t="s">
        <v>3119</v>
      </c>
      <c r="D9227" s="1" t="s">
        <v>52</v>
      </c>
      <c r="E9227" s="1" t="s">
        <v>35</v>
      </c>
      <c r="F9227" s="2" t="s">
        <v>2495</v>
      </c>
      <c r="G9227" s="1">
        <v>4.1440000000000001</v>
      </c>
      <c r="H9227" s="1">
        <v>4</v>
      </c>
      <c r="I9227" s="1">
        <v>-6.4231999999999996</v>
      </c>
    </row>
    <row r="9228" spans="1:9" x14ac:dyDescent="0.35">
      <c r="A9228" s="3">
        <v>42836</v>
      </c>
      <c r="B9228" s="1" t="s">
        <v>370</v>
      </c>
      <c r="C9228" s="1" t="s">
        <v>3119</v>
      </c>
      <c r="D9228" s="1" t="s">
        <v>52</v>
      </c>
      <c r="E9228" s="1" t="s">
        <v>26</v>
      </c>
      <c r="F9228" s="2" t="s">
        <v>432</v>
      </c>
      <c r="G9228" s="1">
        <v>52.752000000000002</v>
      </c>
      <c r="H9228" s="1">
        <v>3</v>
      </c>
      <c r="I9228" s="1">
        <v>-12.528600000000001</v>
      </c>
    </row>
    <row r="9229" spans="1:9" x14ac:dyDescent="0.35">
      <c r="A9229" s="3" t="s">
        <v>3539</v>
      </c>
      <c r="B9229" s="1" t="s">
        <v>1575</v>
      </c>
      <c r="C9229" s="1" t="s">
        <v>17</v>
      </c>
      <c r="D9229" s="1" t="s">
        <v>18</v>
      </c>
      <c r="E9229" s="1" t="s">
        <v>37</v>
      </c>
      <c r="F9229" s="2" t="s">
        <v>2176</v>
      </c>
      <c r="G9229" s="1">
        <v>381.36</v>
      </c>
      <c r="H9229" s="1">
        <v>7</v>
      </c>
      <c r="I9229" s="1">
        <v>106.7808</v>
      </c>
    </row>
    <row r="9230" spans="1:9" x14ac:dyDescent="0.35">
      <c r="A9230" s="3">
        <v>41709</v>
      </c>
      <c r="B9230" s="1" t="s">
        <v>1555</v>
      </c>
      <c r="C9230" s="1" t="s">
        <v>17</v>
      </c>
      <c r="D9230" s="1" t="s">
        <v>18</v>
      </c>
      <c r="E9230" s="1" t="s">
        <v>31</v>
      </c>
      <c r="F9230" s="2" t="s">
        <v>147</v>
      </c>
      <c r="G9230" s="1">
        <v>6.72</v>
      </c>
      <c r="H9230" s="1">
        <v>4</v>
      </c>
      <c r="I9230" s="1">
        <v>3.36</v>
      </c>
    </row>
    <row r="9231" spans="1:9" x14ac:dyDescent="0.35">
      <c r="A9231" s="3" t="s">
        <v>3542</v>
      </c>
      <c r="B9231" s="1" t="s">
        <v>83</v>
      </c>
      <c r="C9231" s="1" t="s">
        <v>17</v>
      </c>
      <c r="D9231" s="1" t="s">
        <v>18</v>
      </c>
      <c r="E9231" s="1" t="s">
        <v>35</v>
      </c>
      <c r="F9231" s="2" t="s">
        <v>1452</v>
      </c>
      <c r="G9231" s="1">
        <v>15.192</v>
      </c>
      <c r="H9231" s="1">
        <v>3</v>
      </c>
      <c r="I9231" s="1">
        <v>5.5071000000000003</v>
      </c>
    </row>
    <row r="9232" spans="1:9" x14ac:dyDescent="0.35">
      <c r="A9232" s="3" t="s">
        <v>3542</v>
      </c>
      <c r="B9232" s="1" t="s">
        <v>83</v>
      </c>
      <c r="C9232" s="1" t="s">
        <v>17</v>
      </c>
      <c r="D9232" s="1" t="s">
        <v>18</v>
      </c>
      <c r="E9232" s="1" t="s">
        <v>44</v>
      </c>
      <c r="F9232" s="2" t="s">
        <v>1806</v>
      </c>
      <c r="G9232" s="1">
        <v>58.32</v>
      </c>
      <c r="H9232" s="1">
        <v>9</v>
      </c>
      <c r="I9232" s="1">
        <v>27.993600000000001</v>
      </c>
    </row>
    <row r="9233" spans="1:9" x14ac:dyDescent="0.35">
      <c r="A9233" s="3" t="s">
        <v>3310</v>
      </c>
      <c r="B9233" s="1" t="s">
        <v>993</v>
      </c>
      <c r="C9233" s="1" t="s">
        <v>272</v>
      </c>
      <c r="D9233" s="1" t="s">
        <v>158</v>
      </c>
      <c r="E9233" s="1" t="s">
        <v>35</v>
      </c>
      <c r="F9233" s="2" t="s">
        <v>259</v>
      </c>
      <c r="G9233" s="1">
        <v>946.76400000000001</v>
      </c>
      <c r="H9233" s="1">
        <v>6</v>
      </c>
      <c r="I9233" s="1">
        <v>-694.29359999999997</v>
      </c>
    </row>
    <row r="9234" spans="1:9" x14ac:dyDescent="0.35">
      <c r="A9234" s="3">
        <v>42409</v>
      </c>
      <c r="B9234" s="1" t="s">
        <v>916</v>
      </c>
      <c r="C9234" s="1" t="s">
        <v>17</v>
      </c>
      <c r="D9234" s="1" t="s">
        <v>18</v>
      </c>
      <c r="E9234" s="1" t="s">
        <v>29</v>
      </c>
      <c r="F9234" s="2" t="s">
        <v>1948</v>
      </c>
      <c r="G9234" s="1">
        <v>94.68</v>
      </c>
      <c r="H9234" s="1">
        <v>9</v>
      </c>
      <c r="I9234" s="1">
        <v>31.244399999999999</v>
      </c>
    </row>
    <row r="9235" spans="1:9" x14ac:dyDescent="0.35">
      <c r="A9235" s="3">
        <v>42409</v>
      </c>
      <c r="B9235" s="1" t="s">
        <v>916</v>
      </c>
      <c r="C9235" s="1" t="s">
        <v>17</v>
      </c>
      <c r="D9235" s="1" t="s">
        <v>18</v>
      </c>
      <c r="E9235" s="1" t="s">
        <v>26</v>
      </c>
      <c r="F9235" s="2" t="s">
        <v>2592</v>
      </c>
      <c r="G9235" s="1">
        <v>23.67</v>
      </c>
      <c r="H9235" s="1">
        <v>3</v>
      </c>
      <c r="I9235" s="1">
        <v>0.94679999999999997</v>
      </c>
    </row>
    <row r="9236" spans="1:9" x14ac:dyDescent="0.35">
      <c r="A9236" s="3">
        <v>42409</v>
      </c>
      <c r="B9236" s="1" t="s">
        <v>916</v>
      </c>
      <c r="C9236" s="1" t="s">
        <v>17</v>
      </c>
      <c r="D9236" s="1" t="s">
        <v>18</v>
      </c>
      <c r="E9236" s="1" t="s">
        <v>33</v>
      </c>
      <c r="F9236" s="2" t="s">
        <v>1122</v>
      </c>
      <c r="G9236" s="1">
        <v>1091.1679999999999</v>
      </c>
      <c r="H9236" s="1">
        <v>4</v>
      </c>
      <c r="I9236" s="1">
        <v>68.197999999999993</v>
      </c>
    </row>
    <row r="9237" spans="1:9" x14ac:dyDescent="0.35">
      <c r="A9237" s="3">
        <v>42409</v>
      </c>
      <c r="B9237" s="1" t="s">
        <v>916</v>
      </c>
      <c r="C9237" s="1" t="s">
        <v>17</v>
      </c>
      <c r="D9237" s="1" t="s">
        <v>18</v>
      </c>
      <c r="E9237" s="1" t="s">
        <v>31</v>
      </c>
      <c r="F9237" s="2" t="s">
        <v>1878</v>
      </c>
      <c r="G9237" s="1">
        <v>18.690000000000001</v>
      </c>
      <c r="H9237" s="1">
        <v>7</v>
      </c>
      <c r="I9237" s="1">
        <v>5.2332000000000001</v>
      </c>
    </row>
    <row r="9238" spans="1:9" x14ac:dyDescent="0.35">
      <c r="A9238" s="3">
        <v>42409</v>
      </c>
      <c r="B9238" s="1" t="s">
        <v>916</v>
      </c>
      <c r="C9238" s="1" t="s">
        <v>17</v>
      </c>
      <c r="D9238" s="1" t="s">
        <v>18</v>
      </c>
      <c r="E9238" s="1" t="s">
        <v>24</v>
      </c>
      <c r="F9238" s="2" t="s">
        <v>39</v>
      </c>
      <c r="G9238" s="1">
        <v>568.72799999999995</v>
      </c>
      <c r="H9238" s="1">
        <v>3</v>
      </c>
      <c r="I9238" s="1">
        <v>28.436399999999999</v>
      </c>
    </row>
    <row r="9239" spans="1:9" x14ac:dyDescent="0.35">
      <c r="A9239" s="3">
        <v>42409</v>
      </c>
      <c r="B9239" s="1" t="s">
        <v>916</v>
      </c>
      <c r="C9239" s="1" t="s">
        <v>17</v>
      </c>
      <c r="D9239" s="1" t="s">
        <v>18</v>
      </c>
      <c r="E9239" s="1" t="s">
        <v>35</v>
      </c>
      <c r="F9239" s="2" t="s">
        <v>2183</v>
      </c>
      <c r="G9239" s="1">
        <v>7.3120000000000003</v>
      </c>
      <c r="H9239" s="1">
        <v>1</v>
      </c>
      <c r="I9239" s="1">
        <v>2.5592000000000001</v>
      </c>
    </row>
    <row r="9240" spans="1:9" x14ac:dyDescent="0.35">
      <c r="A9240" s="3">
        <v>43041</v>
      </c>
      <c r="B9240" s="1" t="s">
        <v>2046</v>
      </c>
      <c r="C9240" s="1" t="s">
        <v>249</v>
      </c>
      <c r="D9240" s="1" t="s">
        <v>250</v>
      </c>
      <c r="E9240" s="1" t="s">
        <v>29</v>
      </c>
      <c r="F9240" s="2" t="s">
        <v>1272</v>
      </c>
      <c r="G9240" s="1">
        <v>147.56800000000001</v>
      </c>
      <c r="H9240" s="1">
        <v>2</v>
      </c>
      <c r="I9240" s="1">
        <v>-3.6892</v>
      </c>
    </row>
    <row r="9241" spans="1:9" x14ac:dyDescent="0.35">
      <c r="A9241" s="3" t="s">
        <v>3357</v>
      </c>
      <c r="B9241" s="1" t="s">
        <v>930</v>
      </c>
      <c r="C9241" s="1" t="s">
        <v>2267</v>
      </c>
      <c r="D9241" s="1" t="s">
        <v>23</v>
      </c>
      <c r="E9241" s="1" t="s">
        <v>44</v>
      </c>
      <c r="F9241" s="2" t="s">
        <v>94</v>
      </c>
      <c r="G9241" s="1">
        <v>56.783999999999999</v>
      </c>
      <c r="H9241" s="1">
        <v>7</v>
      </c>
      <c r="I9241" s="1">
        <v>20.584199999999999</v>
      </c>
    </row>
    <row r="9242" spans="1:9" x14ac:dyDescent="0.35">
      <c r="A9242" s="3" t="s">
        <v>3357</v>
      </c>
      <c r="B9242" s="1" t="s">
        <v>930</v>
      </c>
      <c r="C9242" s="1" t="s">
        <v>2267</v>
      </c>
      <c r="D9242" s="1" t="s">
        <v>23</v>
      </c>
      <c r="E9242" s="1" t="s">
        <v>35</v>
      </c>
      <c r="F9242" s="2" t="s">
        <v>1363</v>
      </c>
      <c r="G9242" s="1">
        <v>5.6070000000000002</v>
      </c>
      <c r="H9242" s="1">
        <v>3</v>
      </c>
      <c r="I9242" s="1">
        <v>-3.9249000000000001</v>
      </c>
    </row>
    <row r="9243" spans="1:9" x14ac:dyDescent="0.35">
      <c r="A9243" s="3" t="s">
        <v>3357</v>
      </c>
      <c r="B9243" s="1" t="s">
        <v>930</v>
      </c>
      <c r="C9243" s="1" t="s">
        <v>2267</v>
      </c>
      <c r="D9243" s="1" t="s">
        <v>23</v>
      </c>
      <c r="E9243" s="1" t="s">
        <v>31</v>
      </c>
      <c r="F9243" s="2" t="s">
        <v>812</v>
      </c>
      <c r="G9243" s="1">
        <v>6.5759999999999996</v>
      </c>
      <c r="H9243" s="1">
        <v>3</v>
      </c>
      <c r="I9243" s="1">
        <v>0.57540000000000002</v>
      </c>
    </row>
    <row r="9244" spans="1:9" x14ac:dyDescent="0.35">
      <c r="A9244" s="3">
        <v>41889</v>
      </c>
      <c r="B9244" s="1" t="s">
        <v>1065</v>
      </c>
      <c r="C9244" s="1" t="s">
        <v>64</v>
      </c>
      <c r="D9244" s="1" t="s">
        <v>18</v>
      </c>
      <c r="E9244" s="1" t="s">
        <v>35</v>
      </c>
      <c r="F9244" s="2" t="s">
        <v>224</v>
      </c>
      <c r="G9244" s="1">
        <v>14.304</v>
      </c>
      <c r="H9244" s="1">
        <v>6</v>
      </c>
      <c r="I9244" s="1">
        <v>4.6487999999999996</v>
      </c>
    </row>
    <row r="9245" spans="1:9" x14ac:dyDescent="0.35">
      <c r="A9245" s="3">
        <v>41889</v>
      </c>
      <c r="B9245" s="1" t="s">
        <v>1065</v>
      </c>
      <c r="C9245" s="1" t="s">
        <v>64</v>
      </c>
      <c r="D9245" s="1" t="s">
        <v>18</v>
      </c>
      <c r="E9245" s="1" t="s">
        <v>12</v>
      </c>
      <c r="F9245" s="2" t="s">
        <v>2668</v>
      </c>
      <c r="G9245" s="1">
        <v>119.833</v>
      </c>
      <c r="H9245" s="1">
        <v>1</v>
      </c>
      <c r="I9245" s="1">
        <v>7.0490000000000004</v>
      </c>
    </row>
    <row r="9246" spans="1:9" x14ac:dyDescent="0.35">
      <c r="A9246" s="3">
        <v>41889</v>
      </c>
      <c r="B9246" s="1" t="s">
        <v>1065</v>
      </c>
      <c r="C9246" s="1" t="s">
        <v>64</v>
      </c>
      <c r="D9246" s="1" t="s">
        <v>18</v>
      </c>
      <c r="E9246" s="1" t="s">
        <v>31</v>
      </c>
      <c r="F9246" s="2" t="s">
        <v>1782</v>
      </c>
      <c r="G9246" s="1">
        <v>5.56</v>
      </c>
      <c r="H9246" s="1">
        <v>2</v>
      </c>
      <c r="I9246" s="1">
        <v>2.2240000000000002</v>
      </c>
    </row>
    <row r="9247" spans="1:9" x14ac:dyDescent="0.35">
      <c r="A9247" s="3">
        <v>41889</v>
      </c>
      <c r="B9247" s="1" t="s">
        <v>1065</v>
      </c>
      <c r="C9247" s="1" t="s">
        <v>64</v>
      </c>
      <c r="D9247" s="1" t="s">
        <v>18</v>
      </c>
      <c r="E9247" s="1" t="s">
        <v>44</v>
      </c>
      <c r="F9247" s="2" t="s">
        <v>45</v>
      </c>
      <c r="G9247" s="1">
        <v>32.4</v>
      </c>
      <c r="H9247" s="1">
        <v>5</v>
      </c>
      <c r="I9247" s="1">
        <v>15.552</v>
      </c>
    </row>
    <row r="9248" spans="1:9" x14ac:dyDescent="0.35">
      <c r="A9248" s="3" t="s">
        <v>3659</v>
      </c>
      <c r="B9248" s="1" t="s">
        <v>2394</v>
      </c>
      <c r="C9248" s="1" t="s">
        <v>64</v>
      </c>
      <c r="D9248" s="1" t="s">
        <v>18</v>
      </c>
      <c r="E9248" s="1" t="s">
        <v>31</v>
      </c>
      <c r="F9248" s="2" t="s">
        <v>534</v>
      </c>
      <c r="G9248" s="1">
        <v>9.84</v>
      </c>
      <c r="H9248" s="1">
        <v>3</v>
      </c>
      <c r="I9248" s="1">
        <v>2.8536000000000001</v>
      </c>
    </row>
    <row r="9249" spans="1:9" x14ac:dyDescent="0.35">
      <c r="A9249" s="3" t="s">
        <v>3659</v>
      </c>
      <c r="B9249" s="1" t="s">
        <v>2394</v>
      </c>
      <c r="C9249" s="1" t="s">
        <v>64</v>
      </c>
      <c r="D9249" s="1" t="s">
        <v>18</v>
      </c>
      <c r="E9249" s="1" t="s">
        <v>31</v>
      </c>
      <c r="F9249" s="2" t="s">
        <v>608</v>
      </c>
      <c r="G9249" s="1">
        <v>2.78</v>
      </c>
      <c r="H9249" s="1">
        <v>1</v>
      </c>
      <c r="I9249" s="1">
        <v>0.7228</v>
      </c>
    </row>
    <row r="9250" spans="1:9" x14ac:dyDescent="0.35">
      <c r="A9250" s="3">
        <v>42654</v>
      </c>
      <c r="B9250" s="1" t="s">
        <v>1278</v>
      </c>
      <c r="C9250" s="1" t="s">
        <v>135</v>
      </c>
      <c r="D9250" s="1" t="s">
        <v>136</v>
      </c>
      <c r="E9250" s="1" t="s">
        <v>35</v>
      </c>
      <c r="F9250" s="2" t="s">
        <v>492</v>
      </c>
      <c r="G9250" s="1">
        <v>3.64</v>
      </c>
      <c r="H9250" s="1">
        <v>1</v>
      </c>
      <c r="I9250" s="1">
        <v>1.365</v>
      </c>
    </row>
    <row r="9251" spans="1:9" x14ac:dyDescent="0.35">
      <c r="A9251" s="3">
        <v>42654</v>
      </c>
      <c r="B9251" s="1" t="s">
        <v>1278</v>
      </c>
      <c r="C9251" s="1" t="s">
        <v>135</v>
      </c>
      <c r="D9251" s="1" t="s">
        <v>136</v>
      </c>
      <c r="E9251" s="1" t="s">
        <v>33</v>
      </c>
      <c r="F9251" s="2" t="s">
        <v>2350</v>
      </c>
      <c r="G9251" s="1">
        <v>881.93</v>
      </c>
      <c r="H9251" s="1">
        <v>7</v>
      </c>
      <c r="I9251" s="1">
        <v>220.48249999999999</v>
      </c>
    </row>
    <row r="9252" spans="1:9" x14ac:dyDescent="0.35">
      <c r="A9252" s="3">
        <v>42412</v>
      </c>
      <c r="B9252" s="1" t="s">
        <v>1662</v>
      </c>
      <c r="C9252" s="1" t="s">
        <v>2114</v>
      </c>
      <c r="D9252" s="1" t="s">
        <v>245</v>
      </c>
      <c r="E9252" s="1" t="s">
        <v>35</v>
      </c>
      <c r="F9252" s="2" t="s">
        <v>889</v>
      </c>
      <c r="G9252" s="1">
        <v>115.84</v>
      </c>
      <c r="H9252" s="1">
        <v>8</v>
      </c>
      <c r="I9252" s="1">
        <v>54.444800000000001</v>
      </c>
    </row>
    <row r="9253" spans="1:9" x14ac:dyDescent="0.35">
      <c r="A9253" s="3">
        <v>42769</v>
      </c>
      <c r="B9253" s="1" t="s">
        <v>2263</v>
      </c>
      <c r="C9253" s="1" t="s">
        <v>17</v>
      </c>
      <c r="D9253" s="1" t="s">
        <v>18</v>
      </c>
      <c r="E9253" s="1" t="s">
        <v>35</v>
      </c>
      <c r="F9253" s="2" t="s">
        <v>1812</v>
      </c>
      <c r="G9253" s="1">
        <v>107.648</v>
      </c>
      <c r="H9253" s="1">
        <v>2</v>
      </c>
      <c r="I9253" s="1">
        <v>33.64</v>
      </c>
    </row>
    <row r="9254" spans="1:9" x14ac:dyDescent="0.35">
      <c r="A9254" s="3" t="s">
        <v>3348</v>
      </c>
      <c r="B9254" s="1" t="s">
        <v>2947</v>
      </c>
      <c r="C9254" s="1" t="s">
        <v>3120</v>
      </c>
      <c r="D9254" s="1" t="s">
        <v>797</v>
      </c>
      <c r="E9254" s="1" t="s">
        <v>81</v>
      </c>
      <c r="F9254" s="2" t="s">
        <v>2028</v>
      </c>
      <c r="G9254" s="1">
        <v>199.95</v>
      </c>
      <c r="H9254" s="1">
        <v>5</v>
      </c>
      <c r="I9254" s="1">
        <v>63.984000000000002</v>
      </c>
    </row>
    <row r="9255" spans="1:9" x14ac:dyDescent="0.35">
      <c r="A9255" s="3" t="s">
        <v>3348</v>
      </c>
      <c r="B9255" s="1" t="s">
        <v>2947</v>
      </c>
      <c r="C9255" s="1" t="s">
        <v>3120</v>
      </c>
      <c r="D9255" s="1" t="s">
        <v>797</v>
      </c>
      <c r="E9255" s="1" t="s">
        <v>44</v>
      </c>
      <c r="F9255" s="2" t="s">
        <v>911</v>
      </c>
      <c r="G9255" s="1">
        <v>12.96</v>
      </c>
      <c r="H9255" s="1">
        <v>2</v>
      </c>
      <c r="I9255" s="1">
        <v>6.2207999999999997</v>
      </c>
    </row>
    <row r="9256" spans="1:9" x14ac:dyDescent="0.35">
      <c r="A9256" s="3">
        <v>41945</v>
      </c>
      <c r="B9256" s="1" t="s">
        <v>1179</v>
      </c>
      <c r="C9256" s="1" t="s">
        <v>193</v>
      </c>
      <c r="D9256" s="1" t="s">
        <v>298</v>
      </c>
      <c r="E9256" s="1" t="s">
        <v>14</v>
      </c>
      <c r="F9256" s="2" t="s">
        <v>155</v>
      </c>
      <c r="G9256" s="1">
        <v>60.89</v>
      </c>
      <c r="H9256" s="1">
        <v>1</v>
      </c>
      <c r="I9256" s="1">
        <v>15.2225</v>
      </c>
    </row>
    <row r="9257" spans="1:9" x14ac:dyDescent="0.35">
      <c r="A9257" s="3">
        <v>41945</v>
      </c>
      <c r="B9257" s="1" t="s">
        <v>1179</v>
      </c>
      <c r="C9257" s="1" t="s">
        <v>193</v>
      </c>
      <c r="D9257" s="1" t="s">
        <v>298</v>
      </c>
      <c r="E9257" s="1" t="s">
        <v>19</v>
      </c>
      <c r="F9257" s="2" t="s">
        <v>1200</v>
      </c>
      <c r="G9257" s="1">
        <v>14.94</v>
      </c>
      <c r="H9257" s="1">
        <v>3</v>
      </c>
      <c r="I9257" s="1">
        <v>6.8723999999999998</v>
      </c>
    </row>
    <row r="9258" spans="1:9" x14ac:dyDescent="0.35">
      <c r="A9258" s="3">
        <v>41945</v>
      </c>
      <c r="B9258" s="1" t="s">
        <v>1179</v>
      </c>
      <c r="C9258" s="1" t="s">
        <v>193</v>
      </c>
      <c r="D9258" s="1" t="s">
        <v>298</v>
      </c>
      <c r="E9258" s="1" t="s">
        <v>35</v>
      </c>
      <c r="F9258" s="2" t="s">
        <v>965</v>
      </c>
      <c r="G9258" s="1">
        <v>9.64</v>
      </c>
      <c r="H9258" s="1">
        <v>2</v>
      </c>
      <c r="I9258" s="1">
        <v>4.4344000000000001</v>
      </c>
    </row>
    <row r="9259" spans="1:9" x14ac:dyDescent="0.35">
      <c r="A9259" s="3">
        <v>41945</v>
      </c>
      <c r="B9259" s="1" t="s">
        <v>1179</v>
      </c>
      <c r="C9259" s="1" t="s">
        <v>193</v>
      </c>
      <c r="D9259" s="1" t="s">
        <v>298</v>
      </c>
      <c r="E9259" s="1" t="s">
        <v>29</v>
      </c>
      <c r="F9259" s="2" t="s">
        <v>2187</v>
      </c>
      <c r="G9259" s="1">
        <v>332.94</v>
      </c>
      <c r="H9259" s="1">
        <v>3</v>
      </c>
      <c r="I9259" s="1">
        <v>53.270400000000002</v>
      </c>
    </row>
    <row r="9260" spans="1:9" x14ac:dyDescent="0.35">
      <c r="A9260" s="3">
        <v>41945</v>
      </c>
      <c r="B9260" s="1" t="s">
        <v>1179</v>
      </c>
      <c r="C9260" s="1" t="s">
        <v>193</v>
      </c>
      <c r="D9260" s="1" t="s">
        <v>298</v>
      </c>
      <c r="E9260" s="1" t="s">
        <v>35</v>
      </c>
      <c r="F9260" s="2" t="s">
        <v>2435</v>
      </c>
      <c r="G9260" s="1">
        <v>51.9</v>
      </c>
      <c r="H9260" s="1">
        <v>3</v>
      </c>
      <c r="I9260" s="1">
        <v>24.393000000000001</v>
      </c>
    </row>
    <row r="9261" spans="1:9" x14ac:dyDescent="0.35">
      <c r="A9261" s="3">
        <v>41945</v>
      </c>
      <c r="B9261" s="1" t="s">
        <v>1179</v>
      </c>
      <c r="C9261" s="1" t="s">
        <v>193</v>
      </c>
      <c r="D9261" s="1" t="s">
        <v>298</v>
      </c>
      <c r="E9261" s="1" t="s">
        <v>26</v>
      </c>
      <c r="F9261" s="2" t="s">
        <v>1009</v>
      </c>
      <c r="G9261" s="1">
        <v>64.959999999999994</v>
      </c>
      <c r="H9261" s="1">
        <v>2</v>
      </c>
      <c r="I9261" s="1">
        <v>2.5983999999999998</v>
      </c>
    </row>
    <row r="9262" spans="1:9" x14ac:dyDescent="0.35">
      <c r="A9262" s="3">
        <v>43050</v>
      </c>
      <c r="B9262" s="1" t="s">
        <v>598</v>
      </c>
      <c r="C9262" s="1" t="s">
        <v>3121</v>
      </c>
      <c r="D9262" s="1" t="s">
        <v>2162</v>
      </c>
      <c r="E9262" s="1" t="s">
        <v>289</v>
      </c>
      <c r="F9262" s="2" t="s">
        <v>2958</v>
      </c>
      <c r="G9262" s="1">
        <v>25.5</v>
      </c>
      <c r="H9262" s="1">
        <v>3</v>
      </c>
      <c r="I9262" s="1">
        <v>6.63</v>
      </c>
    </row>
    <row r="9263" spans="1:9" x14ac:dyDescent="0.35">
      <c r="A9263" s="3">
        <v>42775</v>
      </c>
      <c r="B9263" s="1" t="s">
        <v>2581</v>
      </c>
      <c r="C9263" s="1" t="s">
        <v>47</v>
      </c>
      <c r="D9263" s="1" t="s">
        <v>48</v>
      </c>
      <c r="E9263" s="1" t="s">
        <v>14</v>
      </c>
      <c r="F9263" s="2" t="s">
        <v>133</v>
      </c>
      <c r="G9263" s="1">
        <v>215.976</v>
      </c>
      <c r="H9263" s="1">
        <v>3</v>
      </c>
      <c r="I9263" s="1">
        <v>-2.6997</v>
      </c>
    </row>
    <row r="9264" spans="1:9" x14ac:dyDescent="0.35">
      <c r="A9264" s="3">
        <v>42257</v>
      </c>
      <c r="B9264" s="1" t="s">
        <v>954</v>
      </c>
      <c r="C9264" s="1" t="s">
        <v>429</v>
      </c>
      <c r="D9264" s="1" t="s">
        <v>120</v>
      </c>
      <c r="E9264" s="1" t="s">
        <v>14</v>
      </c>
      <c r="F9264" s="2" t="s">
        <v>172</v>
      </c>
      <c r="G9264" s="1">
        <v>389.97</v>
      </c>
      <c r="H9264" s="1">
        <v>3</v>
      </c>
      <c r="I9264" s="1">
        <v>35.097299999999997</v>
      </c>
    </row>
    <row r="9265" spans="1:9" x14ac:dyDescent="0.35">
      <c r="A9265" s="3">
        <v>42257</v>
      </c>
      <c r="B9265" s="1" t="s">
        <v>954</v>
      </c>
      <c r="C9265" s="1" t="s">
        <v>429</v>
      </c>
      <c r="D9265" s="1" t="s">
        <v>120</v>
      </c>
      <c r="E9265" s="1" t="s">
        <v>37</v>
      </c>
      <c r="F9265" s="2" t="s">
        <v>1384</v>
      </c>
      <c r="G9265" s="1">
        <v>269.91000000000003</v>
      </c>
      <c r="H9265" s="1">
        <v>5</v>
      </c>
      <c r="I9265" s="1">
        <v>53.981999999999999</v>
      </c>
    </row>
    <row r="9266" spans="1:9" x14ac:dyDescent="0.35">
      <c r="A9266" s="3" t="s">
        <v>3207</v>
      </c>
      <c r="B9266" s="1" t="s">
        <v>803</v>
      </c>
      <c r="C9266" s="1" t="s">
        <v>170</v>
      </c>
      <c r="D9266" s="1" t="s">
        <v>171</v>
      </c>
      <c r="E9266" s="1" t="s">
        <v>35</v>
      </c>
      <c r="F9266" s="2" t="s">
        <v>2738</v>
      </c>
      <c r="G9266" s="1">
        <v>11.673</v>
      </c>
      <c r="H9266" s="1">
        <v>3</v>
      </c>
      <c r="I9266" s="1">
        <v>-7.782</v>
      </c>
    </row>
    <row r="9267" spans="1:9" x14ac:dyDescent="0.35">
      <c r="A9267" s="3" t="s">
        <v>3207</v>
      </c>
      <c r="B9267" s="1" t="s">
        <v>803</v>
      </c>
      <c r="C9267" s="1" t="s">
        <v>170</v>
      </c>
      <c r="D9267" s="1" t="s">
        <v>171</v>
      </c>
      <c r="E9267" s="1" t="s">
        <v>87</v>
      </c>
      <c r="F9267" s="2" t="s">
        <v>2874</v>
      </c>
      <c r="G9267" s="1">
        <v>64.847999999999999</v>
      </c>
      <c r="H9267" s="1">
        <v>7</v>
      </c>
      <c r="I9267" s="1">
        <v>24.318000000000001</v>
      </c>
    </row>
    <row r="9268" spans="1:9" x14ac:dyDescent="0.35">
      <c r="A9268" s="3">
        <v>41853</v>
      </c>
      <c r="B9268" s="1" t="s">
        <v>555</v>
      </c>
      <c r="C9268" s="1" t="s">
        <v>1719</v>
      </c>
      <c r="D9268" s="1" t="s">
        <v>659</v>
      </c>
      <c r="E9268" s="1" t="s">
        <v>29</v>
      </c>
      <c r="F9268" s="2" t="s">
        <v>2792</v>
      </c>
      <c r="G9268" s="1">
        <v>14.56</v>
      </c>
      <c r="H9268" s="1">
        <v>2</v>
      </c>
      <c r="I9268" s="1">
        <v>5.5327999999999999</v>
      </c>
    </row>
    <row r="9269" spans="1:9" x14ac:dyDescent="0.35">
      <c r="A9269" s="3" t="s">
        <v>3149</v>
      </c>
      <c r="B9269" s="1" t="s">
        <v>899</v>
      </c>
      <c r="C9269" s="1" t="s">
        <v>1593</v>
      </c>
      <c r="D9269" s="1" t="s">
        <v>136</v>
      </c>
      <c r="E9269" s="1" t="s">
        <v>14</v>
      </c>
      <c r="F9269" s="2" t="s">
        <v>2929</v>
      </c>
      <c r="G9269" s="1">
        <v>102.58199999999999</v>
      </c>
      <c r="H9269" s="1">
        <v>1</v>
      </c>
      <c r="I9269" s="1">
        <v>6.8388</v>
      </c>
    </row>
    <row r="9270" spans="1:9" x14ac:dyDescent="0.35">
      <c r="A9270" s="3" t="s">
        <v>3149</v>
      </c>
      <c r="B9270" s="1" t="s">
        <v>899</v>
      </c>
      <c r="C9270" s="1" t="s">
        <v>1593</v>
      </c>
      <c r="D9270" s="1" t="s">
        <v>136</v>
      </c>
      <c r="E9270" s="1" t="s">
        <v>44</v>
      </c>
      <c r="F9270" s="2" t="s">
        <v>1233</v>
      </c>
      <c r="G9270" s="1">
        <v>20.04</v>
      </c>
      <c r="H9270" s="1">
        <v>3</v>
      </c>
      <c r="I9270" s="1">
        <v>9.6191999999999993</v>
      </c>
    </row>
    <row r="9271" spans="1:9" x14ac:dyDescent="0.35">
      <c r="A9271" s="3" t="s">
        <v>3374</v>
      </c>
      <c r="B9271" s="1" t="s">
        <v>55</v>
      </c>
      <c r="C9271" s="1" t="s">
        <v>135</v>
      </c>
      <c r="D9271" s="1" t="s">
        <v>136</v>
      </c>
      <c r="E9271" s="1" t="s">
        <v>35</v>
      </c>
      <c r="F9271" s="2" t="s">
        <v>2582</v>
      </c>
      <c r="G9271" s="1">
        <v>32.088000000000001</v>
      </c>
      <c r="H9271" s="1">
        <v>7</v>
      </c>
      <c r="I9271" s="1">
        <v>11.2308</v>
      </c>
    </row>
    <row r="9272" spans="1:9" x14ac:dyDescent="0.35">
      <c r="A9272" s="3" t="s">
        <v>3374</v>
      </c>
      <c r="B9272" s="1" t="s">
        <v>55</v>
      </c>
      <c r="C9272" s="1" t="s">
        <v>135</v>
      </c>
      <c r="D9272" s="1" t="s">
        <v>136</v>
      </c>
      <c r="E9272" s="1" t="s">
        <v>35</v>
      </c>
      <c r="F9272" s="2" t="s">
        <v>1956</v>
      </c>
      <c r="G9272" s="1">
        <v>4305.5519999999997</v>
      </c>
      <c r="H9272" s="1">
        <v>6</v>
      </c>
      <c r="I9272" s="1">
        <v>1453.1238000000001</v>
      </c>
    </row>
    <row r="9273" spans="1:9" x14ac:dyDescent="0.35">
      <c r="A9273" s="3">
        <v>42709</v>
      </c>
      <c r="B9273" s="1" t="s">
        <v>1607</v>
      </c>
      <c r="C9273" s="1" t="s">
        <v>135</v>
      </c>
      <c r="D9273" s="1" t="s">
        <v>136</v>
      </c>
      <c r="E9273" s="1" t="s">
        <v>29</v>
      </c>
      <c r="F9273" s="2" t="s">
        <v>2553</v>
      </c>
      <c r="G9273" s="1">
        <v>10.02</v>
      </c>
      <c r="H9273" s="1">
        <v>3</v>
      </c>
      <c r="I9273" s="1">
        <v>4.4088000000000003</v>
      </c>
    </row>
    <row r="9274" spans="1:9" x14ac:dyDescent="0.35">
      <c r="A9274" s="3">
        <v>42709</v>
      </c>
      <c r="B9274" s="1" t="s">
        <v>1607</v>
      </c>
      <c r="C9274" s="1" t="s">
        <v>135</v>
      </c>
      <c r="D9274" s="1" t="s">
        <v>136</v>
      </c>
      <c r="E9274" s="1" t="s">
        <v>33</v>
      </c>
      <c r="F9274" s="2" t="s">
        <v>2242</v>
      </c>
      <c r="G9274" s="1">
        <v>631.96</v>
      </c>
      <c r="H9274" s="1">
        <v>4</v>
      </c>
      <c r="I9274" s="1">
        <v>303.3408</v>
      </c>
    </row>
    <row r="9275" spans="1:9" x14ac:dyDescent="0.35">
      <c r="A9275" s="3">
        <v>42775</v>
      </c>
      <c r="B9275" s="1" t="s">
        <v>477</v>
      </c>
      <c r="C9275" s="1" t="s">
        <v>10</v>
      </c>
      <c r="D9275" s="1" t="s">
        <v>11</v>
      </c>
      <c r="E9275" s="1" t="s">
        <v>35</v>
      </c>
      <c r="F9275" s="2" t="s">
        <v>259</v>
      </c>
      <c r="G9275" s="1">
        <v>1577.94</v>
      </c>
      <c r="H9275" s="1">
        <v>3</v>
      </c>
      <c r="I9275" s="1">
        <v>757.41120000000001</v>
      </c>
    </row>
    <row r="9276" spans="1:9" x14ac:dyDescent="0.35">
      <c r="A9276" s="3">
        <v>41922</v>
      </c>
      <c r="B9276" s="1" t="s">
        <v>2590</v>
      </c>
      <c r="C9276" s="1" t="s">
        <v>2209</v>
      </c>
      <c r="D9276" s="1" t="s">
        <v>331</v>
      </c>
      <c r="E9276" s="1" t="s">
        <v>31</v>
      </c>
      <c r="F9276" s="2" t="s">
        <v>3079</v>
      </c>
      <c r="G9276" s="1">
        <v>255.85</v>
      </c>
      <c r="H9276" s="1">
        <v>7</v>
      </c>
      <c r="I9276" s="1">
        <v>112.574</v>
      </c>
    </row>
    <row r="9277" spans="1:9" x14ac:dyDescent="0.35">
      <c r="A9277" s="3" t="s">
        <v>3353</v>
      </c>
      <c r="B9277" s="1" t="s">
        <v>1577</v>
      </c>
      <c r="C9277" s="1" t="s">
        <v>3008</v>
      </c>
      <c r="D9277" s="1" t="s">
        <v>23</v>
      </c>
      <c r="E9277" s="1" t="s">
        <v>26</v>
      </c>
      <c r="F9277" s="2" t="s">
        <v>2360</v>
      </c>
      <c r="G9277" s="1">
        <v>184.70400000000001</v>
      </c>
      <c r="H9277" s="1">
        <v>6</v>
      </c>
      <c r="I9277" s="1">
        <v>13.8528</v>
      </c>
    </row>
    <row r="9278" spans="1:9" x14ac:dyDescent="0.35">
      <c r="A9278" s="3" t="s">
        <v>3353</v>
      </c>
      <c r="B9278" s="1" t="s">
        <v>1577</v>
      </c>
      <c r="C9278" s="1" t="s">
        <v>3008</v>
      </c>
      <c r="D9278" s="1" t="s">
        <v>23</v>
      </c>
      <c r="E9278" s="1" t="s">
        <v>81</v>
      </c>
      <c r="F9278" s="2" t="s">
        <v>956</v>
      </c>
      <c r="G9278" s="1">
        <v>47.92</v>
      </c>
      <c r="H9278" s="1">
        <v>2</v>
      </c>
      <c r="I9278" s="1">
        <v>11.98</v>
      </c>
    </row>
    <row r="9279" spans="1:9" x14ac:dyDescent="0.35">
      <c r="A9279" s="3">
        <v>42747</v>
      </c>
      <c r="B9279" s="1" t="s">
        <v>972</v>
      </c>
      <c r="C9279" s="1" t="s">
        <v>74</v>
      </c>
      <c r="D9279" s="1" t="s">
        <v>75</v>
      </c>
      <c r="E9279" s="1" t="s">
        <v>19</v>
      </c>
      <c r="F9279" s="2" t="s">
        <v>1200</v>
      </c>
      <c r="G9279" s="1">
        <v>15.936</v>
      </c>
      <c r="H9279" s="1">
        <v>4</v>
      </c>
      <c r="I9279" s="1">
        <v>5.1791999999999998</v>
      </c>
    </row>
    <row r="9280" spans="1:9" x14ac:dyDescent="0.35">
      <c r="A9280" s="3">
        <v>42747</v>
      </c>
      <c r="B9280" s="1" t="s">
        <v>972</v>
      </c>
      <c r="C9280" s="1" t="s">
        <v>74</v>
      </c>
      <c r="D9280" s="1" t="s">
        <v>75</v>
      </c>
      <c r="E9280" s="1" t="s">
        <v>35</v>
      </c>
      <c r="F9280" s="2" t="s">
        <v>1268</v>
      </c>
      <c r="G9280" s="1">
        <v>8.0009999999999994</v>
      </c>
      <c r="H9280" s="1">
        <v>7</v>
      </c>
      <c r="I9280" s="1">
        <v>-5.6006999999999998</v>
      </c>
    </row>
    <row r="9281" spans="1:9" x14ac:dyDescent="0.35">
      <c r="A9281" s="3">
        <v>42747</v>
      </c>
      <c r="B9281" s="1" t="s">
        <v>972</v>
      </c>
      <c r="C9281" s="1" t="s">
        <v>74</v>
      </c>
      <c r="D9281" s="1" t="s">
        <v>75</v>
      </c>
      <c r="E9281" s="1" t="s">
        <v>14</v>
      </c>
      <c r="F9281" s="2" t="s">
        <v>836</v>
      </c>
      <c r="G9281" s="1">
        <v>398.97199999999998</v>
      </c>
      <c r="H9281" s="1">
        <v>2</v>
      </c>
      <c r="I9281" s="1">
        <v>-28.498000000000001</v>
      </c>
    </row>
    <row r="9282" spans="1:9" x14ac:dyDescent="0.35">
      <c r="A9282" s="3" t="s">
        <v>3390</v>
      </c>
      <c r="B9282" s="1" t="s">
        <v>2566</v>
      </c>
      <c r="C9282" s="1" t="s">
        <v>47</v>
      </c>
      <c r="D9282" s="1" t="s">
        <v>48</v>
      </c>
      <c r="E9282" s="1" t="s">
        <v>12</v>
      </c>
      <c r="F9282" s="2" t="s">
        <v>2718</v>
      </c>
      <c r="G9282" s="1">
        <v>163.88</v>
      </c>
      <c r="H9282" s="1">
        <v>2</v>
      </c>
      <c r="I9282" s="1">
        <v>40.97</v>
      </c>
    </row>
    <row r="9283" spans="1:9" x14ac:dyDescent="0.35">
      <c r="A9283" s="3">
        <v>43048</v>
      </c>
      <c r="B9283" s="1" t="s">
        <v>382</v>
      </c>
      <c r="C9283" s="1" t="s">
        <v>693</v>
      </c>
      <c r="D9283" s="1" t="s">
        <v>163</v>
      </c>
      <c r="E9283" s="1" t="s">
        <v>37</v>
      </c>
      <c r="F9283" s="2" t="s">
        <v>3064</v>
      </c>
      <c r="G9283" s="1">
        <v>67.900000000000006</v>
      </c>
      <c r="H9283" s="1">
        <v>5</v>
      </c>
      <c r="I9283" s="1">
        <v>20.37</v>
      </c>
    </row>
    <row r="9284" spans="1:9" x14ac:dyDescent="0.35">
      <c r="A9284" s="3" t="s">
        <v>3507</v>
      </c>
      <c r="B9284" s="1" t="s">
        <v>2525</v>
      </c>
      <c r="C9284" s="1" t="s">
        <v>3031</v>
      </c>
      <c r="D9284" s="1" t="s">
        <v>23</v>
      </c>
      <c r="E9284" s="1" t="s">
        <v>44</v>
      </c>
      <c r="F9284" s="2" t="s">
        <v>2386</v>
      </c>
      <c r="G9284" s="1">
        <v>72.224000000000004</v>
      </c>
      <c r="H9284" s="1">
        <v>4</v>
      </c>
      <c r="I9284" s="1">
        <v>25.278400000000001</v>
      </c>
    </row>
    <row r="9285" spans="1:9" x14ac:dyDescent="0.35">
      <c r="A9285" s="3">
        <v>42775</v>
      </c>
      <c r="B9285" s="1" t="s">
        <v>2010</v>
      </c>
      <c r="C9285" s="1" t="s">
        <v>2167</v>
      </c>
      <c r="D9285" s="1" t="s">
        <v>229</v>
      </c>
      <c r="E9285" s="1" t="s">
        <v>19</v>
      </c>
      <c r="F9285" s="2" t="s">
        <v>323</v>
      </c>
      <c r="G9285" s="1">
        <v>11.696</v>
      </c>
      <c r="H9285" s="1">
        <v>2</v>
      </c>
      <c r="I9285" s="1">
        <v>3.9474</v>
      </c>
    </row>
    <row r="9286" spans="1:9" x14ac:dyDescent="0.35">
      <c r="A9286" s="3" t="s">
        <v>3368</v>
      </c>
      <c r="B9286" s="1" t="s">
        <v>611</v>
      </c>
      <c r="C9286" s="1" t="s">
        <v>306</v>
      </c>
      <c r="D9286" s="1" t="s">
        <v>57</v>
      </c>
      <c r="E9286" s="1" t="s">
        <v>14</v>
      </c>
      <c r="F9286" s="2" t="s">
        <v>960</v>
      </c>
      <c r="G9286" s="1">
        <v>392.94</v>
      </c>
      <c r="H9286" s="1">
        <v>3</v>
      </c>
      <c r="I9286" s="1">
        <v>43.223399999999998</v>
      </c>
    </row>
    <row r="9287" spans="1:9" x14ac:dyDescent="0.35">
      <c r="A9287" s="3" t="s">
        <v>3383</v>
      </c>
      <c r="B9287" s="1" t="s">
        <v>2088</v>
      </c>
      <c r="C9287" s="1" t="s">
        <v>361</v>
      </c>
      <c r="D9287" s="1" t="s">
        <v>43</v>
      </c>
      <c r="E9287" s="1" t="s">
        <v>29</v>
      </c>
      <c r="F9287" s="2" t="s">
        <v>425</v>
      </c>
      <c r="G9287" s="1">
        <v>18.175999999999998</v>
      </c>
      <c r="H9287" s="1">
        <v>1</v>
      </c>
      <c r="I9287" s="1">
        <v>4.7712000000000003</v>
      </c>
    </row>
    <row r="9288" spans="1:9" x14ac:dyDescent="0.35">
      <c r="A9288" s="3" t="s">
        <v>3502</v>
      </c>
      <c r="B9288" s="1" t="s">
        <v>1740</v>
      </c>
      <c r="C9288" s="1" t="s">
        <v>399</v>
      </c>
      <c r="D9288" s="1" t="s">
        <v>52</v>
      </c>
      <c r="E9288" s="1" t="s">
        <v>35</v>
      </c>
      <c r="F9288" s="2" t="s">
        <v>2365</v>
      </c>
      <c r="G9288" s="1">
        <v>6.8879999999999999</v>
      </c>
      <c r="H9288" s="1">
        <v>3</v>
      </c>
      <c r="I9288" s="1">
        <v>-11.020799999999999</v>
      </c>
    </row>
    <row r="9289" spans="1:9" x14ac:dyDescent="0.35">
      <c r="A9289" s="3" t="s">
        <v>3502</v>
      </c>
      <c r="B9289" s="1" t="s">
        <v>1740</v>
      </c>
      <c r="C9289" s="1" t="s">
        <v>399</v>
      </c>
      <c r="D9289" s="1" t="s">
        <v>52</v>
      </c>
      <c r="E9289" s="1" t="s">
        <v>24</v>
      </c>
      <c r="F9289" s="2" t="s">
        <v>997</v>
      </c>
      <c r="G9289" s="1">
        <v>457.48500000000001</v>
      </c>
      <c r="H9289" s="1">
        <v>3</v>
      </c>
      <c r="I9289" s="1">
        <v>-84.961500000000001</v>
      </c>
    </row>
    <row r="9290" spans="1:9" x14ac:dyDescent="0.35">
      <c r="A9290" s="3" t="s">
        <v>3329</v>
      </c>
      <c r="B9290" s="1" t="s">
        <v>2073</v>
      </c>
      <c r="C9290" s="1" t="s">
        <v>74</v>
      </c>
      <c r="D9290" s="1" t="s">
        <v>75</v>
      </c>
      <c r="E9290" s="1" t="s">
        <v>14</v>
      </c>
      <c r="F9290" s="2" t="s">
        <v>1972</v>
      </c>
      <c r="G9290" s="1">
        <v>1079.316</v>
      </c>
      <c r="H9290" s="1">
        <v>6</v>
      </c>
      <c r="I9290" s="1">
        <v>-15.418799999999999</v>
      </c>
    </row>
    <row r="9291" spans="1:9" x14ac:dyDescent="0.35">
      <c r="A9291" s="3" t="s">
        <v>3389</v>
      </c>
      <c r="B9291" s="1" t="s">
        <v>555</v>
      </c>
      <c r="C9291" s="1" t="s">
        <v>64</v>
      </c>
      <c r="D9291" s="1" t="s">
        <v>18</v>
      </c>
      <c r="E9291" s="1" t="s">
        <v>44</v>
      </c>
      <c r="F9291" s="2" t="s">
        <v>1966</v>
      </c>
      <c r="G9291" s="1">
        <v>48.91</v>
      </c>
      <c r="H9291" s="1">
        <v>1</v>
      </c>
      <c r="I9291" s="1">
        <v>22.9877</v>
      </c>
    </row>
    <row r="9292" spans="1:9" x14ac:dyDescent="0.35">
      <c r="A9292" s="3" t="s">
        <v>3379</v>
      </c>
      <c r="B9292" s="1" t="s">
        <v>2258</v>
      </c>
      <c r="C9292" s="1" t="s">
        <v>123</v>
      </c>
      <c r="D9292" s="1" t="s">
        <v>124</v>
      </c>
      <c r="E9292" s="1" t="s">
        <v>31</v>
      </c>
      <c r="F9292" s="2" t="s">
        <v>1420</v>
      </c>
      <c r="G9292" s="1">
        <v>9.84</v>
      </c>
      <c r="H9292" s="1">
        <v>3</v>
      </c>
      <c r="I9292" s="1">
        <v>2.8536000000000001</v>
      </c>
    </row>
    <row r="9293" spans="1:9" x14ac:dyDescent="0.35">
      <c r="A9293" s="3" t="s">
        <v>3379</v>
      </c>
      <c r="B9293" s="1" t="s">
        <v>2258</v>
      </c>
      <c r="C9293" s="1" t="s">
        <v>123</v>
      </c>
      <c r="D9293" s="1" t="s">
        <v>124</v>
      </c>
      <c r="E9293" s="1" t="s">
        <v>35</v>
      </c>
      <c r="F9293" s="2" t="s">
        <v>1716</v>
      </c>
      <c r="G9293" s="1">
        <v>34.5</v>
      </c>
      <c r="H9293" s="1">
        <v>3</v>
      </c>
      <c r="I9293" s="1">
        <v>15.525</v>
      </c>
    </row>
    <row r="9294" spans="1:9" x14ac:dyDescent="0.35">
      <c r="A9294" s="3">
        <v>42769</v>
      </c>
      <c r="B9294" s="1" t="s">
        <v>1041</v>
      </c>
      <c r="C9294" s="1" t="s">
        <v>2873</v>
      </c>
      <c r="D9294" s="1" t="s">
        <v>52</v>
      </c>
      <c r="E9294" s="1" t="s">
        <v>35</v>
      </c>
      <c r="F9294" s="2" t="s">
        <v>1301</v>
      </c>
      <c r="G9294" s="1">
        <v>0.55600000000000005</v>
      </c>
      <c r="H9294" s="1">
        <v>1</v>
      </c>
      <c r="I9294" s="1">
        <v>-0.94520000000000004</v>
      </c>
    </row>
    <row r="9295" spans="1:9" x14ac:dyDescent="0.35">
      <c r="A9295" s="3" t="s">
        <v>3272</v>
      </c>
      <c r="B9295" s="1" t="s">
        <v>2073</v>
      </c>
      <c r="C9295" s="1" t="s">
        <v>3122</v>
      </c>
      <c r="D9295" s="1" t="s">
        <v>1217</v>
      </c>
      <c r="E9295" s="1" t="s">
        <v>35</v>
      </c>
      <c r="F9295" s="2" t="s">
        <v>649</v>
      </c>
      <c r="G9295" s="1">
        <v>43.8</v>
      </c>
      <c r="H9295" s="1">
        <v>6</v>
      </c>
      <c r="I9295" s="1">
        <v>20.585999999999999</v>
      </c>
    </row>
    <row r="9296" spans="1:9" x14ac:dyDescent="0.35">
      <c r="A9296" s="3" t="s">
        <v>3166</v>
      </c>
      <c r="B9296" s="1" t="s">
        <v>372</v>
      </c>
      <c r="C9296" s="1" t="s">
        <v>994</v>
      </c>
      <c r="D9296" s="1" t="s">
        <v>250</v>
      </c>
      <c r="E9296" s="1" t="s">
        <v>44</v>
      </c>
      <c r="F9296" s="2" t="s">
        <v>1696</v>
      </c>
      <c r="G9296" s="1">
        <v>13.872</v>
      </c>
      <c r="H9296" s="1">
        <v>3</v>
      </c>
      <c r="I9296" s="1">
        <v>5.0286</v>
      </c>
    </row>
    <row r="9297" spans="1:9" x14ac:dyDescent="0.35">
      <c r="A9297" s="3" t="s">
        <v>3166</v>
      </c>
      <c r="B9297" s="1" t="s">
        <v>372</v>
      </c>
      <c r="C9297" s="1" t="s">
        <v>994</v>
      </c>
      <c r="D9297" s="1" t="s">
        <v>250</v>
      </c>
      <c r="E9297" s="1" t="s">
        <v>12</v>
      </c>
      <c r="F9297" s="2" t="s">
        <v>516</v>
      </c>
      <c r="G9297" s="1">
        <v>115.96</v>
      </c>
      <c r="H9297" s="1">
        <v>4</v>
      </c>
      <c r="I9297" s="1">
        <v>-64.937600000000003</v>
      </c>
    </row>
    <row r="9298" spans="1:9" x14ac:dyDescent="0.35">
      <c r="A9298" s="3" t="s">
        <v>3157</v>
      </c>
      <c r="B9298" s="1" t="s">
        <v>699</v>
      </c>
      <c r="C9298" s="1" t="s">
        <v>2720</v>
      </c>
      <c r="D9298" s="1" t="s">
        <v>52</v>
      </c>
      <c r="E9298" s="1" t="s">
        <v>81</v>
      </c>
      <c r="F9298" s="2" t="s">
        <v>1858</v>
      </c>
      <c r="G9298" s="1">
        <v>41.423999999999999</v>
      </c>
      <c r="H9298" s="1">
        <v>2</v>
      </c>
      <c r="I9298" s="1">
        <v>8.2848000000000006</v>
      </c>
    </row>
    <row r="9299" spans="1:9" x14ac:dyDescent="0.35">
      <c r="A9299" s="3" t="s">
        <v>3157</v>
      </c>
      <c r="B9299" s="1" t="s">
        <v>699</v>
      </c>
      <c r="C9299" s="1" t="s">
        <v>2720</v>
      </c>
      <c r="D9299" s="1" t="s">
        <v>52</v>
      </c>
      <c r="E9299" s="1" t="s">
        <v>33</v>
      </c>
      <c r="F9299" s="2" t="s">
        <v>1813</v>
      </c>
      <c r="G9299" s="1">
        <v>244.768</v>
      </c>
      <c r="H9299" s="1">
        <v>4</v>
      </c>
      <c r="I9299" s="1">
        <v>24.476800000000001</v>
      </c>
    </row>
    <row r="9300" spans="1:9" x14ac:dyDescent="0.35">
      <c r="A9300" s="3" t="s">
        <v>3157</v>
      </c>
      <c r="B9300" s="1" t="s">
        <v>699</v>
      </c>
      <c r="C9300" s="1" t="s">
        <v>2720</v>
      </c>
      <c r="D9300" s="1" t="s">
        <v>52</v>
      </c>
      <c r="E9300" s="1" t="s">
        <v>31</v>
      </c>
      <c r="F9300" s="2" t="s">
        <v>554</v>
      </c>
      <c r="G9300" s="1">
        <v>74.352000000000004</v>
      </c>
      <c r="H9300" s="1">
        <v>3</v>
      </c>
      <c r="I9300" s="1">
        <v>6.5057999999999998</v>
      </c>
    </row>
    <row r="9301" spans="1:9" x14ac:dyDescent="0.35">
      <c r="A9301" s="3" t="s">
        <v>3157</v>
      </c>
      <c r="B9301" s="1" t="s">
        <v>699</v>
      </c>
      <c r="C9301" s="1" t="s">
        <v>2720</v>
      </c>
      <c r="D9301" s="1" t="s">
        <v>52</v>
      </c>
      <c r="E9301" s="1" t="s">
        <v>35</v>
      </c>
      <c r="F9301" s="2" t="s">
        <v>1409</v>
      </c>
      <c r="G9301" s="1">
        <v>4.3120000000000003</v>
      </c>
      <c r="H9301" s="1">
        <v>2</v>
      </c>
      <c r="I9301" s="1">
        <v>-6.8992000000000004</v>
      </c>
    </row>
    <row r="9302" spans="1:9" x14ac:dyDescent="0.35">
      <c r="A9302" s="3" t="s">
        <v>3157</v>
      </c>
      <c r="B9302" s="1" t="s">
        <v>699</v>
      </c>
      <c r="C9302" s="1" t="s">
        <v>2720</v>
      </c>
      <c r="D9302" s="1" t="s">
        <v>52</v>
      </c>
      <c r="E9302" s="1" t="s">
        <v>14</v>
      </c>
      <c r="F9302" s="2" t="s">
        <v>745</v>
      </c>
      <c r="G9302" s="1">
        <v>56.686</v>
      </c>
      <c r="H9302" s="1">
        <v>1</v>
      </c>
      <c r="I9302" s="1">
        <v>-20.245000000000001</v>
      </c>
    </row>
    <row r="9303" spans="1:9" x14ac:dyDescent="0.35">
      <c r="A9303" s="3" t="s">
        <v>3157</v>
      </c>
      <c r="B9303" s="1" t="s">
        <v>699</v>
      </c>
      <c r="C9303" s="1" t="s">
        <v>2720</v>
      </c>
      <c r="D9303" s="1" t="s">
        <v>52</v>
      </c>
      <c r="E9303" s="1" t="s">
        <v>33</v>
      </c>
      <c r="F9303" s="2" t="s">
        <v>2921</v>
      </c>
      <c r="G9303" s="1">
        <v>97.968000000000004</v>
      </c>
      <c r="H9303" s="1">
        <v>2</v>
      </c>
      <c r="I9303" s="1">
        <v>6.1230000000000002</v>
      </c>
    </row>
    <row r="9304" spans="1:9" x14ac:dyDescent="0.35">
      <c r="A9304" s="3" t="s">
        <v>3157</v>
      </c>
      <c r="B9304" s="1" t="s">
        <v>699</v>
      </c>
      <c r="C9304" s="1" t="s">
        <v>2720</v>
      </c>
      <c r="D9304" s="1" t="s">
        <v>52</v>
      </c>
      <c r="E9304" s="1" t="s">
        <v>31</v>
      </c>
      <c r="F9304" s="2" t="s">
        <v>2677</v>
      </c>
      <c r="G9304" s="1">
        <v>7.8719999999999999</v>
      </c>
      <c r="H9304" s="1">
        <v>3</v>
      </c>
      <c r="I9304" s="1">
        <v>0.88560000000000005</v>
      </c>
    </row>
    <row r="9305" spans="1:9" x14ac:dyDescent="0.35">
      <c r="A9305" s="3" t="s">
        <v>3157</v>
      </c>
      <c r="B9305" s="1" t="s">
        <v>699</v>
      </c>
      <c r="C9305" s="1" t="s">
        <v>2720</v>
      </c>
      <c r="D9305" s="1" t="s">
        <v>52</v>
      </c>
      <c r="E9305" s="1" t="s">
        <v>44</v>
      </c>
      <c r="F9305" s="2" t="s">
        <v>2174</v>
      </c>
      <c r="G9305" s="1">
        <v>15.552</v>
      </c>
      <c r="H9305" s="1">
        <v>3</v>
      </c>
      <c r="I9305" s="1">
        <v>5.4432</v>
      </c>
    </row>
    <row r="9306" spans="1:9" x14ac:dyDescent="0.35">
      <c r="A9306" s="3" t="s">
        <v>3157</v>
      </c>
      <c r="B9306" s="1" t="s">
        <v>699</v>
      </c>
      <c r="C9306" s="1" t="s">
        <v>2720</v>
      </c>
      <c r="D9306" s="1" t="s">
        <v>52</v>
      </c>
      <c r="E9306" s="1" t="s">
        <v>35</v>
      </c>
      <c r="F9306" s="2" t="s">
        <v>1333</v>
      </c>
      <c r="G9306" s="1">
        <v>1.476</v>
      </c>
      <c r="H9306" s="1">
        <v>1</v>
      </c>
      <c r="I9306" s="1">
        <v>-2.2877999999999998</v>
      </c>
    </row>
    <row r="9307" spans="1:9" x14ac:dyDescent="0.35">
      <c r="A9307" s="3" t="s">
        <v>3611</v>
      </c>
      <c r="B9307" s="1" t="s">
        <v>2900</v>
      </c>
      <c r="C9307" s="1" t="s">
        <v>2569</v>
      </c>
      <c r="D9307" s="1" t="s">
        <v>331</v>
      </c>
      <c r="E9307" s="1" t="s">
        <v>31</v>
      </c>
      <c r="F9307" s="2" t="s">
        <v>2735</v>
      </c>
      <c r="G9307" s="1">
        <v>8.4</v>
      </c>
      <c r="H9307" s="1">
        <v>5</v>
      </c>
      <c r="I9307" s="1">
        <v>2.1840000000000002</v>
      </c>
    </row>
    <row r="9308" spans="1:9" x14ac:dyDescent="0.35">
      <c r="A9308" s="3" t="s">
        <v>3836</v>
      </c>
      <c r="B9308" s="1" t="s">
        <v>942</v>
      </c>
      <c r="C9308" s="1" t="s">
        <v>64</v>
      </c>
      <c r="D9308" s="1" t="s">
        <v>18</v>
      </c>
      <c r="E9308" s="1" t="s">
        <v>31</v>
      </c>
      <c r="F9308" s="2" t="s">
        <v>1597</v>
      </c>
      <c r="G9308" s="1">
        <v>6.56</v>
      </c>
      <c r="H9308" s="1">
        <v>2</v>
      </c>
      <c r="I9308" s="1">
        <v>1.9024000000000001</v>
      </c>
    </row>
    <row r="9309" spans="1:9" x14ac:dyDescent="0.35">
      <c r="A9309" s="3" t="s">
        <v>3836</v>
      </c>
      <c r="B9309" s="1" t="s">
        <v>942</v>
      </c>
      <c r="C9309" s="1" t="s">
        <v>64</v>
      </c>
      <c r="D9309" s="1" t="s">
        <v>18</v>
      </c>
      <c r="E9309" s="1" t="s">
        <v>31</v>
      </c>
      <c r="F9309" s="2" t="s">
        <v>2413</v>
      </c>
      <c r="G9309" s="1">
        <v>14.88</v>
      </c>
      <c r="H9309" s="1">
        <v>2</v>
      </c>
      <c r="I9309" s="1">
        <v>3.72</v>
      </c>
    </row>
    <row r="9310" spans="1:9" x14ac:dyDescent="0.35">
      <c r="A9310" s="3" t="s">
        <v>3836</v>
      </c>
      <c r="B9310" s="1" t="s">
        <v>942</v>
      </c>
      <c r="C9310" s="1" t="s">
        <v>64</v>
      </c>
      <c r="D9310" s="1" t="s">
        <v>18</v>
      </c>
      <c r="E9310" s="1" t="s">
        <v>81</v>
      </c>
      <c r="F9310" s="2" t="s">
        <v>2607</v>
      </c>
      <c r="G9310" s="1">
        <v>45.48</v>
      </c>
      <c r="H9310" s="1">
        <v>4</v>
      </c>
      <c r="I9310" s="1">
        <v>15.917999999999999</v>
      </c>
    </row>
    <row r="9311" spans="1:9" x14ac:dyDescent="0.35">
      <c r="A9311" s="3" t="s">
        <v>3836</v>
      </c>
      <c r="B9311" s="1" t="s">
        <v>942</v>
      </c>
      <c r="C9311" s="1" t="s">
        <v>64</v>
      </c>
      <c r="D9311" s="1" t="s">
        <v>18</v>
      </c>
      <c r="E9311" s="1" t="s">
        <v>31</v>
      </c>
      <c r="F9311" s="2" t="s">
        <v>1296</v>
      </c>
      <c r="G9311" s="1">
        <v>25.44</v>
      </c>
      <c r="H9311" s="1">
        <v>6</v>
      </c>
      <c r="I9311" s="1">
        <v>9.9215999999999998</v>
      </c>
    </row>
    <row r="9312" spans="1:9" x14ac:dyDescent="0.35">
      <c r="A9312" s="3" t="s">
        <v>3278</v>
      </c>
      <c r="B9312" s="1" t="s">
        <v>2263</v>
      </c>
      <c r="C9312" s="1" t="s">
        <v>135</v>
      </c>
      <c r="D9312" s="1" t="s">
        <v>136</v>
      </c>
      <c r="E9312" s="1" t="s">
        <v>35</v>
      </c>
      <c r="F9312" s="2" t="s">
        <v>1232</v>
      </c>
      <c r="G9312" s="1">
        <v>146.68799999999999</v>
      </c>
      <c r="H9312" s="1">
        <v>8</v>
      </c>
      <c r="I9312" s="1">
        <v>45.84</v>
      </c>
    </row>
    <row r="9313" spans="1:9" x14ac:dyDescent="0.35">
      <c r="A9313" s="3">
        <v>42889</v>
      </c>
      <c r="B9313" s="1" t="s">
        <v>1383</v>
      </c>
      <c r="C9313" s="1" t="s">
        <v>399</v>
      </c>
      <c r="D9313" s="1" t="s">
        <v>52</v>
      </c>
      <c r="E9313" s="1" t="s">
        <v>19</v>
      </c>
      <c r="F9313" s="2" t="s">
        <v>199</v>
      </c>
      <c r="G9313" s="1">
        <v>4.9279999999999999</v>
      </c>
      <c r="H9313" s="1">
        <v>2</v>
      </c>
      <c r="I9313" s="1">
        <v>1.7248000000000001</v>
      </c>
    </row>
    <row r="9314" spans="1:9" x14ac:dyDescent="0.35">
      <c r="A9314" s="3">
        <v>42889</v>
      </c>
      <c r="B9314" s="1" t="s">
        <v>1383</v>
      </c>
      <c r="C9314" s="1" t="s">
        <v>399</v>
      </c>
      <c r="D9314" s="1" t="s">
        <v>52</v>
      </c>
      <c r="E9314" s="1" t="s">
        <v>31</v>
      </c>
      <c r="F9314" s="2" t="s">
        <v>735</v>
      </c>
      <c r="G9314" s="1">
        <v>63.488</v>
      </c>
      <c r="H9314" s="1">
        <v>4</v>
      </c>
      <c r="I9314" s="1">
        <v>4.7615999999999996</v>
      </c>
    </row>
    <row r="9315" spans="1:9" x14ac:dyDescent="0.35">
      <c r="A9315" s="3">
        <v>42319</v>
      </c>
      <c r="B9315" s="1" t="s">
        <v>497</v>
      </c>
      <c r="C9315" s="1" t="s">
        <v>429</v>
      </c>
      <c r="D9315" s="1" t="s">
        <v>120</v>
      </c>
      <c r="E9315" s="1" t="s">
        <v>26</v>
      </c>
      <c r="F9315" s="2" t="s">
        <v>112</v>
      </c>
      <c r="G9315" s="1">
        <v>418.32</v>
      </c>
      <c r="H9315" s="1">
        <v>7</v>
      </c>
      <c r="I9315" s="1">
        <v>117.1296</v>
      </c>
    </row>
    <row r="9316" spans="1:9" x14ac:dyDescent="0.35">
      <c r="A9316" s="3">
        <v>42319</v>
      </c>
      <c r="B9316" s="1" t="s">
        <v>497</v>
      </c>
      <c r="C9316" s="1" t="s">
        <v>429</v>
      </c>
      <c r="D9316" s="1" t="s">
        <v>120</v>
      </c>
      <c r="E9316" s="1" t="s">
        <v>37</v>
      </c>
      <c r="F9316" s="2" t="s">
        <v>53</v>
      </c>
      <c r="G9316" s="1">
        <v>123.858</v>
      </c>
      <c r="H9316" s="1">
        <v>2</v>
      </c>
      <c r="I9316" s="1">
        <v>46.790799999999997</v>
      </c>
    </row>
    <row r="9317" spans="1:9" x14ac:dyDescent="0.35">
      <c r="A9317" s="3">
        <v>42494</v>
      </c>
      <c r="B9317" s="1" t="s">
        <v>1550</v>
      </c>
      <c r="C9317" s="1" t="s">
        <v>74</v>
      </c>
      <c r="D9317" s="1" t="s">
        <v>75</v>
      </c>
      <c r="E9317" s="1" t="s">
        <v>33</v>
      </c>
      <c r="F9317" s="2" t="s">
        <v>2196</v>
      </c>
      <c r="G9317" s="1">
        <v>118.782</v>
      </c>
      <c r="H9317" s="1">
        <v>3</v>
      </c>
      <c r="I9317" s="1">
        <v>-27.715800000000002</v>
      </c>
    </row>
    <row r="9318" spans="1:9" x14ac:dyDescent="0.35">
      <c r="A9318" s="3">
        <v>42494</v>
      </c>
      <c r="B9318" s="1" t="s">
        <v>1550</v>
      </c>
      <c r="C9318" s="1" t="s">
        <v>74</v>
      </c>
      <c r="D9318" s="1" t="s">
        <v>75</v>
      </c>
      <c r="E9318" s="1" t="s">
        <v>289</v>
      </c>
      <c r="F9318" s="2" t="s">
        <v>511</v>
      </c>
      <c r="G9318" s="1">
        <v>769.18399999999997</v>
      </c>
      <c r="H9318" s="1">
        <v>4</v>
      </c>
      <c r="I9318" s="1">
        <v>-163.45160000000001</v>
      </c>
    </row>
    <row r="9319" spans="1:9" x14ac:dyDescent="0.35">
      <c r="A9319" s="3" t="s">
        <v>3837</v>
      </c>
      <c r="B9319" s="1" t="s">
        <v>255</v>
      </c>
      <c r="C9319" s="1" t="s">
        <v>1779</v>
      </c>
      <c r="D9319" s="1" t="s">
        <v>52</v>
      </c>
      <c r="E9319" s="1" t="s">
        <v>81</v>
      </c>
      <c r="F9319" s="2" t="s">
        <v>624</v>
      </c>
      <c r="G9319" s="1">
        <v>47.904000000000003</v>
      </c>
      <c r="H9319" s="1">
        <v>1</v>
      </c>
      <c r="I9319" s="1">
        <v>-2.9940000000000002</v>
      </c>
    </row>
    <row r="9320" spans="1:9" x14ac:dyDescent="0.35">
      <c r="A9320" s="3" t="s">
        <v>3342</v>
      </c>
      <c r="B9320" s="1" t="s">
        <v>979</v>
      </c>
      <c r="C9320" s="1" t="s">
        <v>135</v>
      </c>
      <c r="D9320" s="1" t="s">
        <v>136</v>
      </c>
      <c r="E9320" s="1" t="s">
        <v>44</v>
      </c>
      <c r="F9320" s="2" t="s">
        <v>1022</v>
      </c>
      <c r="G9320" s="1">
        <v>13.36</v>
      </c>
      <c r="H9320" s="1">
        <v>2</v>
      </c>
      <c r="I9320" s="1">
        <v>6.4127999999999998</v>
      </c>
    </row>
    <row r="9321" spans="1:9" x14ac:dyDescent="0.35">
      <c r="A9321" s="3" t="s">
        <v>3342</v>
      </c>
      <c r="B9321" s="1" t="s">
        <v>979</v>
      </c>
      <c r="C9321" s="1" t="s">
        <v>135</v>
      </c>
      <c r="D9321" s="1" t="s">
        <v>136</v>
      </c>
      <c r="E9321" s="1" t="s">
        <v>14</v>
      </c>
      <c r="F9321" s="2" t="s">
        <v>3123</v>
      </c>
      <c r="G9321" s="1">
        <v>163.76400000000001</v>
      </c>
      <c r="H9321" s="1">
        <v>2</v>
      </c>
      <c r="I9321" s="1">
        <v>25.474399999999999</v>
      </c>
    </row>
    <row r="9322" spans="1:9" x14ac:dyDescent="0.35">
      <c r="A9322" s="3" t="s">
        <v>3342</v>
      </c>
      <c r="B9322" s="1" t="s">
        <v>979</v>
      </c>
      <c r="C9322" s="1" t="s">
        <v>135</v>
      </c>
      <c r="D9322" s="1" t="s">
        <v>136</v>
      </c>
      <c r="E9322" s="1" t="s">
        <v>29</v>
      </c>
      <c r="F9322" s="2" t="s">
        <v>2945</v>
      </c>
      <c r="G9322" s="1">
        <v>183.92</v>
      </c>
      <c r="H9322" s="1">
        <v>4</v>
      </c>
      <c r="I9322" s="1">
        <v>31.266400000000001</v>
      </c>
    </row>
    <row r="9323" spans="1:9" x14ac:dyDescent="0.35">
      <c r="A9323" s="3">
        <v>42471</v>
      </c>
      <c r="B9323" s="1" t="s">
        <v>1205</v>
      </c>
      <c r="C9323" s="1" t="s">
        <v>93</v>
      </c>
      <c r="D9323" s="1" t="s">
        <v>52</v>
      </c>
      <c r="E9323" s="1" t="s">
        <v>29</v>
      </c>
      <c r="F9323" s="2" t="s">
        <v>2427</v>
      </c>
      <c r="G9323" s="1">
        <v>11.375999999999999</v>
      </c>
      <c r="H9323" s="1">
        <v>3</v>
      </c>
      <c r="I9323" s="1">
        <v>-5.6879999999999997</v>
      </c>
    </row>
    <row r="9324" spans="1:9" x14ac:dyDescent="0.35">
      <c r="A9324" s="3">
        <v>42471</v>
      </c>
      <c r="B9324" s="1" t="s">
        <v>1205</v>
      </c>
      <c r="C9324" s="1" t="s">
        <v>93</v>
      </c>
      <c r="D9324" s="1" t="s">
        <v>52</v>
      </c>
      <c r="E9324" s="1" t="s">
        <v>29</v>
      </c>
      <c r="F9324" s="2" t="s">
        <v>863</v>
      </c>
      <c r="G9324" s="1">
        <v>66.111999999999995</v>
      </c>
      <c r="H9324" s="1">
        <v>4</v>
      </c>
      <c r="I9324" s="1">
        <v>-84.2928</v>
      </c>
    </row>
    <row r="9325" spans="1:9" x14ac:dyDescent="0.35">
      <c r="A9325" s="3" t="s">
        <v>3348</v>
      </c>
      <c r="B9325" s="1" t="s">
        <v>1964</v>
      </c>
      <c r="C9325" s="1" t="s">
        <v>17</v>
      </c>
      <c r="D9325" s="1" t="s">
        <v>18</v>
      </c>
      <c r="E9325" s="1" t="s">
        <v>44</v>
      </c>
      <c r="F9325" s="2" t="s">
        <v>1603</v>
      </c>
      <c r="G9325" s="1">
        <v>211.04</v>
      </c>
      <c r="H9325" s="1">
        <v>8</v>
      </c>
      <c r="I9325" s="1">
        <v>97.078400000000002</v>
      </c>
    </row>
    <row r="9326" spans="1:9" x14ac:dyDescent="0.35">
      <c r="A9326" s="3" t="s">
        <v>3348</v>
      </c>
      <c r="B9326" s="1" t="s">
        <v>1964</v>
      </c>
      <c r="C9326" s="1" t="s">
        <v>17</v>
      </c>
      <c r="D9326" s="1" t="s">
        <v>18</v>
      </c>
      <c r="E9326" s="1" t="s">
        <v>14</v>
      </c>
      <c r="F9326" s="2" t="s">
        <v>1474</v>
      </c>
      <c r="G9326" s="1">
        <v>594.81600000000003</v>
      </c>
      <c r="H9326" s="1">
        <v>2</v>
      </c>
      <c r="I9326" s="1">
        <v>59.4816</v>
      </c>
    </row>
    <row r="9327" spans="1:9" x14ac:dyDescent="0.35">
      <c r="A9327" s="3" t="s">
        <v>3348</v>
      </c>
      <c r="B9327" s="1" t="s">
        <v>1964</v>
      </c>
      <c r="C9327" s="1" t="s">
        <v>17</v>
      </c>
      <c r="D9327" s="1" t="s">
        <v>18</v>
      </c>
      <c r="E9327" s="1" t="s">
        <v>35</v>
      </c>
      <c r="F9327" s="2" t="s">
        <v>1672</v>
      </c>
      <c r="G9327" s="1">
        <v>72.959999999999994</v>
      </c>
      <c r="H9327" s="1">
        <v>3</v>
      </c>
      <c r="I9327" s="1">
        <v>23.712</v>
      </c>
    </row>
    <row r="9328" spans="1:9" x14ac:dyDescent="0.35">
      <c r="A9328" s="3">
        <v>42925</v>
      </c>
      <c r="B9328" s="1" t="s">
        <v>1525</v>
      </c>
      <c r="C9328" s="1" t="s">
        <v>1140</v>
      </c>
      <c r="D9328" s="1" t="s">
        <v>48</v>
      </c>
      <c r="E9328" s="1" t="s">
        <v>29</v>
      </c>
      <c r="F9328" s="2" t="s">
        <v>2754</v>
      </c>
      <c r="G9328" s="1">
        <v>80.959999999999994</v>
      </c>
      <c r="H9328" s="1">
        <v>4</v>
      </c>
      <c r="I9328" s="1">
        <v>34.812800000000003</v>
      </c>
    </row>
    <row r="9329" spans="1:9" x14ac:dyDescent="0.35">
      <c r="A9329" s="3">
        <v>42925</v>
      </c>
      <c r="B9329" s="1" t="s">
        <v>1525</v>
      </c>
      <c r="C9329" s="1" t="s">
        <v>1140</v>
      </c>
      <c r="D9329" s="1" t="s">
        <v>48</v>
      </c>
      <c r="E9329" s="1" t="s">
        <v>33</v>
      </c>
      <c r="F9329" s="2" t="s">
        <v>40</v>
      </c>
      <c r="G9329" s="1">
        <v>455.71199999999999</v>
      </c>
      <c r="H9329" s="1">
        <v>2</v>
      </c>
      <c r="I9329" s="1">
        <v>34.178400000000003</v>
      </c>
    </row>
    <row r="9330" spans="1:9" x14ac:dyDescent="0.35">
      <c r="A9330" s="3">
        <v>42925</v>
      </c>
      <c r="B9330" s="1" t="s">
        <v>1525</v>
      </c>
      <c r="C9330" s="1" t="s">
        <v>1140</v>
      </c>
      <c r="D9330" s="1" t="s">
        <v>48</v>
      </c>
      <c r="E9330" s="1" t="s">
        <v>31</v>
      </c>
      <c r="F9330" s="2" t="s">
        <v>2498</v>
      </c>
      <c r="G9330" s="1">
        <v>25.98</v>
      </c>
      <c r="H9330" s="1">
        <v>1</v>
      </c>
      <c r="I9330" s="1">
        <v>7.2744</v>
      </c>
    </row>
    <row r="9331" spans="1:9" x14ac:dyDescent="0.35">
      <c r="A9331" s="3" t="s">
        <v>3465</v>
      </c>
      <c r="B9331" s="1" t="s">
        <v>873</v>
      </c>
      <c r="C9331" s="1" t="s">
        <v>64</v>
      </c>
      <c r="D9331" s="1" t="s">
        <v>18</v>
      </c>
      <c r="E9331" s="1" t="s">
        <v>37</v>
      </c>
      <c r="F9331" s="2" t="s">
        <v>2704</v>
      </c>
      <c r="G9331" s="1">
        <v>45.28</v>
      </c>
      <c r="H9331" s="1">
        <v>4</v>
      </c>
      <c r="I9331" s="1">
        <v>15.395200000000001</v>
      </c>
    </row>
    <row r="9332" spans="1:9" x14ac:dyDescent="0.35">
      <c r="A9332" s="3">
        <v>42349</v>
      </c>
      <c r="B9332" s="1" t="s">
        <v>2482</v>
      </c>
      <c r="C9332" s="1" t="s">
        <v>135</v>
      </c>
      <c r="D9332" s="1" t="s">
        <v>136</v>
      </c>
      <c r="E9332" s="1" t="s">
        <v>87</v>
      </c>
      <c r="F9332" s="2" t="s">
        <v>332</v>
      </c>
      <c r="G9332" s="1">
        <v>15.56</v>
      </c>
      <c r="H9332" s="1">
        <v>2</v>
      </c>
      <c r="I9332" s="1">
        <v>7.3132000000000001</v>
      </c>
    </row>
    <row r="9333" spans="1:9" x14ac:dyDescent="0.35">
      <c r="A9333" s="3" t="s">
        <v>3405</v>
      </c>
      <c r="B9333" s="1" t="s">
        <v>110</v>
      </c>
      <c r="C9333" s="1" t="s">
        <v>162</v>
      </c>
      <c r="D9333" s="1" t="s">
        <v>212</v>
      </c>
      <c r="E9333" s="1" t="s">
        <v>33</v>
      </c>
      <c r="F9333" s="2" t="s">
        <v>1865</v>
      </c>
      <c r="G9333" s="1">
        <v>859.2</v>
      </c>
      <c r="H9333" s="1">
        <v>3</v>
      </c>
      <c r="I9333" s="1">
        <v>75.180000000000007</v>
      </c>
    </row>
    <row r="9334" spans="1:9" x14ac:dyDescent="0.35">
      <c r="A9334" s="3">
        <v>43048</v>
      </c>
      <c r="B9334" s="1" t="s">
        <v>2860</v>
      </c>
      <c r="C9334" s="1" t="s">
        <v>2863</v>
      </c>
      <c r="D9334" s="1" t="s">
        <v>11</v>
      </c>
      <c r="E9334" s="1" t="s">
        <v>37</v>
      </c>
      <c r="F9334" s="2" t="s">
        <v>754</v>
      </c>
      <c r="G9334" s="1">
        <v>195.68</v>
      </c>
      <c r="H9334" s="1">
        <v>4</v>
      </c>
      <c r="I9334" s="1">
        <v>50.876800000000003</v>
      </c>
    </row>
    <row r="9335" spans="1:9" x14ac:dyDescent="0.35">
      <c r="A9335" s="3">
        <v>43048</v>
      </c>
      <c r="B9335" s="1" t="s">
        <v>2860</v>
      </c>
      <c r="C9335" s="1" t="s">
        <v>2863</v>
      </c>
      <c r="D9335" s="1" t="s">
        <v>11</v>
      </c>
      <c r="E9335" s="1" t="s">
        <v>137</v>
      </c>
      <c r="F9335" s="2" t="s">
        <v>1772</v>
      </c>
      <c r="G9335" s="1">
        <v>14.2</v>
      </c>
      <c r="H9335" s="1">
        <v>4</v>
      </c>
      <c r="I9335" s="1">
        <v>6.6740000000000004</v>
      </c>
    </row>
    <row r="9336" spans="1:9" x14ac:dyDescent="0.35">
      <c r="A9336" s="3">
        <v>42740</v>
      </c>
      <c r="B9336" s="1" t="s">
        <v>620</v>
      </c>
      <c r="C9336" s="1" t="s">
        <v>1476</v>
      </c>
      <c r="D9336" s="1" t="s">
        <v>23</v>
      </c>
      <c r="E9336" s="1" t="s">
        <v>12</v>
      </c>
      <c r="F9336" s="2" t="s">
        <v>13</v>
      </c>
      <c r="G9336" s="1">
        <v>314.35199999999998</v>
      </c>
      <c r="H9336" s="1">
        <v>3</v>
      </c>
      <c r="I9336" s="1">
        <v>-15.717599999999999</v>
      </c>
    </row>
    <row r="9337" spans="1:9" x14ac:dyDescent="0.35">
      <c r="A9337" s="3">
        <v>42740</v>
      </c>
      <c r="B9337" s="1" t="s">
        <v>620</v>
      </c>
      <c r="C9337" s="1" t="s">
        <v>1476</v>
      </c>
      <c r="D9337" s="1" t="s">
        <v>23</v>
      </c>
      <c r="E9337" s="1" t="s">
        <v>19</v>
      </c>
      <c r="F9337" s="2" t="s">
        <v>2612</v>
      </c>
      <c r="G9337" s="1">
        <v>4.6079999999999997</v>
      </c>
      <c r="H9337" s="1">
        <v>2</v>
      </c>
      <c r="I9337" s="1">
        <v>1.4976</v>
      </c>
    </row>
    <row r="9338" spans="1:9" x14ac:dyDescent="0.35">
      <c r="A9338" s="3" t="s">
        <v>3324</v>
      </c>
      <c r="B9338" s="1" t="s">
        <v>1390</v>
      </c>
      <c r="C9338" s="1" t="s">
        <v>64</v>
      </c>
      <c r="D9338" s="1" t="s">
        <v>18</v>
      </c>
      <c r="E9338" s="1" t="s">
        <v>137</v>
      </c>
      <c r="F9338" s="2" t="s">
        <v>251</v>
      </c>
      <c r="G9338" s="1">
        <v>17.899999999999999</v>
      </c>
      <c r="H9338" s="1">
        <v>5</v>
      </c>
      <c r="I9338" s="1">
        <v>8.7710000000000008</v>
      </c>
    </row>
    <row r="9339" spans="1:9" x14ac:dyDescent="0.35">
      <c r="A9339" s="3" t="s">
        <v>3838</v>
      </c>
      <c r="B9339" s="1" t="s">
        <v>1262</v>
      </c>
      <c r="C9339" s="1" t="s">
        <v>64</v>
      </c>
      <c r="D9339" s="1" t="s">
        <v>18</v>
      </c>
      <c r="E9339" s="1" t="s">
        <v>35</v>
      </c>
      <c r="F9339" s="2" t="s">
        <v>2303</v>
      </c>
      <c r="G9339" s="1">
        <v>2.992</v>
      </c>
      <c r="H9339" s="1">
        <v>1</v>
      </c>
      <c r="I9339" s="1">
        <v>1.1220000000000001</v>
      </c>
    </row>
    <row r="9340" spans="1:9" x14ac:dyDescent="0.35">
      <c r="A9340" s="3" t="s">
        <v>3838</v>
      </c>
      <c r="B9340" s="1" t="s">
        <v>1262</v>
      </c>
      <c r="C9340" s="1" t="s">
        <v>64</v>
      </c>
      <c r="D9340" s="1" t="s">
        <v>18</v>
      </c>
      <c r="E9340" s="1" t="s">
        <v>35</v>
      </c>
      <c r="F9340" s="2" t="s">
        <v>1379</v>
      </c>
      <c r="G9340" s="1">
        <v>20.064</v>
      </c>
      <c r="H9340" s="1">
        <v>6</v>
      </c>
      <c r="I9340" s="1">
        <v>7.0224000000000002</v>
      </c>
    </row>
    <row r="9341" spans="1:9" x14ac:dyDescent="0.35">
      <c r="A9341" s="3" t="s">
        <v>3838</v>
      </c>
      <c r="B9341" s="1" t="s">
        <v>1262</v>
      </c>
      <c r="C9341" s="1" t="s">
        <v>64</v>
      </c>
      <c r="D9341" s="1" t="s">
        <v>18</v>
      </c>
      <c r="E9341" s="1" t="s">
        <v>44</v>
      </c>
      <c r="F9341" s="2" t="s">
        <v>2809</v>
      </c>
      <c r="G9341" s="1">
        <v>146.72999999999999</v>
      </c>
      <c r="H9341" s="1">
        <v>3</v>
      </c>
      <c r="I9341" s="1">
        <v>68.963099999999997</v>
      </c>
    </row>
    <row r="9342" spans="1:9" x14ac:dyDescent="0.35">
      <c r="A9342" s="3" t="s">
        <v>3838</v>
      </c>
      <c r="B9342" s="1" t="s">
        <v>1262</v>
      </c>
      <c r="C9342" s="1" t="s">
        <v>64</v>
      </c>
      <c r="D9342" s="1" t="s">
        <v>18</v>
      </c>
      <c r="E9342" s="1" t="s">
        <v>19</v>
      </c>
      <c r="F9342" s="2" t="s">
        <v>971</v>
      </c>
      <c r="G9342" s="1">
        <v>18.75</v>
      </c>
      <c r="H9342" s="1">
        <v>5</v>
      </c>
      <c r="I9342" s="1">
        <v>9</v>
      </c>
    </row>
    <row r="9343" spans="1:9" x14ac:dyDescent="0.35">
      <c r="A9343" s="3" t="s">
        <v>3838</v>
      </c>
      <c r="B9343" s="1" t="s">
        <v>1262</v>
      </c>
      <c r="C9343" s="1" t="s">
        <v>64</v>
      </c>
      <c r="D9343" s="1" t="s">
        <v>18</v>
      </c>
      <c r="E9343" s="1" t="s">
        <v>33</v>
      </c>
      <c r="F9343" s="2" t="s">
        <v>2813</v>
      </c>
      <c r="G9343" s="1">
        <v>117.57599999999999</v>
      </c>
      <c r="H9343" s="1">
        <v>3</v>
      </c>
      <c r="I9343" s="1">
        <v>11.7576</v>
      </c>
    </row>
    <row r="9344" spans="1:9" x14ac:dyDescent="0.35">
      <c r="A9344" s="3" t="s">
        <v>3684</v>
      </c>
      <c r="B9344" s="1" t="s">
        <v>2808</v>
      </c>
      <c r="C9344" s="1" t="s">
        <v>1263</v>
      </c>
      <c r="D9344" s="1" t="s">
        <v>18</v>
      </c>
      <c r="E9344" s="1" t="s">
        <v>35</v>
      </c>
      <c r="F9344" s="2" t="s">
        <v>1102</v>
      </c>
      <c r="G9344" s="1">
        <v>51.183999999999997</v>
      </c>
      <c r="H9344" s="1">
        <v>7</v>
      </c>
      <c r="I9344" s="1">
        <v>19.193999999999999</v>
      </c>
    </row>
    <row r="9345" spans="1:9" x14ac:dyDescent="0.35">
      <c r="A9345" s="3" t="s">
        <v>3463</v>
      </c>
      <c r="B9345" s="1" t="s">
        <v>1048</v>
      </c>
      <c r="C9345" s="1" t="s">
        <v>141</v>
      </c>
      <c r="D9345" s="1" t="s">
        <v>250</v>
      </c>
      <c r="E9345" s="1" t="s">
        <v>24</v>
      </c>
      <c r="F9345" s="2" t="s">
        <v>2916</v>
      </c>
      <c r="G9345" s="1">
        <v>455.97</v>
      </c>
      <c r="H9345" s="1">
        <v>5</v>
      </c>
      <c r="I9345" s="1">
        <v>-106.393</v>
      </c>
    </row>
    <row r="9346" spans="1:9" x14ac:dyDescent="0.35">
      <c r="A9346" s="3" t="s">
        <v>3463</v>
      </c>
      <c r="B9346" s="1" t="s">
        <v>1048</v>
      </c>
      <c r="C9346" s="1" t="s">
        <v>141</v>
      </c>
      <c r="D9346" s="1" t="s">
        <v>250</v>
      </c>
      <c r="E9346" s="1" t="s">
        <v>35</v>
      </c>
      <c r="F9346" s="2" t="s">
        <v>90</v>
      </c>
      <c r="G9346" s="1">
        <v>5.7149999999999999</v>
      </c>
      <c r="H9346" s="1">
        <v>5</v>
      </c>
      <c r="I9346" s="1">
        <v>-4.7625000000000002</v>
      </c>
    </row>
    <row r="9347" spans="1:9" x14ac:dyDescent="0.35">
      <c r="A9347" s="3" t="s">
        <v>3463</v>
      </c>
      <c r="B9347" s="1" t="s">
        <v>1048</v>
      </c>
      <c r="C9347" s="1" t="s">
        <v>141</v>
      </c>
      <c r="D9347" s="1" t="s">
        <v>250</v>
      </c>
      <c r="E9347" s="1" t="s">
        <v>33</v>
      </c>
      <c r="F9347" s="2" t="s">
        <v>2471</v>
      </c>
      <c r="G9347" s="1">
        <v>57.594000000000001</v>
      </c>
      <c r="H9347" s="1">
        <v>1</v>
      </c>
      <c r="I9347" s="1">
        <v>-11.518800000000001</v>
      </c>
    </row>
    <row r="9348" spans="1:9" x14ac:dyDescent="0.35">
      <c r="A9348" s="3" t="s">
        <v>3463</v>
      </c>
      <c r="B9348" s="1" t="s">
        <v>1048</v>
      </c>
      <c r="C9348" s="1" t="s">
        <v>141</v>
      </c>
      <c r="D9348" s="1" t="s">
        <v>250</v>
      </c>
      <c r="E9348" s="1" t="s">
        <v>29</v>
      </c>
      <c r="F9348" s="2" t="s">
        <v>1928</v>
      </c>
      <c r="G9348" s="1">
        <v>30.143999999999998</v>
      </c>
      <c r="H9348" s="1">
        <v>2</v>
      </c>
      <c r="I9348" s="1">
        <v>8.2896000000000001</v>
      </c>
    </row>
    <row r="9349" spans="1:9" x14ac:dyDescent="0.35">
      <c r="A9349" s="3" t="s">
        <v>3463</v>
      </c>
      <c r="B9349" s="1" t="s">
        <v>1048</v>
      </c>
      <c r="C9349" s="1" t="s">
        <v>141</v>
      </c>
      <c r="D9349" s="1" t="s">
        <v>250</v>
      </c>
      <c r="E9349" s="1" t="s">
        <v>14</v>
      </c>
      <c r="F9349" s="2" t="s">
        <v>1972</v>
      </c>
      <c r="G9349" s="1">
        <v>899.43</v>
      </c>
      <c r="H9349" s="1">
        <v>5</v>
      </c>
      <c r="I9349" s="1">
        <v>-12.849</v>
      </c>
    </row>
    <row r="9350" spans="1:9" x14ac:dyDescent="0.35">
      <c r="A9350" s="3" t="s">
        <v>3820</v>
      </c>
      <c r="B9350" s="1" t="s">
        <v>185</v>
      </c>
      <c r="C9350" s="1" t="s">
        <v>2862</v>
      </c>
      <c r="D9350" s="1" t="s">
        <v>18</v>
      </c>
      <c r="E9350" s="1" t="s">
        <v>29</v>
      </c>
      <c r="F9350" s="2" t="s">
        <v>3033</v>
      </c>
      <c r="G9350" s="1">
        <v>842.72</v>
      </c>
      <c r="H9350" s="1">
        <v>8</v>
      </c>
      <c r="I9350" s="1">
        <v>202.25280000000001</v>
      </c>
    </row>
    <row r="9351" spans="1:9" x14ac:dyDescent="0.35">
      <c r="A9351" s="3" t="s">
        <v>3820</v>
      </c>
      <c r="B9351" s="1" t="s">
        <v>185</v>
      </c>
      <c r="C9351" s="1" t="s">
        <v>2862</v>
      </c>
      <c r="D9351" s="1" t="s">
        <v>18</v>
      </c>
      <c r="E9351" s="1" t="s">
        <v>29</v>
      </c>
      <c r="F9351" s="2" t="s">
        <v>242</v>
      </c>
      <c r="G9351" s="1">
        <v>41.96</v>
      </c>
      <c r="H9351" s="1">
        <v>2</v>
      </c>
      <c r="I9351" s="1">
        <v>10.909599999999999</v>
      </c>
    </row>
    <row r="9352" spans="1:9" x14ac:dyDescent="0.35">
      <c r="A9352" s="3" t="s">
        <v>3443</v>
      </c>
      <c r="B9352" s="1" t="s">
        <v>1184</v>
      </c>
      <c r="C9352" s="1" t="s">
        <v>47</v>
      </c>
      <c r="D9352" s="1" t="s">
        <v>48</v>
      </c>
      <c r="E9352" s="1" t="s">
        <v>35</v>
      </c>
      <c r="F9352" s="2" t="s">
        <v>1548</v>
      </c>
      <c r="G9352" s="1">
        <v>13.215999999999999</v>
      </c>
      <c r="H9352" s="1">
        <v>4</v>
      </c>
      <c r="I9352" s="1">
        <v>4.4603999999999999</v>
      </c>
    </row>
    <row r="9353" spans="1:9" x14ac:dyDescent="0.35">
      <c r="A9353" s="3" t="s">
        <v>3443</v>
      </c>
      <c r="B9353" s="1" t="s">
        <v>1184</v>
      </c>
      <c r="C9353" s="1" t="s">
        <v>47</v>
      </c>
      <c r="D9353" s="1" t="s">
        <v>48</v>
      </c>
      <c r="E9353" s="1" t="s">
        <v>14</v>
      </c>
      <c r="F9353" s="2" t="s">
        <v>724</v>
      </c>
      <c r="G9353" s="1">
        <v>184.75200000000001</v>
      </c>
      <c r="H9353" s="1">
        <v>3</v>
      </c>
      <c r="I9353" s="1">
        <v>-20.784600000000001</v>
      </c>
    </row>
    <row r="9354" spans="1:9" x14ac:dyDescent="0.35">
      <c r="A9354" s="3" t="s">
        <v>3404</v>
      </c>
      <c r="B9354" s="1" t="s">
        <v>793</v>
      </c>
      <c r="C9354" s="1" t="s">
        <v>154</v>
      </c>
      <c r="D9354" s="1" t="s">
        <v>106</v>
      </c>
      <c r="E9354" s="1" t="s">
        <v>14</v>
      </c>
      <c r="F9354" s="2" t="s">
        <v>1474</v>
      </c>
      <c r="G9354" s="1">
        <v>520.46400000000006</v>
      </c>
      <c r="H9354" s="1">
        <v>2</v>
      </c>
      <c r="I9354" s="1">
        <v>-14.8704</v>
      </c>
    </row>
    <row r="9355" spans="1:9" x14ac:dyDescent="0.35">
      <c r="A9355" s="3" t="s">
        <v>3404</v>
      </c>
      <c r="B9355" s="1" t="s">
        <v>793</v>
      </c>
      <c r="C9355" s="1" t="s">
        <v>154</v>
      </c>
      <c r="D9355" s="1" t="s">
        <v>106</v>
      </c>
      <c r="E9355" s="1" t="s">
        <v>44</v>
      </c>
      <c r="F9355" s="2" t="s">
        <v>3005</v>
      </c>
      <c r="G9355" s="1">
        <v>11.423999999999999</v>
      </c>
      <c r="H9355" s="1">
        <v>3</v>
      </c>
      <c r="I9355" s="1">
        <v>3.7128000000000001</v>
      </c>
    </row>
    <row r="9356" spans="1:9" x14ac:dyDescent="0.35">
      <c r="A9356" s="3">
        <v>42016</v>
      </c>
      <c r="B9356" s="1" t="s">
        <v>92</v>
      </c>
      <c r="C9356" s="1" t="s">
        <v>167</v>
      </c>
      <c r="D9356" s="1" t="s">
        <v>120</v>
      </c>
      <c r="E9356" s="1" t="s">
        <v>44</v>
      </c>
      <c r="F9356" s="2" t="s">
        <v>2960</v>
      </c>
      <c r="G9356" s="1">
        <v>19.440000000000001</v>
      </c>
      <c r="H9356" s="1">
        <v>3</v>
      </c>
      <c r="I9356" s="1">
        <v>9.3312000000000008</v>
      </c>
    </row>
    <row r="9357" spans="1:9" x14ac:dyDescent="0.35">
      <c r="A9357" s="3">
        <v>42016</v>
      </c>
      <c r="B9357" s="1" t="s">
        <v>92</v>
      </c>
      <c r="C9357" s="1" t="s">
        <v>167</v>
      </c>
      <c r="D9357" s="1" t="s">
        <v>120</v>
      </c>
      <c r="E9357" s="1" t="s">
        <v>31</v>
      </c>
      <c r="F9357" s="2" t="s">
        <v>1784</v>
      </c>
      <c r="G9357" s="1">
        <v>3.64</v>
      </c>
      <c r="H9357" s="1">
        <v>2</v>
      </c>
      <c r="I9357" s="1">
        <v>1.0192000000000001</v>
      </c>
    </row>
    <row r="9358" spans="1:9" x14ac:dyDescent="0.35">
      <c r="A9358" s="3">
        <v>42016</v>
      </c>
      <c r="B9358" s="1" t="s">
        <v>92</v>
      </c>
      <c r="C9358" s="1" t="s">
        <v>167</v>
      </c>
      <c r="D9358" s="1" t="s">
        <v>120</v>
      </c>
      <c r="E9358" s="1" t="s">
        <v>44</v>
      </c>
      <c r="F9358" s="2" t="s">
        <v>2136</v>
      </c>
      <c r="G9358" s="1">
        <v>18.54</v>
      </c>
      <c r="H9358" s="1">
        <v>2</v>
      </c>
      <c r="I9358" s="1">
        <v>8.7138000000000009</v>
      </c>
    </row>
    <row r="9359" spans="1:9" x14ac:dyDescent="0.35">
      <c r="A9359" s="3" t="s">
        <v>3537</v>
      </c>
      <c r="B9359" s="1" t="s">
        <v>291</v>
      </c>
      <c r="C9359" s="1" t="s">
        <v>135</v>
      </c>
      <c r="D9359" s="1" t="s">
        <v>136</v>
      </c>
      <c r="E9359" s="1" t="s">
        <v>35</v>
      </c>
      <c r="F9359" s="2" t="s">
        <v>1409</v>
      </c>
      <c r="G9359" s="1">
        <v>43.12</v>
      </c>
      <c r="H9359" s="1">
        <v>5</v>
      </c>
      <c r="I9359" s="1">
        <v>15.092000000000001</v>
      </c>
    </row>
    <row r="9360" spans="1:9" x14ac:dyDescent="0.35">
      <c r="A9360" s="3" t="s">
        <v>3537</v>
      </c>
      <c r="B9360" s="1" t="s">
        <v>291</v>
      </c>
      <c r="C9360" s="1" t="s">
        <v>135</v>
      </c>
      <c r="D9360" s="1" t="s">
        <v>136</v>
      </c>
      <c r="E9360" s="1" t="s">
        <v>24</v>
      </c>
      <c r="F9360" s="2" t="s">
        <v>1086</v>
      </c>
      <c r="G9360" s="1">
        <v>313.72199999999998</v>
      </c>
      <c r="H9360" s="1">
        <v>3</v>
      </c>
      <c r="I9360" s="1">
        <v>-99.345299999999995</v>
      </c>
    </row>
    <row r="9361" spans="1:9" x14ac:dyDescent="0.35">
      <c r="A9361" s="3" t="s">
        <v>3537</v>
      </c>
      <c r="B9361" s="1" t="s">
        <v>291</v>
      </c>
      <c r="C9361" s="1" t="s">
        <v>135</v>
      </c>
      <c r="D9361" s="1" t="s">
        <v>136</v>
      </c>
      <c r="E9361" s="1" t="s">
        <v>29</v>
      </c>
      <c r="F9361" s="2" t="s">
        <v>2945</v>
      </c>
      <c r="G9361" s="1">
        <v>45.98</v>
      </c>
      <c r="H9361" s="1">
        <v>1</v>
      </c>
      <c r="I9361" s="1">
        <v>7.8166000000000002</v>
      </c>
    </row>
    <row r="9362" spans="1:9" x14ac:dyDescent="0.35">
      <c r="A9362" s="3" t="s">
        <v>3537</v>
      </c>
      <c r="B9362" s="1" t="s">
        <v>291</v>
      </c>
      <c r="C9362" s="1" t="s">
        <v>135</v>
      </c>
      <c r="D9362" s="1" t="s">
        <v>136</v>
      </c>
      <c r="E9362" s="1" t="s">
        <v>26</v>
      </c>
      <c r="F9362" s="2" t="s">
        <v>1443</v>
      </c>
      <c r="G9362" s="1">
        <v>428.68</v>
      </c>
      <c r="H9362" s="1">
        <v>7</v>
      </c>
      <c r="I9362" s="1">
        <v>0</v>
      </c>
    </row>
    <row r="9363" spans="1:9" x14ac:dyDescent="0.35">
      <c r="A9363" s="3" t="s">
        <v>3551</v>
      </c>
      <c r="B9363" s="1" t="s">
        <v>153</v>
      </c>
      <c r="C9363" s="1" t="s">
        <v>47</v>
      </c>
      <c r="D9363" s="1" t="s">
        <v>48</v>
      </c>
      <c r="E9363" s="1" t="s">
        <v>35</v>
      </c>
      <c r="F9363" s="2" t="s">
        <v>130</v>
      </c>
      <c r="G9363" s="1">
        <v>30.576000000000001</v>
      </c>
      <c r="H9363" s="1">
        <v>6</v>
      </c>
      <c r="I9363" s="1">
        <v>10.3194</v>
      </c>
    </row>
    <row r="9364" spans="1:9" x14ac:dyDescent="0.35">
      <c r="A9364" s="3" t="s">
        <v>3551</v>
      </c>
      <c r="B9364" s="1" t="s">
        <v>153</v>
      </c>
      <c r="C9364" s="1" t="s">
        <v>47</v>
      </c>
      <c r="D9364" s="1" t="s">
        <v>48</v>
      </c>
      <c r="E9364" s="1" t="s">
        <v>137</v>
      </c>
      <c r="F9364" s="2" t="s">
        <v>1367</v>
      </c>
      <c r="G9364" s="1">
        <v>13.02</v>
      </c>
      <c r="H9364" s="1">
        <v>7</v>
      </c>
      <c r="I9364" s="1">
        <v>0.3906</v>
      </c>
    </row>
    <row r="9365" spans="1:9" x14ac:dyDescent="0.35">
      <c r="A9365" s="3" t="s">
        <v>3551</v>
      </c>
      <c r="B9365" s="1" t="s">
        <v>153</v>
      </c>
      <c r="C9365" s="1" t="s">
        <v>47</v>
      </c>
      <c r="D9365" s="1" t="s">
        <v>48</v>
      </c>
      <c r="E9365" s="1" t="s">
        <v>29</v>
      </c>
      <c r="F9365" s="2" t="s">
        <v>2074</v>
      </c>
      <c r="G9365" s="1">
        <v>22.14</v>
      </c>
      <c r="H9365" s="1">
        <v>3</v>
      </c>
      <c r="I9365" s="1">
        <v>6.4206000000000003</v>
      </c>
    </row>
    <row r="9366" spans="1:9" x14ac:dyDescent="0.35">
      <c r="A9366" s="3" t="s">
        <v>3551</v>
      </c>
      <c r="B9366" s="1" t="s">
        <v>153</v>
      </c>
      <c r="C9366" s="1" t="s">
        <v>47</v>
      </c>
      <c r="D9366" s="1" t="s">
        <v>48</v>
      </c>
      <c r="E9366" s="1" t="s">
        <v>26</v>
      </c>
      <c r="F9366" s="2" t="s">
        <v>789</v>
      </c>
      <c r="G9366" s="1">
        <v>359.32</v>
      </c>
      <c r="H9366" s="1">
        <v>4</v>
      </c>
      <c r="I9366" s="1">
        <v>7.1863999999999999</v>
      </c>
    </row>
    <row r="9367" spans="1:9" x14ac:dyDescent="0.35">
      <c r="A9367" s="3" t="s">
        <v>3533</v>
      </c>
      <c r="B9367" s="1" t="s">
        <v>892</v>
      </c>
      <c r="C9367" s="1" t="s">
        <v>3044</v>
      </c>
      <c r="D9367" s="1" t="s">
        <v>298</v>
      </c>
      <c r="E9367" s="1" t="s">
        <v>44</v>
      </c>
      <c r="F9367" s="2" t="s">
        <v>3067</v>
      </c>
      <c r="G9367" s="1">
        <v>11.56</v>
      </c>
      <c r="H9367" s="1">
        <v>2</v>
      </c>
      <c r="I9367" s="1">
        <v>5.6643999999999997</v>
      </c>
    </row>
    <row r="9368" spans="1:9" x14ac:dyDescent="0.35">
      <c r="A9368" s="3">
        <v>41857</v>
      </c>
      <c r="B9368" s="1" t="s">
        <v>1775</v>
      </c>
      <c r="C9368" s="1" t="s">
        <v>559</v>
      </c>
      <c r="D9368" s="1" t="s">
        <v>136</v>
      </c>
      <c r="E9368" s="1" t="s">
        <v>35</v>
      </c>
      <c r="F9368" s="2" t="s">
        <v>2728</v>
      </c>
      <c r="G9368" s="1">
        <v>68.48</v>
      </c>
      <c r="H9368" s="1">
        <v>2</v>
      </c>
      <c r="I9368" s="1">
        <v>25.68</v>
      </c>
    </row>
    <row r="9369" spans="1:9" x14ac:dyDescent="0.35">
      <c r="A9369" s="3">
        <v>41857</v>
      </c>
      <c r="B9369" s="1" t="s">
        <v>1775</v>
      </c>
      <c r="C9369" s="1" t="s">
        <v>559</v>
      </c>
      <c r="D9369" s="1" t="s">
        <v>136</v>
      </c>
      <c r="E9369" s="1" t="s">
        <v>26</v>
      </c>
      <c r="F9369" s="2" t="s">
        <v>2254</v>
      </c>
      <c r="G9369" s="1">
        <v>1676.88</v>
      </c>
      <c r="H9369" s="1">
        <v>6</v>
      </c>
      <c r="I9369" s="1">
        <v>83.843999999999994</v>
      </c>
    </row>
    <row r="9370" spans="1:9" x14ac:dyDescent="0.35">
      <c r="A9370" s="3">
        <v>42555</v>
      </c>
      <c r="B9370" s="1" t="s">
        <v>110</v>
      </c>
      <c r="C9370" s="1" t="s">
        <v>536</v>
      </c>
      <c r="D9370" s="1" t="s">
        <v>388</v>
      </c>
      <c r="E9370" s="1" t="s">
        <v>44</v>
      </c>
      <c r="F9370" s="2" t="s">
        <v>527</v>
      </c>
      <c r="G9370" s="1">
        <v>37.94</v>
      </c>
      <c r="H9370" s="1">
        <v>2</v>
      </c>
      <c r="I9370" s="1">
        <v>18.211200000000002</v>
      </c>
    </row>
    <row r="9371" spans="1:9" x14ac:dyDescent="0.35">
      <c r="A9371" s="3">
        <v>42927</v>
      </c>
      <c r="B9371" s="1" t="s">
        <v>1686</v>
      </c>
      <c r="C9371" s="1" t="s">
        <v>1397</v>
      </c>
      <c r="D9371" s="1" t="s">
        <v>1217</v>
      </c>
      <c r="E9371" s="1" t="s">
        <v>14</v>
      </c>
      <c r="F9371" s="2" t="s">
        <v>2417</v>
      </c>
      <c r="G9371" s="1">
        <v>272.97000000000003</v>
      </c>
      <c r="H9371" s="1">
        <v>3</v>
      </c>
      <c r="I9371" s="1">
        <v>43.675199999999997</v>
      </c>
    </row>
    <row r="9372" spans="1:9" x14ac:dyDescent="0.35">
      <c r="A9372" s="3" t="s">
        <v>3839</v>
      </c>
      <c r="B9372" s="1" t="s">
        <v>3010</v>
      </c>
      <c r="C9372" s="1" t="s">
        <v>249</v>
      </c>
      <c r="D9372" s="1" t="s">
        <v>250</v>
      </c>
      <c r="E9372" s="1" t="s">
        <v>29</v>
      </c>
      <c r="F9372" s="2" t="s">
        <v>3062</v>
      </c>
      <c r="G9372" s="1">
        <v>41.567999999999998</v>
      </c>
      <c r="H9372" s="1">
        <v>4</v>
      </c>
      <c r="I9372" s="1">
        <v>-4.1567999999999996</v>
      </c>
    </row>
    <row r="9373" spans="1:9" x14ac:dyDescent="0.35">
      <c r="A9373" s="3" t="s">
        <v>3839</v>
      </c>
      <c r="B9373" s="1" t="s">
        <v>3010</v>
      </c>
      <c r="C9373" s="1" t="s">
        <v>249</v>
      </c>
      <c r="D9373" s="1" t="s">
        <v>250</v>
      </c>
      <c r="E9373" s="1" t="s">
        <v>14</v>
      </c>
      <c r="F9373" s="2" t="s">
        <v>195</v>
      </c>
      <c r="G9373" s="1">
        <v>317.05799999999999</v>
      </c>
      <c r="H9373" s="1">
        <v>3</v>
      </c>
      <c r="I9373" s="1">
        <v>-86.058599999999998</v>
      </c>
    </row>
    <row r="9374" spans="1:9" x14ac:dyDescent="0.35">
      <c r="A9374" s="3" t="s">
        <v>3839</v>
      </c>
      <c r="B9374" s="1" t="s">
        <v>3010</v>
      </c>
      <c r="C9374" s="1" t="s">
        <v>249</v>
      </c>
      <c r="D9374" s="1" t="s">
        <v>250</v>
      </c>
      <c r="E9374" s="1" t="s">
        <v>137</v>
      </c>
      <c r="F9374" s="2" t="s">
        <v>287</v>
      </c>
      <c r="G9374" s="1">
        <v>8.0399999999999991</v>
      </c>
      <c r="H9374" s="1">
        <v>5</v>
      </c>
      <c r="I9374" s="1">
        <v>2.9144999999999999</v>
      </c>
    </row>
    <row r="9375" spans="1:9" x14ac:dyDescent="0.35">
      <c r="A9375" s="3">
        <v>42921</v>
      </c>
      <c r="B9375" s="1" t="s">
        <v>899</v>
      </c>
      <c r="C9375" s="1" t="s">
        <v>301</v>
      </c>
      <c r="D9375" s="1" t="s">
        <v>18</v>
      </c>
      <c r="E9375" s="1" t="s">
        <v>33</v>
      </c>
      <c r="F9375" s="2" t="s">
        <v>1558</v>
      </c>
      <c r="G9375" s="1">
        <v>419.94400000000002</v>
      </c>
      <c r="H9375" s="1">
        <v>7</v>
      </c>
      <c r="I9375" s="1">
        <v>52.493000000000002</v>
      </c>
    </row>
    <row r="9376" spans="1:9" x14ac:dyDescent="0.35">
      <c r="A9376" s="3">
        <v>42496</v>
      </c>
      <c r="B9376" s="1" t="s">
        <v>175</v>
      </c>
      <c r="C9376" s="1" t="s">
        <v>47</v>
      </c>
      <c r="D9376" s="1" t="s">
        <v>48</v>
      </c>
      <c r="E9376" s="1" t="s">
        <v>289</v>
      </c>
      <c r="F9376" s="2" t="s">
        <v>1190</v>
      </c>
      <c r="G9376" s="1">
        <v>61.38</v>
      </c>
      <c r="H9376" s="1">
        <v>6</v>
      </c>
      <c r="I9376" s="1">
        <v>15.9588</v>
      </c>
    </row>
    <row r="9377" spans="1:9" x14ac:dyDescent="0.35">
      <c r="A9377" s="3" t="s">
        <v>3616</v>
      </c>
      <c r="B9377" s="1" t="s">
        <v>873</v>
      </c>
      <c r="C9377" s="1" t="s">
        <v>17</v>
      </c>
      <c r="D9377" s="1" t="s">
        <v>18</v>
      </c>
      <c r="E9377" s="1" t="s">
        <v>81</v>
      </c>
      <c r="F9377" s="2" t="s">
        <v>1795</v>
      </c>
      <c r="G9377" s="1">
        <v>50</v>
      </c>
      <c r="H9377" s="1">
        <v>2</v>
      </c>
      <c r="I9377" s="1">
        <v>10.5</v>
      </c>
    </row>
    <row r="9378" spans="1:9" x14ac:dyDescent="0.35">
      <c r="A9378" s="3" t="s">
        <v>3174</v>
      </c>
      <c r="B9378" s="1" t="s">
        <v>118</v>
      </c>
      <c r="C9378" s="1" t="s">
        <v>3124</v>
      </c>
      <c r="D9378" s="1" t="s">
        <v>388</v>
      </c>
      <c r="E9378" s="1" t="s">
        <v>81</v>
      </c>
      <c r="F9378" s="2" t="s">
        <v>2750</v>
      </c>
      <c r="G9378" s="1">
        <v>31.8</v>
      </c>
      <c r="H9378" s="1">
        <v>3</v>
      </c>
      <c r="I9378" s="1">
        <v>13.673999999999999</v>
      </c>
    </row>
    <row r="9379" spans="1:9" x14ac:dyDescent="0.35">
      <c r="A9379" s="3" t="s">
        <v>3274</v>
      </c>
      <c r="B9379" s="1" t="s">
        <v>1184</v>
      </c>
      <c r="C9379" s="1" t="s">
        <v>2442</v>
      </c>
      <c r="D9379" s="1" t="s">
        <v>57</v>
      </c>
      <c r="E9379" s="1" t="s">
        <v>26</v>
      </c>
      <c r="F9379" s="2" t="s">
        <v>2613</v>
      </c>
      <c r="G9379" s="1">
        <v>32.56</v>
      </c>
      <c r="H9379" s="1">
        <v>2</v>
      </c>
      <c r="I9379" s="1">
        <v>8.4656000000000002</v>
      </c>
    </row>
    <row r="9380" spans="1:9" x14ac:dyDescent="0.35">
      <c r="A9380" s="3">
        <v>42648</v>
      </c>
      <c r="B9380" s="1" t="s">
        <v>1543</v>
      </c>
      <c r="C9380" s="1" t="s">
        <v>154</v>
      </c>
      <c r="D9380" s="1" t="s">
        <v>106</v>
      </c>
      <c r="E9380" s="1" t="s">
        <v>87</v>
      </c>
      <c r="F9380" s="2" t="s">
        <v>3125</v>
      </c>
      <c r="G9380" s="1">
        <v>7.0720000000000001</v>
      </c>
      <c r="H9380" s="1">
        <v>2</v>
      </c>
      <c r="I9380" s="1">
        <v>2.3868</v>
      </c>
    </row>
    <row r="9381" spans="1:9" x14ac:dyDescent="0.35">
      <c r="A9381" s="3" t="s">
        <v>3352</v>
      </c>
      <c r="B9381" s="1" t="s">
        <v>469</v>
      </c>
      <c r="C9381" s="1" t="s">
        <v>438</v>
      </c>
      <c r="D9381" s="1" t="s">
        <v>23</v>
      </c>
      <c r="E9381" s="1" t="s">
        <v>44</v>
      </c>
      <c r="F9381" s="2" t="s">
        <v>2041</v>
      </c>
      <c r="G9381" s="1">
        <v>45.527999999999999</v>
      </c>
      <c r="H9381" s="1">
        <v>3</v>
      </c>
      <c r="I9381" s="1">
        <v>15.934799999999999</v>
      </c>
    </row>
    <row r="9382" spans="1:9" x14ac:dyDescent="0.35">
      <c r="A9382" s="3" t="s">
        <v>3352</v>
      </c>
      <c r="B9382" s="1" t="s">
        <v>469</v>
      </c>
      <c r="C9382" s="1" t="s">
        <v>438</v>
      </c>
      <c r="D9382" s="1" t="s">
        <v>23</v>
      </c>
      <c r="E9382" s="1" t="s">
        <v>14</v>
      </c>
      <c r="F9382" s="2" t="s">
        <v>354</v>
      </c>
      <c r="G9382" s="1">
        <v>64.784000000000006</v>
      </c>
      <c r="H9382" s="1">
        <v>1</v>
      </c>
      <c r="I9382" s="1">
        <v>6.4783999999999997</v>
      </c>
    </row>
    <row r="9383" spans="1:9" x14ac:dyDescent="0.35">
      <c r="A9383" s="3" t="s">
        <v>3352</v>
      </c>
      <c r="B9383" s="1" t="s">
        <v>469</v>
      </c>
      <c r="C9383" s="1" t="s">
        <v>438</v>
      </c>
      <c r="D9383" s="1" t="s">
        <v>23</v>
      </c>
      <c r="E9383" s="1" t="s">
        <v>26</v>
      </c>
      <c r="F9383" s="2" t="s">
        <v>2051</v>
      </c>
      <c r="G9383" s="1">
        <v>424.27199999999999</v>
      </c>
      <c r="H9383" s="1">
        <v>2</v>
      </c>
      <c r="I9383" s="1">
        <v>-10.6068</v>
      </c>
    </row>
    <row r="9384" spans="1:9" x14ac:dyDescent="0.35">
      <c r="A9384" s="3" t="s">
        <v>3352</v>
      </c>
      <c r="B9384" s="1" t="s">
        <v>469</v>
      </c>
      <c r="C9384" s="1" t="s">
        <v>438</v>
      </c>
      <c r="D9384" s="1" t="s">
        <v>23</v>
      </c>
      <c r="E9384" s="1" t="s">
        <v>31</v>
      </c>
      <c r="F9384" s="2" t="s">
        <v>147</v>
      </c>
      <c r="G9384" s="1">
        <v>1.3440000000000001</v>
      </c>
      <c r="H9384" s="1">
        <v>1</v>
      </c>
      <c r="I9384" s="1">
        <v>0.504</v>
      </c>
    </row>
    <row r="9385" spans="1:9" x14ac:dyDescent="0.35">
      <c r="A9385" s="3" t="s">
        <v>3352</v>
      </c>
      <c r="B9385" s="1" t="s">
        <v>469</v>
      </c>
      <c r="C9385" s="1" t="s">
        <v>438</v>
      </c>
      <c r="D9385" s="1" t="s">
        <v>23</v>
      </c>
      <c r="E9385" s="1" t="s">
        <v>26</v>
      </c>
      <c r="F9385" s="2" t="s">
        <v>1710</v>
      </c>
      <c r="G9385" s="1">
        <v>83.92</v>
      </c>
      <c r="H9385" s="1">
        <v>5</v>
      </c>
      <c r="I9385" s="1">
        <v>-1.0489999999999999</v>
      </c>
    </row>
    <row r="9386" spans="1:9" x14ac:dyDescent="0.35">
      <c r="A9386" s="3">
        <v>43047</v>
      </c>
      <c r="B9386" s="1" t="s">
        <v>1192</v>
      </c>
      <c r="C9386" s="1" t="s">
        <v>135</v>
      </c>
      <c r="D9386" s="1" t="s">
        <v>136</v>
      </c>
      <c r="E9386" s="1" t="s">
        <v>44</v>
      </c>
      <c r="F9386" s="2" t="s">
        <v>878</v>
      </c>
      <c r="G9386" s="1">
        <v>25.92</v>
      </c>
      <c r="H9386" s="1">
        <v>4</v>
      </c>
      <c r="I9386" s="1">
        <v>12.441599999999999</v>
      </c>
    </row>
    <row r="9387" spans="1:9" x14ac:dyDescent="0.35">
      <c r="A9387" s="3" t="s">
        <v>3298</v>
      </c>
      <c r="B9387" s="1" t="s">
        <v>894</v>
      </c>
      <c r="C9387" s="1" t="s">
        <v>849</v>
      </c>
      <c r="D9387" s="1" t="s">
        <v>158</v>
      </c>
      <c r="E9387" s="1" t="s">
        <v>29</v>
      </c>
      <c r="F9387" s="2" t="s">
        <v>1928</v>
      </c>
      <c r="G9387" s="1">
        <v>120.57599999999999</v>
      </c>
      <c r="H9387" s="1">
        <v>8</v>
      </c>
      <c r="I9387" s="1">
        <v>33.1584</v>
      </c>
    </row>
    <row r="9388" spans="1:9" x14ac:dyDescent="0.35">
      <c r="A9388" s="3" t="s">
        <v>3834</v>
      </c>
      <c r="B9388" s="1" t="s">
        <v>1866</v>
      </c>
      <c r="C9388" s="1" t="s">
        <v>1011</v>
      </c>
      <c r="D9388" s="1" t="s">
        <v>2122</v>
      </c>
      <c r="E9388" s="1" t="s">
        <v>44</v>
      </c>
      <c r="F9388" s="2" t="s">
        <v>687</v>
      </c>
      <c r="G9388" s="1">
        <v>79.92</v>
      </c>
      <c r="H9388" s="1">
        <v>4</v>
      </c>
      <c r="I9388" s="1">
        <v>37.562399999999997</v>
      </c>
    </row>
    <row r="9389" spans="1:9" x14ac:dyDescent="0.35">
      <c r="A9389" s="3" t="s">
        <v>3834</v>
      </c>
      <c r="B9389" s="1" t="s">
        <v>1866</v>
      </c>
      <c r="C9389" s="1" t="s">
        <v>1011</v>
      </c>
      <c r="D9389" s="1" t="s">
        <v>2122</v>
      </c>
      <c r="E9389" s="1" t="s">
        <v>44</v>
      </c>
      <c r="F9389" s="2" t="s">
        <v>595</v>
      </c>
      <c r="G9389" s="1">
        <v>12.28</v>
      </c>
      <c r="H9389" s="1">
        <v>1</v>
      </c>
      <c r="I9389" s="1">
        <v>5.7716000000000003</v>
      </c>
    </row>
    <row r="9390" spans="1:9" x14ac:dyDescent="0.35">
      <c r="A9390" s="3" t="s">
        <v>3834</v>
      </c>
      <c r="B9390" s="1" t="s">
        <v>1866</v>
      </c>
      <c r="C9390" s="1" t="s">
        <v>1011</v>
      </c>
      <c r="D9390" s="1" t="s">
        <v>2122</v>
      </c>
      <c r="E9390" s="1" t="s">
        <v>37</v>
      </c>
      <c r="F9390" s="2" t="s">
        <v>1852</v>
      </c>
      <c r="G9390" s="1">
        <v>542.94000000000005</v>
      </c>
      <c r="H9390" s="1">
        <v>3</v>
      </c>
      <c r="I9390" s="1">
        <v>152.0232</v>
      </c>
    </row>
    <row r="9391" spans="1:9" x14ac:dyDescent="0.35">
      <c r="A9391" s="3" t="s">
        <v>3834</v>
      </c>
      <c r="B9391" s="1" t="s">
        <v>1866</v>
      </c>
      <c r="C9391" s="1" t="s">
        <v>1011</v>
      </c>
      <c r="D9391" s="1" t="s">
        <v>2122</v>
      </c>
      <c r="E9391" s="1" t="s">
        <v>87</v>
      </c>
      <c r="F9391" s="2" t="s">
        <v>88</v>
      </c>
      <c r="G9391" s="1">
        <v>2.04</v>
      </c>
      <c r="H9391" s="1">
        <v>1</v>
      </c>
      <c r="I9391" s="1">
        <v>0.95879999999999999</v>
      </c>
    </row>
    <row r="9392" spans="1:9" x14ac:dyDescent="0.35">
      <c r="A9392" s="3" t="s">
        <v>3553</v>
      </c>
      <c r="B9392" s="1" t="s">
        <v>1637</v>
      </c>
      <c r="C9392" s="1" t="s">
        <v>93</v>
      </c>
      <c r="D9392" s="1" t="s">
        <v>52</v>
      </c>
      <c r="E9392" s="1" t="s">
        <v>26</v>
      </c>
      <c r="F9392" s="2" t="s">
        <v>2120</v>
      </c>
      <c r="G9392" s="1">
        <v>228.92</v>
      </c>
      <c r="H9392" s="1">
        <v>5</v>
      </c>
      <c r="I9392" s="1">
        <v>14.307499999999999</v>
      </c>
    </row>
    <row r="9393" spans="1:9" x14ac:dyDescent="0.35">
      <c r="A9393" s="3" t="s">
        <v>3328</v>
      </c>
      <c r="B9393" s="1" t="s">
        <v>1426</v>
      </c>
      <c r="C9393" s="1" t="s">
        <v>228</v>
      </c>
      <c r="D9393" s="1" t="s">
        <v>106</v>
      </c>
      <c r="E9393" s="1" t="s">
        <v>33</v>
      </c>
      <c r="F9393" s="2" t="s">
        <v>1451</v>
      </c>
      <c r="G9393" s="1">
        <v>7.992</v>
      </c>
      <c r="H9393" s="1">
        <v>1</v>
      </c>
      <c r="I9393" s="1">
        <v>2.5973999999999999</v>
      </c>
    </row>
    <row r="9394" spans="1:9" x14ac:dyDescent="0.35">
      <c r="A9394" s="3" t="s">
        <v>3543</v>
      </c>
      <c r="B9394" s="1" t="s">
        <v>1356</v>
      </c>
      <c r="C9394" s="1" t="s">
        <v>395</v>
      </c>
      <c r="D9394" s="1" t="s">
        <v>229</v>
      </c>
      <c r="E9394" s="1" t="s">
        <v>14</v>
      </c>
      <c r="F9394" s="2" t="s">
        <v>2417</v>
      </c>
      <c r="G9394" s="1">
        <v>582.33600000000001</v>
      </c>
      <c r="H9394" s="1">
        <v>8</v>
      </c>
      <c r="I9394" s="1">
        <v>-29.116800000000001</v>
      </c>
    </row>
    <row r="9395" spans="1:9" x14ac:dyDescent="0.35">
      <c r="A9395" s="3" t="s">
        <v>3177</v>
      </c>
      <c r="B9395" s="1" t="s">
        <v>2138</v>
      </c>
      <c r="C9395" s="1" t="s">
        <v>135</v>
      </c>
      <c r="D9395" s="1" t="s">
        <v>136</v>
      </c>
      <c r="E9395" s="1" t="s">
        <v>33</v>
      </c>
      <c r="F9395" s="2" t="s">
        <v>2586</v>
      </c>
      <c r="G9395" s="1">
        <v>629.95000000000005</v>
      </c>
      <c r="H9395" s="1">
        <v>5</v>
      </c>
      <c r="I9395" s="1">
        <v>157.48750000000001</v>
      </c>
    </row>
    <row r="9396" spans="1:9" x14ac:dyDescent="0.35">
      <c r="A9396" s="3" t="s">
        <v>3177</v>
      </c>
      <c r="B9396" s="1" t="s">
        <v>2138</v>
      </c>
      <c r="C9396" s="1" t="s">
        <v>135</v>
      </c>
      <c r="D9396" s="1" t="s">
        <v>136</v>
      </c>
      <c r="E9396" s="1" t="s">
        <v>14</v>
      </c>
      <c r="F9396" s="2" t="s">
        <v>1150</v>
      </c>
      <c r="G9396" s="1">
        <v>631.78200000000004</v>
      </c>
      <c r="H9396" s="1">
        <v>2</v>
      </c>
      <c r="I9396" s="1">
        <v>140.39599999999999</v>
      </c>
    </row>
    <row r="9397" spans="1:9" x14ac:dyDescent="0.35">
      <c r="A9397" s="3" t="s">
        <v>3177</v>
      </c>
      <c r="B9397" s="1" t="s">
        <v>2138</v>
      </c>
      <c r="C9397" s="1" t="s">
        <v>135</v>
      </c>
      <c r="D9397" s="1" t="s">
        <v>136</v>
      </c>
      <c r="E9397" s="1" t="s">
        <v>12</v>
      </c>
      <c r="F9397" s="2" t="s">
        <v>2059</v>
      </c>
      <c r="G9397" s="1">
        <v>801.56799999999998</v>
      </c>
      <c r="H9397" s="1">
        <v>2</v>
      </c>
      <c r="I9397" s="1">
        <v>-10.019600000000001</v>
      </c>
    </row>
    <row r="9398" spans="1:9" x14ac:dyDescent="0.35">
      <c r="A9398" s="3" t="s">
        <v>3177</v>
      </c>
      <c r="B9398" s="1" t="s">
        <v>2138</v>
      </c>
      <c r="C9398" s="1" t="s">
        <v>135</v>
      </c>
      <c r="D9398" s="1" t="s">
        <v>136</v>
      </c>
      <c r="E9398" s="1" t="s">
        <v>19</v>
      </c>
      <c r="F9398" s="2" t="s">
        <v>131</v>
      </c>
      <c r="G9398" s="1">
        <v>75.180000000000007</v>
      </c>
      <c r="H9398" s="1">
        <v>6</v>
      </c>
      <c r="I9398" s="1">
        <v>35.334600000000002</v>
      </c>
    </row>
    <row r="9399" spans="1:9" x14ac:dyDescent="0.35">
      <c r="A9399" s="3" t="s">
        <v>3177</v>
      </c>
      <c r="B9399" s="1" t="s">
        <v>2138</v>
      </c>
      <c r="C9399" s="1" t="s">
        <v>135</v>
      </c>
      <c r="D9399" s="1" t="s">
        <v>136</v>
      </c>
      <c r="E9399" s="1" t="s">
        <v>37</v>
      </c>
      <c r="F9399" s="2" t="s">
        <v>2108</v>
      </c>
      <c r="G9399" s="1">
        <v>30.98</v>
      </c>
      <c r="H9399" s="1">
        <v>1</v>
      </c>
      <c r="I9399" s="1">
        <v>8.0548000000000002</v>
      </c>
    </row>
    <row r="9400" spans="1:9" x14ac:dyDescent="0.35">
      <c r="A9400" s="3" t="s">
        <v>3177</v>
      </c>
      <c r="B9400" s="1" t="s">
        <v>2138</v>
      </c>
      <c r="C9400" s="1" t="s">
        <v>135</v>
      </c>
      <c r="D9400" s="1" t="s">
        <v>136</v>
      </c>
      <c r="E9400" s="1" t="s">
        <v>33</v>
      </c>
      <c r="F9400" s="2" t="s">
        <v>2206</v>
      </c>
      <c r="G9400" s="1">
        <v>1349.91</v>
      </c>
      <c r="H9400" s="1">
        <v>9</v>
      </c>
      <c r="I9400" s="1">
        <v>661.45590000000004</v>
      </c>
    </row>
    <row r="9401" spans="1:9" x14ac:dyDescent="0.35">
      <c r="A9401" s="3">
        <v>42685</v>
      </c>
      <c r="B9401" s="1" t="s">
        <v>3126</v>
      </c>
      <c r="C9401" s="1" t="s">
        <v>3127</v>
      </c>
      <c r="D9401" s="1" t="s">
        <v>106</v>
      </c>
      <c r="E9401" s="1" t="s">
        <v>31</v>
      </c>
      <c r="F9401" s="2" t="s">
        <v>896</v>
      </c>
      <c r="G9401" s="1">
        <v>14.112</v>
      </c>
      <c r="H9401" s="1">
        <v>6</v>
      </c>
      <c r="I9401" s="1">
        <v>1.2347999999999999</v>
      </c>
    </row>
    <row r="9402" spans="1:9" x14ac:dyDescent="0.35">
      <c r="A9402" s="3" t="s">
        <v>3840</v>
      </c>
      <c r="B9402" s="1" t="s">
        <v>857</v>
      </c>
      <c r="C9402" s="1" t="s">
        <v>2227</v>
      </c>
      <c r="D9402" s="1" t="s">
        <v>163</v>
      </c>
      <c r="E9402" s="1" t="s">
        <v>87</v>
      </c>
      <c r="F9402" s="2" t="s">
        <v>332</v>
      </c>
      <c r="G9402" s="1">
        <v>31.12</v>
      </c>
      <c r="H9402" s="1">
        <v>4</v>
      </c>
      <c r="I9402" s="1">
        <v>14.6264</v>
      </c>
    </row>
    <row r="9403" spans="1:9" x14ac:dyDescent="0.35">
      <c r="A9403" s="3" t="s">
        <v>3841</v>
      </c>
      <c r="B9403" s="1" t="s">
        <v>879</v>
      </c>
      <c r="C9403" s="1" t="s">
        <v>621</v>
      </c>
      <c r="D9403" s="1" t="s">
        <v>158</v>
      </c>
      <c r="E9403" s="1" t="s">
        <v>29</v>
      </c>
      <c r="F9403" s="2" t="s">
        <v>2609</v>
      </c>
      <c r="G9403" s="1">
        <v>4.2720000000000002</v>
      </c>
      <c r="H9403" s="1">
        <v>2</v>
      </c>
      <c r="I9403" s="1">
        <v>0.96120000000000005</v>
      </c>
    </row>
    <row r="9404" spans="1:9" x14ac:dyDescent="0.35">
      <c r="A9404" s="3">
        <v>42712</v>
      </c>
      <c r="B9404" s="1" t="s">
        <v>1509</v>
      </c>
      <c r="C9404" s="1" t="s">
        <v>135</v>
      </c>
      <c r="D9404" s="1" t="s">
        <v>136</v>
      </c>
      <c r="E9404" s="1" t="s">
        <v>24</v>
      </c>
      <c r="F9404" s="2" t="s">
        <v>1086</v>
      </c>
      <c r="G9404" s="1">
        <v>209.148</v>
      </c>
      <c r="H9404" s="1">
        <v>2</v>
      </c>
      <c r="I9404" s="1">
        <v>-66.230199999999996</v>
      </c>
    </row>
    <row r="9405" spans="1:9" x14ac:dyDescent="0.35">
      <c r="A9405" s="3">
        <v>42712</v>
      </c>
      <c r="B9405" s="1" t="s">
        <v>1509</v>
      </c>
      <c r="C9405" s="1" t="s">
        <v>135</v>
      </c>
      <c r="D9405" s="1" t="s">
        <v>136</v>
      </c>
      <c r="E9405" s="1" t="s">
        <v>26</v>
      </c>
      <c r="F9405" s="2" t="s">
        <v>2051</v>
      </c>
      <c r="G9405" s="1">
        <v>1591.02</v>
      </c>
      <c r="H9405" s="1">
        <v>6</v>
      </c>
      <c r="I9405" s="1">
        <v>286.3836</v>
      </c>
    </row>
    <row r="9406" spans="1:9" x14ac:dyDescent="0.35">
      <c r="A9406" s="3" t="s">
        <v>3815</v>
      </c>
      <c r="B9406" s="1" t="s">
        <v>1184</v>
      </c>
      <c r="C9406" s="1" t="s">
        <v>74</v>
      </c>
      <c r="D9406" s="1" t="s">
        <v>75</v>
      </c>
      <c r="E9406" s="1" t="s">
        <v>137</v>
      </c>
      <c r="F9406" s="2" t="s">
        <v>2043</v>
      </c>
      <c r="G9406" s="1">
        <v>7.92</v>
      </c>
      <c r="H9406" s="1">
        <v>5</v>
      </c>
      <c r="I9406" s="1">
        <v>1.6830000000000001</v>
      </c>
    </row>
    <row r="9407" spans="1:9" x14ac:dyDescent="0.35">
      <c r="A9407" s="3" t="s">
        <v>3267</v>
      </c>
      <c r="B9407" s="1" t="s">
        <v>221</v>
      </c>
      <c r="C9407" s="1" t="s">
        <v>154</v>
      </c>
      <c r="D9407" s="1" t="s">
        <v>106</v>
      </c>
      <c r="E9407" s="1" t="s">
        <v>338</v>
      </c>
      <c r="F9407" s="2" t="s">
        <v>2336</v>
      </c>
      <c r="G9407" s="1">
        <v>574.91</v>
      </c>
      <c r="H9407" s="1">
        <v>2</v>
      </c>
      <c r="I9407" s="1">
        <v>156.047</v>
      </c>
    </row>
    <row r="9408" spans="1:9" x14ac:dyDescent="0.35">
      <c r="A9408" s="3" t="s">
        <v>3267</v>
      </c>
      <c r="B9408" s="1" t="s">
        <v>221</v>
      </c>
      <c r="C9408" s="1" t="s">
        <v>154</v>
      </c>
      <c r="D9408" s="1" t="s">
        <v>106</v>
      </c>
      <c r="E9408" s="1" t="s">
        <v>44</v>
      </c>
      <c r="F9408" s="2" t="s">
        <v>2898</v>
      </c>
      <c r="G9408" s="1">
        <v>8.4480000000000004</v>
      </c>
      <c r="H9408" s="1">
        <v>2</v>
      </c>
      <c r="I9408" s="1">
        <v>2.64</v>
      </c>
    </row>
    <row r="9409" spans="1:9" x14ac:dyDescent="0.35">
      <c r="A9409" s="3" t="s">
        <v>3351</v>
      </c>
      <c r="B9409" s="1" t="s">
        <v>398</v>
      </c>
      <c r="C9409" s="1" t="s">
        <v>135</v>
      </c>
      <c r="D9409" s="1" t="s">
        <v>136</v>
      </c>
      <c r="E9409" s="1" t="s">
        <v>81</v>
      </c>
      <c r="F9409" s="2" t="s">
        <v>1987</v>
      </c>
      <c r="G9409" s="1">
        <v>1071</v>
      </c>
      <c r="H9409" s="1">
        <v>9</v>
      </c>
      <c r="I9409" s="1">
        <v>171.36</v>
      </c>
    </row>
    <row r="9410" spans="1:9" x14ac:dyDescent="0.35">
      <c r="A9410" s="3" t="s">
        <v>3351</v>
      </c>
      <c r="B9410" s="1" t="s">
        <v>398</v>
      </c>
      <c r="C9410" s="1" t="s">
        <v>135</v>
      </c>
      <c r="D9410" s="1" t="s">
        <v>136</v>
      </c>
      <c r="E9410" s="1" t="s">
        <v>29</v>
      </c>
      <c r="F9410" s="2" t="s">
        <v>2884</v>
      </c>
      <c r="G9410" s="1">
        <v>12.07</v>
      </c>
      <c r="H9410" s="1">
        <v>1</v>
      </c>
      <c r="I9410" s="1">
        <v>3.9830999999999999</v>
      </c>
    </row>
    <row r="9411" spans="1:9" x14ac:dyDescent="0.35">
      <c r="A9411" s="3">
        <v>43020</v>
      </c>
      <c r="B9411" s="1" t="s">
        <v>2071</v>
      </c>
      <c r="C9411" s="1" t="s">
        <v>74</v>
      </c>
      <c r="D9411" s="1" t="s">
        <v>75</v>
      </c>
      <c r="E9411" s="1" t="s">
        <v>35</v>
      </c>
      <c r="F9411" s="2" t="s">
        <v>1115</v>
      </c>
      <c r="G9411" s="1">
        <v>3.2730000000000001</v>
      </c>
      <c r="H9411" s="1">
        <v>1</v>
      </c>
      <c r="I9411" s="1">
        <v>-2.5093000000000001</v>
      </c>
    </row>
    <row r="9412" spans="1:9" x14ac:dyDescent="0.35">
      <c r="A9412" s="3">
        <v>43020</v>
      </c>
      <c r="B9412" s="1" t="s">
        <v>2071</v>
      </c>
      <c r="C9412" s="1" t="s">
        <v>74</v>
      </c>
      <c r="D9412" s="1" t="s">
        <v>75</v>
      </c>
      <c r="E9412" s="1" t="s">
        <v>29</v>
      </c>
      <c r="F9412" s="2" t="s">
        <v>900</v>
      </c>
      <c r="G9412" s="1">
        <v>87.92</v>
      </c>
      <c r="H9412" s="1">
        <v>5</v>
      </c>
      <c r="I9412" s="1">
        <v>15.385999999999999</v>
      </c>
    </row>
    <row r="9413" spans="1:9" x14ac:dyDescent="0.35">
      <c r="A9413" s="3">
        <v>42646</v>
      </c>
      <c r="B9413" s="1" t="s">
        <v>760</v>
      </c>
      <c r="C9413" s="1" t="s">
        <v>1682</v>
      </c>
      <c r="D9413" s="1" t="s">
        <v>158</v>
      </c>
      <c r="E9413" s="1" t="s">
        <v>26</v>
      </c>
      <c r="F9413" s="2" t="s">
        <v>948</v>
      </c>
      <c r="G9413" s="1">
        <v>104.696</v>
      </c>
      <c r="H9413" s="1">
        <v>1</v>
      </c>
      <c r="I9413" s="1">
        <v>6.5434999999999999</v>
      </c>
    </row>
    <row r="9414" spans="1:9" x14ac:dyDescent="0.35">
      <c r="A9414" s="3" t="s">
        <v>3188</v>
      </c>
      <c r="B9414" s="1" t="s">
        <v>972</v>
      </c>
      <c r="C9414" s="1" t="s">
        <v>17</v>
      </c>
      <c r="D9414" s="1" t="s">
        <v>18</v>
      </c>
      <c r="E9414" s="1" t="s">
        <v>14</v>
      </c>
      <c r="F9414" s="2" t="s">
        <v>867</v>
      </c>
      <c r="G9414" s="1">
        <v>2803.92</v>
      </c>
      <c r="H9414" s="1">
        <v>5</v>
      </c>
      <c r="I9414" s="1">
        <v>0</v>
      </c>
    </row>
    <row r="9415" spans="1:9" x14ac:dyDescent="0.35">
      <c r="A9415" s="3" t="s">
        <v>3220</v>
      </c>
      <c r="B9415" s="1" t="s">
        <v>2112</v>
      </c>
      <c r="C9415" s="1" t="s">
        <v>93</v>
      </c>
      <c r="D9415" s="1" t="s">
        <v>52</v>
      </c>
      <c r="E9415" s="1" t="s">
        <v>35</v>
      </c>
      <c r="F9415" s="2" t="s">
        <v>1401</v>
      </c>
      <c r="G9415" s="1">
        <v>6.8159999999999998</v>
      </c>
      <c r="H9415" s="1">
        <v>2</v>
      </c>
      <c r="I9415" s="1">
        <v>-11.587199999999999</v>
      </c>
    </row>
    <row r="9416" spans="1:9" x14ac:dyDescent="0.35">
      <c r="A9416" s="3" t="s">
        <v>3697</v>
      </c>
      <c r="B9416" s="1" t="s">
        <v>1946</v>
      </c>
      <c r="C9416" s="1" t="s">
        <v>47</v>
      </c>
      <c r="D9416" s="1" t="s">
        <v>48</v>
      </c>
      <c r="E9416" s="1" t="s">
        <v>33</v>
      </c>
      <c r="F9416" s="2" t="s">
        <v>3035</v>
      </c>
      <c r="G9416" s="1">
        <v>249.584</v>
      </c>
      <c r="H9416" s="1">
        <v>2</v>
      </c>
      <c r="I9416" s="1">
        <v>15.599</v>
      </c>
    </row>
    <row r="9417" spans="1:9" x14ac:dyDescent="0.35">
      <c r="A9417" s="3" t="s">
        <v>3697</v>
      </c>
      <c r="B9417" s="1" t="s">
        <v>1946</v>
      </c>
      <c r="C9417" s="1" t="s">
        <v>47</v>
      </c>
      <c r="D9417" s="1" t="s">
        <v>48</v>
      </c>
      <c r="E9417" s="1" t="s">
        <v>44</v>
      </c>
      <c r="F9417" s="2" t="s">
        <v>2201</v>
      </c>
      <c r="G9417" s="1">
        <v>17.940000000000001</v>
      </c>
      <c r="H9417" s="1">
        <v>3</v>
      </c>
      <c r="I9417" s="1">
        <v>8.7905999999999995</v>
      </c>
    </row>
    <row r="9418" spans="1:9" x14ac:dyDescent="0.35">
      <c r="A9418" s="3" t="s">
        <v>3697</v>
      </c>
      <c r="B9418" s="1" t="s">
        <v>1946</v>
      </c>
      <c r="C9418" s="1" t="s">
        <v>47</v>
      </c>
      <c r="D9418" s="1" t="s">
        <v>48</v>
      </c>
      <c r="E9418" s="1" t="s">
        <v>29</v>
      </c>
      <c r="F9418" s="2" t="s">
        <v>452</v>
      </c>
      <c r="G9418" s="1">
        <v>10.11</v>
      </c>
      <c r="H9418" s="1">
        <v>3</v>
      </c>
      <c r="I9418" s="1">
        <v>3.2351999999999999</v>
      </c>
    </row>
    <row r="9419" spans="1:9" x14ac:dyDescent="0.35">
      <c r="A9419" s="3" t="s">
        <v>3842</v>
      </c>
      <c r="B9419" s="1" t="s">
        <v>1049</v>
      </c>
      <c r="C9419" s="1" t="s">
        <v>796</v>
      </c>
      <c r="D9419" s="1" t="s">
        <v>43</v>
      </c>
      <c r="E9419" s="1" t="s">
        <v>44</v>
      </c>
      <c r="F9419" s="2" t="s">
        <v>1335</v>
      </c>
      <c r="G9419" s="1">
        <v>10.368</v>
      </c>
      <c r="H9419" s="1">
        <v>2</v>
      </c>
      <c r="I9419" s="1">
        <v>3.6288</v>
      </c>
    </row>
    <row r="9420" spans="1:9" x14ac:dyDescent="0.35">
      <c r="A9420" s="3" t="s">
        <v>3842</v>
      </c>
      <c r="B9420" s="1" t="s">
        <v>1049</v>
      </c>
      <c r="C9420" s="1" t="s">
        <v>796</v>
      </c>
      <c r="D9420" s="1" t="s">
        <v>43</v>
      </c>
      <c r="E9420" s="1" t="s">
        <v>44</v>
      </c>
      <c r="F9420" s="2" t="s">
        <v>94</v>
      </c>
      <c r="G9420" s="1">
        <v>11.952</v>
      </c>
      <c r="H9420" s="1">
        <v>3</v>
      </c>
      <c r="I9420" s="1">
        <v>4.0338000000000003</v>
      </c>
    </row>
    <row r="9421" spans="1:9" x14ac:dyDescent="0.35">
      <c r="A9421" s="3">
        <v>42776</v>
      </c>
      <c r="B9421" s="1" t="s">
        <v>1054</v>
      </c>
      <c r="C9421" s="1" t="s">
        <v>93</v>
      </c>
      <c r="D9421" s="1" t="s">
        <v>52</v>
      </c>
      <c r="E9421" s="1" t="s">
        <v>37</v>
      </c>
      <c r="F9421" s="2" t="s">
        <v>917</v>
      </c>
      <c r="G9421" s="1">
        <v>15.224</v>
      </c>
      <c r="H9421" s="1">
        <v>2</v>
      </c>
      <c r="I9421" s="1">
        <v>-38.821199999999997</v>
      </c>
    </row>
    <row r="9422" spans="1:9" x14ac:dyDescent="0.35">
      <c r="A9422" s="3">
        <v>42776</v>
      </c>
      <c r="B9422" s="1" t="s">
        <v>1054</v>
      </c>
      <c r="C9422" s="1" t="s">
        <v>93</v>
      </c>
      <c r="D9422" s="1" t="s">
        <v>52</v>
      </c>
      <c r="E9422" s="1" t="s">
        <v>37</v>
      </c>
      <c r="F9422" s="2" t="s">
        <v>2584</v>
      </c>
      <c r="G9422" s="1">
        <v>21.984000000000002</v>
      </c>
      <c r="H9422" s="1">
        <v>6</v>
      </c>
      <c r="I9422" s="1">
        <v>-56.059199999999997</v>
      </c>
    </row>
    <row r="9423" spans="1:9" x14ac:dyDescent="0.35">
      <c r="A9423" s="3" t="s">
        <v>3777</v>
      </c>
      <c r="B9423" s="1" t="s">
        <v>2596</v>
      </c>
      <c r="C9423" s="1" t="s">
        <v>64</v>
      </c>
      <c r="D9423" s="1" t="s">
        <v>18</v>
      </c>
      <c r="E9423" s="1" t="s">
        <v>33</v>
      </c>
      <c r="F9423" s="2" t="s">
        <v>1788</v>
      </c>
      <c r="G9423" s="1">
        <v>604.75199999999995</v>
      </c>
      <c r="H9423" s="1">
        <v>6</v>
      </c>
      <c r="I9423" s="1">
        <v>60.475200000000001</v>
      </c>
    </row>
    <row r="9424" spans="1:9" x14ac:dyDescent="0.35">
      <c r="A9424" s="3" t="s">
        <v>3777</v>
      </c>
      <c r="B9424" s="1" t="s">
        <v>2596</v>
      </c>
      <c r="C9424" s="1" t="s">
        <v>64</v>
      </c>
      <c r="D9424" s="1" t="s">
        <v>18</v>
      </c>
      <c r="E9424" s="1" t="s">
        <v>289</v>
      </c>
      <c r="F9424" s="2" t="s">
        <v>1056</v>
      </c>
      <c r="G9424" s="1">
        <v>40.700000000000003</v>
      </c>
      <c r="H9424" s="1">
        <v>5</v>
      </c>
      <c r="I9424" s="1">
        <v>11.803000000000001</v>
      </c>
    </row>
    <row r="9425" spans="1:9" x14ac:dyDescent="0.35">
      <c r="A9425" s="3" t="s">
        <v>3777</v>
      </c>
      <c r="B9425" s="1" t="s">
        <v>2596</v>
      </c>
      <c r="C9425" s="1" t="s">
        <v>64</v>
      </c>
      <c r="D9425" s="1" t="s">
        <v>18</v>
      </c>
      <c r="E9425" s="1" t="s">
        <v>33</v>
      </c>
      <c r="F9425" s="2" t="s">
        <v>2343</v>
      </c>
      <c r="G9425" s="1">
        <v>302.37599999999998</v>
      </c>
      <c r="H9425" s="1">
        <v>3</v>
      </c>
      <c r="I9425" s="1">
        <v>37.796999999999997</v>
      </c>
    </row>
    <row r="9426" spans="1:9" x14ac:dyDescent="0.35">
      <c r="A9426" s="3" t="s">
        <v>3777</v>
      </c>
      <c r="B9426" s="1" t="s">
        <v>2596</v>
      </c>
      <c r="C9426" s="1" t="s">
        <v>64</v>
      </c>
      <c r="D9426" s="1" t="s">
        <v>18</v>
      </c>
      <c r="E9426" s="1" t="s">
        <v>81</v>
      </c>
      <c r="F9426" s="2" t="s">
        <v>125</v>
      </c>
      <c r="G9426" s="1">
        <v>45</v>
      </c>
      <c r="H9426" s="1">
        <v>3</v>
      </c>
      <c r="I9426" s="1">
        <v>4.95</v>
      </c>
    </row>
    <row r="9427" spans="1:9" x14ac:dyDescent="0.35">
      <c r="A9427" s="3">
        <v>41982</v>
      </c>
      <c r="B9427" s="1" t="s">
        <v>2010</v>
      </c>
      <c r="C9427" s="1" t="s">
        <v>135</v>
      </c>
      <c r="D9427" s="1" t="s">
        <v>136</v>
      </c>
      <c r="E9427" s="1" t="s">
        <v>14</v>
      </c>
      <c r="F9427" s="2" t="s">
        <v>867</v>
      </c>
      <c r="G9427" s="1">
        <v>3785.2919999999999</v>
      </c>
      <c r="H9427" s="1">
        <v>6</v>
      </c>
      <c r="I9427" s="1">
        <v>420.58800000000002</v>
      </c>
    </row>
    <row r="9428" spans="1:9" x14ac:dyDescent="0.35">
      <c r="A9428" s="3" t="s">
        <v>3561</v>
      </c>
      <c r="B9428" s="1" t="s">
        <v>2726</v>
      </c>
      <c r="C9428" s="1" t="s">
        <v>47</v>
      </c>
      <c r="D9428" s="1" t="s">
        <v>48</v>
      </c>
      <c r="E9428" s="1" t="s">
        <v>31</v>
      </c>
      <c r="F9428" s="2" t="s">
        <v>2763</v>
      </c>
      <c r="G9428" s="1">
        <v>35.4</v>
      </c>
      <c r="H9428" s="1">
        <v>5</v>
      </c>
      <c r="I9428" s="1">
        <v>13.452</v>
      </c>
    </row>
    <row r="9429" spans="1:9" x14ac:dyDescent="0.35">
      <c r="A9429" s="3" t="s">
        <v>3843</v>
      </c>
      <c r="B9429" s="1" t="s">
        <v>2561</v>
      </c>
      <c r="C9429" s="1" t="s">
        <v>1494</v>
      </c>
      <c r="D9429" s="1" t="s">
        <v>136</v>
      </c>
      <c r="E9429" s="1" t="s">
        <v>29</v>
      </c>
      <c r="F9429" s="2" t="s">
        <v>1500</v>
      </c>
      <c r="G9429" s="1">
        <v>199.9</v>
      </c>
      <c r="H9429" s="1">
        <v>5</v>
      </c>
      <c r="I9429" s="1">
        <v>39.979999999999997</v>
      </c>
    </row>
    <row r="9430" spans="1:9" x14ac:dyDescent="0.35">
      <c r="A9430" s="3">
        <v>41948</v>
      </c>
      <c r="B9430" s="1" t="s">
        <v>413</v>
      </c>
      <c r="C9430" s="1" t="s">
        <v>785</v>
      </c>
      <c r="D9430" s="1" t="s">
        <v>52</v>
      </c>
      <c r="E9430" s="1" t="s">
        <v>14</v>
      </c>
      <c r="F9430" s="2" t="s">
        <v>705</v>
      </c>
      <c r="G9430" s="1">
        <v>1212.96</v>
      </c>
      <c r="H9430" s="1">
        <v>8</v>
      </c>
      <c r="I9430" s="1">
        <v>-69.311999999999998</v>
      </c>
    </row>
    <row r="9431" spans="1:9" x14ac:dyDescent="0.35">
      <c r="A9431" s="3" t="s">
        <v>3326</v>
      </c>
      <c r="B9431" s="1" t="s">
        <v>542</v>
      </c>
      <c r="C9431" s="1" t="s">
        <v>399</v>
      </c>
      <c r="D9431" s="1" t="s">
        <v>52</v>
      </c>
      <c r="E9431" s="1" t="s">
        <v>33</v>
      </c>
      <c r="F9431" s="2" t="s">
        <v>1515</v>
      </c>
      <c r="G9431" s="1">
        <v>1099.96</v>
      </c>
      <c r="H9431" s="1">
        <v>5</v>
      </c>
      <c r="I9431" s="1">
        <v>82.497</v>
      </c>
    </row>
    <row r="9432" spans="1:9" x14ac:dyDescent="0.35">
      <c r="A9432" s="3" t="s">
        <v>3326</v>
      </c>
      <c r="B9432" s="1" t="s">
        <v>542</v>
      </c>
      <c r="C9432" s="1" t="s">
        <v>399</v>
      </c>
      <c r="D9432" s="1" t="s">
        <v>52</v>
      </c>
      <c r="E9432" s="1" t="s">
        <v>24</v>
      </c>
      <c r="F9432" s="2" t="s">
        <v>1862</v>
      </c>
      <c r="G9432" s="1">
        <v>103.48099999999999</v>
      </c>
      <c r="H9432" s="1">
        <v>1</v>
      </c>
      <c r="I9432" s="1">
        <v>-16.261299999999999</v>
      </c>
    </row>
    <row r="9433" spans="1:9" x14ac:dyDescent="0.35">
      <c r="A9433" s="3" t="s">
        <v>3553</v>
      </c>
      <c r="B9433" s="1" t="s">
        <v>1626</v>
      </c>
      <c r="C9433" s="1" t="s">
        <v>74</v>
      </c>
      <c r="D9433" s="1" t="s">
        <v>75</v>
      </c>
      <c r="E9433" s="1" t="s">
        <v>19</v>
      </c>
      <c r="F9433" s="2" t="s">
        <v>3118</v>
      </c>
      <c r="G9433" s="1">
        <v>5.9039999999999999</v>
      </c>
      <c r="H9433" s="1">
        <v>2</v>
      </c>
      <c r="I9433" s="1">
        <v>1.9925999999999999</v>
      </c>
    </row>
    <row r="9434" spans="1:9" x14ac:dyDescent="0.35">
      <c r="A9434" s="3" t="s">
        <v>3844</v>
      </c>
      <c r="B9434" s="1" t="s">
        <v>260</v>
      </c>
      <c r="C9434" s="1" t="s">
        <v>655</v>
      </c>
      <c r="D9434" s="1" t="s">
        <v>158</v>
      </c>
      <c r="E9434" s="1" t="s">
        <v>81</v>
      </c>
      <c r="F9434" s="2" t="s">
        <v>1989</v>
      </c>
      <c r="G9434" s="1">
        <v>30.08</v>
      </c>
      <c r="H9434" s="1">
        <v>2</v>
      </c>
      <c r="I9434" s="1">
        <v>-5.2640000000000002</v>
      </c>
    </row>
    <row r="9435" spans="1:9" x14ac:dyDescent="0.35">
      <c r="A9435" s="3" t="s">
        <v>3844</v>
      </c>
      <c r="B9435" s="1" t="s">
        <v>260</v>
      </c>
      <c r="C9435" s="1" t="s">
        <v>655</v>
      </c>
      <c r="D9435" s="1" t="s">
        <v>158</v>
      </c>
      <c r="E9435" s="1" t="s">
        <v>44</v>
      </c>
      <c r="F9435" s="2" t="s">
        <v>552</v>
      </c>
      <c r="G9435" s="1">
        <v>36.287999999999997</v>
      </c>
      <c r="H9435" s="1">
        <v>7</v>
      </c>
      <c r="I9435" s="1">
        <v>12.700799999999999</v>
      </c>
    </row>
    <row r="9436" spans="1:9" x14ac:dyDescent="0.35">
      <c r="A9436" s="3" t="s">
        <v>3844</v>
      </c>
      <c r="B9436" s="1" t="s">
        <v>260</v>
      </c>
      <c r="C9436" s="1" t="s">
        <v>655</v>
      </c>
      <c r="D9436" s="1" t="s">
        <v>158</v>
      </c>
      <c r="E9436" s="1" t="s">
        <v>31</v>
      </c>
      <c r="F9436" s="2" t="s">
        <v>1346</v>
      </c>
      <c r="G9436" s="1">
        <v>10.272</v>
      </c>
      <c r="H9436" s="1">
        <v>3</v>
      </c>
      <c r="I9436" s="1">
        <v>1.1556</v>
      </c>
    </row>
    <row r="9437" spans="1:9" x14ac:dyDescent="0.35">
      <c r="A9437" s="3" t="s">
        <v>3844</v>
      </c>
      <c r="B9437" s="1" t="s">
        <v>260</v>
      </c>
      <c r="C9437" s="1" t="s">
        <v>655</v>
      </c>
      <c r="D9437" s="1" t="s">
        <v>158</v>
      </c>
      <c r="E9437" s="1" t="s">
        <v>81</v>
      </c>
      <c r="F9437" s="2" t="s">
        <v>980</v>
      </c>
      <c r="G9437" s="1">
        <v>252.8</v>
      </c>
      <c r="H9437" s="1">
        <v>4</v>
      </c>
      <c r="I9437" s="1">
        <v>-31.6</v>
      </c>
    </row>
    <row r="9438" spans="1:9" x14ac:dyDescent="0.35">
      <c r="A9438" s="3" t="s">
        <v>3149</v>
      </c>
      <c r="B9438" s="1" t="s">
        <v>1110</v>
      </c>
      <c r="C9438" s="1" t="s">
        <v>74</v>
      </c>
      <c r="D9438" s="1" t="s">
        <v>75</v>
      </c>
      <c r="E9438" s="1" t="s">
        <v>35</v>
      </c>
      <c r="F9438" s="2" t="s">
        <v>1209</v>
      </c>
      <c r="G9438" s="1">
        <v>2.9460000000000002</v>
      </c>
      <c r="H9438" s="1">
        <v>2</v>
      </c>
      <c r="I9438" s="1">
        <v>-2.0621999999999998</v>
      </c>
    </row>
    <row r="9439" spans="1:9" x14ac:dyDescent="0.35">
      <c r="A9439" s="3" t="s">
        <v>3757</v>
      </c>
      <c r="B9439" s="1" t="s">
        <v>1128</v>
      </c>
      <c r="C9439" s="1" t="s">
        <v>1061</v>
      </c>
      <c r="D9439" s="1" t="s">
        <v>18</v>
      </c>
      <c r="E9439" s="1" t="s">
        <v>44</v>
      </c>
      <c r="F9439" s="2" t="s">
        <v>2390</v>
      </c>
      <c r="G9439" s="1">
        <v>12.96</v>
      </c>
      <c r="H9439" s="1">
        <v>2</v>
      </c>
      <c r="I9439" s="1">
        <v>6.2207999999999997</v>
      </c>
    </row>
    <row r="9440" spans="1:9" x14ac:dyDescent="0.35">
      <c r="A9440" s="3" t="s">
        <v>3450</v>
      </c>
      <c r="B9440" s="1" t="s">
        <v>1501</v>
      </c>
      <c r="C9440" s="1" t="s">
        <v>74</v>
      </c>
      <c r="D9440" s="1" t="s">
        <v>75</v>
      </c>
      <c r="E9440" s="1" t="s">
        <v>33</v>
      </c>
      <c r="F9440" s="2" t="s">
        <v>2106</v>
      </c>
      <c r="G9440" s="1">
        <v>285.57600000000002</v>
      </c>
      <c r="H9440" s="1">
        <v>4</v>
      </c>
      <c r="I9440" s="1">
        <v>-57.115200000000002</v>
      </c>
    </row>
    <row r="9441" spans="1:9" x14ac:dyDescent="0.35">
      <c r="A9441" s="3">
        <v>41983</v>
      </c>
      <c r="B9441" s="1" t="s">
        <v>2955</v>
      </c>
      <c r="C9441" s="1" t="s">
        <v>154</v>
      </c>
      <c r="D9441" s="1" t="s">
        <v>106</v>
      </c>
      <c r="E9441" s="1" t="s">
        <v>289</v>
      </c>
      <c r="F9441" s="2" t="s">
        <v>1993</v>
      </c>
      <c r="G9441" s="1">
        <v>22.24</v>
      </c>
      <c r="H9441" s="1">
        <v>2</v>
      </c>
      <c r="I9441" s="1">
        <v>2.5019999999999998</v>
      </c>
    </row>
    <row r="9442" spans="1:9" x14ac:dyDescent="0.35">
      <c r="A9442" s="3" t="s">
        <v>3845</v>
      </c>
      <c r="B9442" s="1" t="s">
        <v>2939</v>
      </c>
      <c r="C9442" s="1" t="s">
        <v>135</v>
      </c>
      <c r="D9442" s="1" t="s">
        <v>136</v>
      </c>
      <c r="E9442" s="1" t="s">
        <v>44</v>
      </c>
      <c r="F9442" s="2" t="s">
        <v>2479</v>
      </c>
      <c r="G9442" s="1">
        <v>14.62</v>
      </c>
      <c r="H9442" s="1">
        <v>2</v>
      </c>
      <c r="I9442" s="1">
        <v>6.7252000000000001</v>
      </c>
    </row>
    <row r="9443" spans="1:9" x14ac:dyDescent="0.35">
      <c r="A9443" s="3" t="s">
        <v>3490</v>
      </c>
      <c r="B9443" s="1" t="s">
        <v>3128</v>
      </c>
      <c r="C9443" s="1" t="s">
        <v>1793</v>
      </c>
      <c r="D9443" s="1" t="s">
        <v>250</v>
      </c>
      <c r="E9443" s="1" t="s">
        <v>37</v>
      </c>
      <c r="F9443" s="2" t="s">
        <v>1991</v>
      </c>
      <c r="G9443" s="1">
        <v>48.36</v>
      </c>
      <c r="H9443" s="1">
        <v>5</v>
      </c>
      <c r="I9443" s="1">
        <v>6.0449999999999999</v>
      </c>
    </row>
    <row r="9444" spans="1:9" x14ac:dyDescent="0.35">
      <c r="A9444" s="3">
        <v>42920</v>
      </c>
      <c r="B9444" s="1" t="s">
        <v>1332</v>
      </c>
      <c r="C9444" s="1" t="s">
        <v>719</v>
      </c>
      <c r="D9444" s="1" t="s">
        <v>23</v>
      </c>
      <c r="E9444" s="1" t="s">
        <v>31</v>
      </c>
      <c r="F9444" s="2" t="s">
        <v>738</v>
      </c>
      <c r="G9444" s="1">
        <v>16.256</v>
      </c>
      <c r="H9444" s="1">
        <v>2</v>
      </c>
      <c r="I9444" s="1">
        <v>1.2192000000000001</v>
      </c>
    </row>
    <row r="9445" spans="1:9" x14ac:dyDescent="0.35">
      <c r="A9445" s="3">
        <v>42920</v>
      </c>
      <c r="B9445" s="1" t="s">
        <v>1332</v>
      </c>
      <c r="C9445" s="1" t="s">
        <v>719</v>
      </c>
      <c r="D9445" s="1" t="s">
        <v>23</v>
      </c>
      <c r="E9445" s="1" t="s">
        <v>33</v>
      </c>
      <c r="F9445" s="2" t="s">
        <v>1395</v>
      </c>
      <c r="G9445" s="1">
        <v>219.184</v>
      </c>
      <c r="H9445" s="1">
        <v>2</v>
      </c>
      <c r="I9445" s="1">
        <v>19.178599999999999</v>
      </c>
    </row>
    <row r="9446" spans="1:9" x14ac:dyDescent="0.35">
      <c r="A9446" s="3">
        <v>42007</v>
      </c>
      <c r="B9446" s="1" t="s">
        <v>2714</v>
      </c>
      <c r="C9446" s="1" t="s">
        <v>1709</v>
      </c>
      <c r="D9446" s="1" t="s">
        <v>52</v>
      </c>
      <c r="E9446" s="1" t="s">
        <v>33</v>
      </c>
      <c r="F9446" s="2" t="s">
        <v>2695</v>
      </c>
      <c r="G9446" s="1">
        <v>95.84</v>
      </c>
      <c r="H9446" s="1">
        <v>4</v>
      </c>
      <c r="I9446" s="1">
        <v>34.741999999999997</v>
      </c>
    </row>
    <row r="9447" spans="1:9" x14ac:dyDescent="0.35">
      <c r="A9447" s="3" t="s">
        <v>3839</v>
      </c>
      <c r="B9447" s="1" t="s">
        <v>205</v>
      </c>
      <c r="C9447" s="1" t="s">
        <v>1840</v>
      </c>
      <c r="D9447" s="1" t="s">
        <v>129</v>
      </c>
      <c r="E9447" s="1" t="s">
        <v>19</v>
      </c>
      <c r="F9447" s="2" t="s">
        <v>1090</v>
      </c>
      <c r="G9447" s="1">
        <v>12.39</v>
      </c>
      <c r="H9447" s="1">
        <v>3</v>
      </c>
      <c r="I9447" s="1">
        <v>5.6993999999999998</v>
      </c>
    </row>
    <row r="9448" spans="1:9" x14ac:dyDescent="0.35">
      <c r="A9448" s="3" t="s">
        <v>3423</v>
      </c>
      <c r="B9448" s="1" t="s">
        <v>2391</v>
      </c>
      <c r="C9448" s="1" t="s">
        <v>700</v>
      </c>
      <c r="D9448" s="1" t="s">
        <v>129</v>
      </c>
      <c r="E9448" s="1" t="s">
        <v>44</v>
      </c>
      <c r="F9448" s="2" t="s">
        <v>2243</v>
      </c>
      <c r="G9448" s="1">
        <v>35.880000000000003</v>
      </c>
      <c r="H9448" s="1">
        <v>6</v>
      </c>
      <c r="I9448" s="1">
        <v>16.146000000000001</v>
      </c>
    </row>
    <row r="9449" spans="1:9" x14ac:dyDescent="0.35">
      <c r="A9449" s="3" t="s">
        <v>3333</v>
      </c>
      <c r="B9449" s="1" t="s">
        <v>185</v>
      </c>
      <c r="C9449" s="1" t="s">
        <v>1897</v>
      </c>
      <c r="D9449" s="1" t="s">
        <v>322</v>
      </c>
      <c r="E9449" s="1" t="s">
        <v>29</v>
      </c>
      <c r="F9449" s="2" t="s">
        <v>98</v>
      </c>
      <c r="G9449" s="1">
        <v>477.3</v>
      </c>
      <c r="H9449" s="1">
        <v>5</v>
      </c>
      <c r="I9449" s="1">
        <v>138.417</v>
      </c>
    </row>
    <row r="9450" spans="1:9" x14ac:dyDescent="0.35">
      <c r="A9450" s="3" t="s">
        <v>3168</v>
      </c>
      <c r="B9450" s="1" t="s">
        <v>975</v>
      </c>
      <c r="C9450" s="1" t="s">
        <v>1910</v>
      </c>
      <c r="D9450" s="1" t="s">
        <v>48</v>
      </c>
      <c r="E9450" s="1" t="s">
        <v>19</v>
      </c>
      <c r="F9450" s="2" t="s">
        <v>1746</v>
      </c>
      <c r="G9450" s="1">
        <v>12.32</v>
      </c>
      <c r="H9450" s="1">
        <v>4</v>
      </c>
      <c r="I9450" s="1">
        <v>5.9135999999999997</v>
      </c>
    </row>
    <row r="9451" spans="1:9" x14ac:dyDescent="0.35">
      <c r="A9451" s="3">
        <v>41860</v>
      </c>
      <c r="B9451" s="1" t="s">
        <v>1300</v>
      </c>
      <c r="C9451" s="1" t="s">
        <v>64</v>
      </c>
      <c r="D9451" s="1" t="s">
        <v>18</v>
      </c>
      <c r="E9451" s="1" t="s">
        <v>35</v>
      </c>
      <c r="F9451" s="2" t="s">
        <v>1635</v>
      </c>
      <c r="G9451" s="1">
        <v>8.6080000000000005</v>
      </c>
      <c r="H9451" s="1">
        <v>2</v>
      </c>
      <c r="I9451" s="1">
        <v>3.0127999999999999</v>
      </c>
    </row>
    <row r="9452" spans="1:9" x14ac:dyDescent="0.35">
      <c r="A9452" s="3">
        <v>42800</v>
      </c>
      <c r="B9452" s="1" t="s">
        <v>949</v>
      </c>
      <c r="C9452" s="1" t="s">
        <v>1944</v>
      </c>
      <c r="D9452" s="1" t="s">
        <v>48</v>
      </c>
      <c r="E9452" s="1" t="s">
        <v>26</v>
      </c>
      <c r="F9452" s="2" t="s">
        <v>838</v>
      </c>
      <c r="G9452" s="1">
        <v>136.26</v>
      </c>
      <c r="H9452" s="1">
        <v>9</v>
      </c>
      <c r="I9452" s="1">
        <v>5.4504000000000001</v>
      </c>
    </row>
    <row r="9453" spans="1:9" x14ac:dyDescent="0.35">
      <c r="A9453" s="3" t="s">
        <v>3599</v>
      </c>
      <c r="B9453" s="1" t="s">
        <v>1883</v>
      </c>
      <c r="C9453" s="1" t="s">
        <v>17</v>
      </c>
      <c r="D9453" s="1" t="s">
        <v>18</v>
      </c>
      <c r="E9453" s="1" t="s">
        <v>37</v>
      </c>
      <c r="F9453" s="2" t="s">
        <v>1837</v>
      </c>
      <c r="G9453" s="1">
        <v>186.15</v>
      </c>
      <c r="H9453" s="1">
        <v>3</v>
      </c>
      <c r="I9453" s="1">
        <v>55.844999999999999</v>
      </c>
    </row>
    <row r="9454" spans="1:9" x14ac:dyDescent="0.35">
      <c r="A9454" s="3" t="s">
        <v>3599</v>
      </c>
      <c r="B9454" s="1" t="s">
        <v>1883</v>
      </c>
      <c r="C9454" s="1" t="s">
        <v>17</v>
      </c>
      <c r="D9454" s="1" t="s">
        <v>18</v>
      </c>
      <c r="E9454" s="1" t="s">
        <v>35</v>
      </c>
      <c r="F9454" s="2" t="s">
        <v>1401</v>
      </c>
      <c r="G9454" s="1">
        <v>81.792000000000002</v>
      </c>
      <c r="H9454" s="1">
        <v>6</v>
      </c>
      <c r="I9454" s="1">
        <v>26.5824</v>
      </c>
    </row>
    <row r="9455" spans="1:9" x14ac:dyDescent="0.35">
      <c r="A9455" s="3" t="s">
        <v>3599</v>
      </c>
      <c r="B9455" s="1" t="s">
        <v>1883</v>
      </c>
      <c r="C9455" s="1" t="s">
        <v>17</v>
      </c>
      <c r="D9455" s="1" t="s">
        <v>18</v>
      </c>
      <c r="E9455" s="1" t="s">
        <v>289</v>
      </c>
      <c r="F9455" s="2" t="s">
        <v>3022</v>
      </c>
      <c r="G9455" s="1">
        <v>47.19</v>
      </c>
      <c r="H9455" s="1">
        <v>3</v>
      </c>
      <c r="I9455" s="1">
        <v>13.6851</v>
      </c>
    </row>
    <row r="9456" spans="1:9" x14ac:dyDescent="0.35">
      <c r="A9456" s="3" t="s">
        <v>3599</v>
      </c>
      <c r="B9456" s="1" t="s">
        <v>1883</v>
      </c>
      <c r="C9456" s="1" t="s">
        <v>17</v>
      </c>
      <c r="D9456" s="1" t="s">
        <v>18</v>
      </c>
      <c r="E9456" s="1" t="s">
        <v>33</v>
      </c>
      <c r="F9456" s="2" t="s">
        <v>832</v>
      </c>
      <c r="G9456" s="1">
        <v>36.783999999999999</v>
      </c>
      <c r="H9456" s="1">
        <v>2</v>
      </c>
      <c r="I9456" s="1">
        <v>-8.2764000000000006</v>
      </c>
    </row>
    <row r="9457" spans="1:9" x14ac:dyDescent="0.35">
      <c r="A9457" s="3" t="s">
        <v>3514</v>
      </c>
      <c r="B9457" s="1" t="s">
        <v>1168</v>
      </c>
      <c r="C9457" s="1" t="s">
        <v>2453</v>
      </c>
      <c r="D9457" s="1" t="s">
        <v>171</v>
      </c>
      <c r="E9457" s="1" t="s">
        <v>338</v>
      </c>
      <c r="F9457" s="2" t="s">
        <v>3129</v>
      </c>
      <c r="G9457" s="1">
        <v>91.474999999999994</v>
      </c>
      <c r="H9457" s="1">
        <v>1</v>
      </c>
      <c r="I9457" s="1">
        <v>-1.8294999999999999</v>
      </c>
    </row>
    <row r="9458" spans="1:9" x14ac:dyDescent="0.35">
      <c r="A9458" s="3" t="s">
        <v>3333</v>
      </c>
      <c r="B9458" s="1" t="s">
        <v>1146</v>
      </c>
      <c r="C9458" s="1" t="s">
        <v>1874</v>
      </c>
      <c r="D9458" s="1" t="s">
        <v>43</v>
      </c>
      <c r="E9458" s="1" t="s">
        <v>81</v>
      </c>
      <c r="F9458" s="2" t="s">
        <v>3130</v>
      </c>
      <c r="G9458" s="1">
        <v>27.192</v>
      </c>
      <c r="H9458" s="1">
        <v>3</v>
      </c>
      <c r="I9458" s="1">
        <v>0.33989999999999998</v>
      </c>
    </row>
    <row r="9459" spans="1:9" x14ac:dyDescent="0.35">
      <c r="A9459" s="3" t="s">
        <v>3333</v>
      </c>
      <c r="B9459" s="1" t="s">
        <v>1146</v>
      </c>
      <c r="C9459" s="1" t="s">
        <v>1874</v>
      </c>
      <c r="D9459" s="1" t="s">
        <v>43</v>
      </c>
      <c r="E9459" s="1" t="s">
        <v>35</v>
      </c>
      <c r="F9459" s="2" t="s">
        <v>2032</v>
      </c>
      <c r="G9459" s="1">
        <v>12.06</v>
      </c>
      <c r="H9459" s="1">
        <v>5</v>
      </c>
      <c r="I9459" s="1">
        <v>-10.050000000000001</v>
      </c>
    </row>
    <row r="9460" spans="1:9" x14ac:dyDescent="0.35">
      <c r="A9460" s="3">
        <v>41892</v>
      </c>
      <c r="B9460" s="1" t="s">
        <v>352</v>
      </c>
      <c r="C9460" s="1" t="s">
        <v>64</v>
      </c>
      <c r="D9460" s="1" t="s">
        <v>18</v>
      </c>
      <c r="E9460" s="1" t="s">
        <v>31</v>
      </c>
      <c r="F9460" s="2" t="s">
        <v>538</v>
      </c>
      <c r="G9460" s="1">
        <v>144.6</v>
      </c>
      <c r="H9460" s="1">
        <v>3</v>
      </c>
      <c r="I9460" s="1">
        <v>41.933999999999997</v>
      </c>
    </row>
    <row r="9461" spans="1:9" x14ac:dyDescent="0.35">
      <c r="A9461" s="3">
        <v>41892</v>
      </c>
      <c r="B9461" s="1" t="s">
        <v>352</v>
      </c>
      <c r="C9461" s="1" t="s">
        <v>64</v>
      </c>
      <c r="D9461" s="1" t="s">
        <v>18</v>
      </c>
      <c r="E9461" s="1" t="s">
        <v>33</v>
      </c>
      <c r="F9461" s="2" t="s">
        <v>2882</v>
      </c>
      <c r="G9461" s="1">
        <v>15.992000000000001</v>
      </c>
      <c r="H9461" s="1">
        <v>1</v>
      </c>
      <c r="I9461" s="1">
        <v>-2.9984999999999999</v>
      </c>
    </row>
    <row r="9462" spans="1:9" x14ac:dyDescent="0.35">
      <c r="A9462" s="3" t="s">
        <v>3330</v>
      </c>
      <c r="B9462" s="1" t="s">
        <v>1578</v>
      </c>
      <c r="C9462" s="1" t="s">
        <v>135</v>
      </c>
      <c r="D9462" s="1" t="s">
        <v>136</v>
      </c>
      <c r="E9462" s="1" t="s">
        <v>44</v>
      </c>
      <c r="F9462" s="2" t="s">
        <v>1204</v>
      </c>
      <c r="G9462" s="1">
        <v>34.44</v>
      </c>
      <c r="H9462" s="1">
        <v>3</v>
      </c>
      <c r="I9462" s="1">
        <v>17.22</v>
      </c>
    </row>
    <row r="9463" spans="1:9" x14ac:dyDescent="0.35">
      <c r="A9463" s="3" t="s">
        <v>3838</v>
      </c>
      <c r="B9463" s="1" t="s">
        <v>987</v>
      </c>
      <c r="C9463" s="1" t="s">
        <v>536</v>
      </c>
      <c r="D9463" s="1" t="s">
        <v>18</v>
      </c>
      <c r="E9463" s="1" t="s">
        <v>33</v>
      </c>
      <c r="F9463" s="2" t="s">
        <v>1821</v>
      </c>
      <c r="G9463" s="1">
        <v>321.55200000000002</v>
      </c>
      <c r="H9463" s="1">
        <v>6</v>
      </c>
      <c r="I9463" s="1">
        <v>20.097000000000001</v>
      </c>
    </row>
    <row r="9464" spans="1:9" x14ac:dyDescent="0.35">
      <c r="A9464" s="3" t="s">
        <v>3462</v>
      </c>
      <c r="B9464" s="1" t="s">
        <v>156</v>
      </c>
      <c r="C9464" s="1" t="s">
        <v>697</v>
      </c>
      <c r="D9464" s="1" t="s">
        <v>11</v>
      </c>
      <c r="E9464" s="1" t="s">
        <v>14</v>
      </c>
      <c r="F9464" s="2" t="s">
        <v>1886</v>
      </c>
      <c r="G9464" s="1">
        <v>701.96</v>
      </c>
      <c r="H9464" s="1">
        <v>2</v>
      </c>
      <c r="I9464" s="1">
        <v>168.47040000000001</v>
      </c>
    </row>
    <row r="9465" spans="1:9" x14ac:dyDescent="0.35">
      <c r="A9465" s="3" t="s">
        <v>3846</v>
      </c>
      <c r="B9465" s="1" t="s">
        <v>2007</v>
      </c>
      <c r="C9465" s="1" t="s">
        <v>249</v>
      </c>
      <c r="D9465" s="1" t="s">
        <v>250</v>
      </c>
      <c r="E9465" s="1" t="s">
        <v>31</v>
      </c>
      <c r="F9465" s="2" t="s">
        <v>874</v>
      </c>
      <c r="G9465" s="1">
        <v>19.456</v>
      </c>
      <c r="H9465" s="1">
        <v>4</v>
      </c>
      <c r="I9465" s="1">
        <v>3.4047999999999998</v>
      </c>
    </row>
    <row r="9466" spans="1:9" x14ac:dyDescent="0.35">
      <c r="A9466" s="3" t="s">
        <v>3664</v>
      </c>
      <c r="B9466" s="1" t="s">
        <v>1946</v>
      </c>
      <c r="C9466" s="1" t="s">
        <v>303</v>
      </c>
      <c r="D9466" s="1" t="s">
        <v>124</v>
      </c>
      <c r="E9466" s="1" t="s">
        <v>19</v>
      </c>
      <c r="F9466" s="2" t="s">
        <v>2612</v>
      </c>
      <c r="G9466" s="1">
        <v>17.28</v>
      </c>
      <c r="H9466" s="1">
        <v>6</v>
      </c>
      <c r="I9466" s="1">
        <v>7.9488000000000003</v>
      </c>
    </row>
    <row r="9467" spans="1:9" x14ac:dyDescent="0.35">
      <c r="A9467" s="3" t="s">
        <v>3625</v>
      </c>
      <c r="B9467" s="1" t="s">
        <v>134</v>
      </c>
      <c r="C9467" s="1" t="s">
        <v>47</v>
      </c>
      <c r="D9467" s="1" t="s">
        <v>48</v>
      </c>
      <c r="E9467" s="1" t="s">
        <v>29</v>
      </c>
      <c r="F9467" s="2" t="s">
        <v>844</v>
      </c>
      <c r="G9467" s="1">
        <v>31.96</v>
      </c>
      <c r="H9467" s="1">
        <v>2</v>
      </c>
      <c r="I9467" s="1">
        <v>1.5980000000000001</v>
      </c>
    </row>
    <row r="9468" spans="1:9" x14ac:dyDescent="0.35">
      <c r="A9468" s="3">
        <v>42866</v>
      </c>
      <c r="B9468" s="1" t="s">
        <v>1817</v>
      </c>
      <c r="C9468" s="1" t="s">
        <v>135</v>
      </c>
      <c r="D9468" s="1" t="s">
        <v>136</v>
      </c>
      <c r="E9468" s="1" t="s">
        <v>35</v>
      </c>
      <c r="F9468" s="2" t="s">
        <v>309</v>
      </c>
      <c r="G9468" s="1">
        <v>164.68799999999999</v>
      </c>
      <c r="H9468" s="1">
        <v>6</v>
      </c>
      <c r="I9468" s="1">
        <v>55.5822</v>
      </c>
    </row>
    <row r="9469" spans="1:9" x14ac:dyDescent="0.35">
      <c r="A9469" s="3">
        <v>42866</v>
      </c>
      <c r="B9469" s="1" t="s">
        <v>1817</v>
      </c>
      <c r="C9469" s="1" t="s">
        <v>135</v>
      </c>
      <c r="D9469" s="1" t="s">
        <v>136</v>
      </c>
      <c r="E9469" s="1" t="s">
        <v>24</v>
      </c>
      <c r="F9469" s="2" t="s">
        <v>2637</v>
      </c>
      <c r="G9469" s="1">
        <v>166.5</v>
      </c>
      <c r="H9469" s="1">
        <v>2</v>
      </c>
      <c r="I9469" s="1">
        <v>-66.599999999999994</v>
      </c>
    </row>
    <row r="9470" spans="1:9" x14ac:dyDescent="0.35">
      <c r="A9470" s="3">
        <v>42866</v>
      </c>
      <c r="B9470" s="1" t="s">
        <v>1817</v>
      </c>
      <c r="C9470" s="1" t="s">
        <v>135</v>
      </c>
      <c r="D9470" s="1" t="s">
        <v>136</v>
      </c>
      <c r="E9470" s="1" t="s">
        <v>44</v>
      </c>
      <c r="F9470" s="2" t="s">
        <v>1187</v>
      </c>
      <c r="G9470" s="1">
        <v>12.96</v>
      </c>
      <c r="H9470" s="1">
        <v>2</v>
      </c>
      <c r="I9470" s="1">
        <v>6.2207999999999997</v>
      </c>
    </row>
    <row r="9471" spans="1:9" x14ac:dyDescent="0.35">
      <c r="A9471" s="3">
        <v>42866</v>
      </c>
      <c r="B9471" s="1" t="s">
        <v>1817</v>
      </c>
      <c r="C9471" s="1" t="s">
        <v>135</v>
      </c>
      <c r="D9471" s="1" t="s">
        <v>136</v>
      </c>
      <c r="E9471" s="1" t="s">
        <v>44</v>
      </c>
      <c r="F9471" s="2" t="s">
        <v>761</v>
      </c>
      <c r="G9471" s="1">
        <v>110.96</v>
      </c>
      <c r="H9471" s="1">
        <v>2</v>
      </c>
      <c r="I9471" s="1">
        <v>53.260800000000003</v>
      </c>
    </row>
    <row r="9472" spans="1:9" x14ac:dyDescent="0.35">
      <c r="A9472" s="3">
        <v>42866</v>
      </c>
      <c r="B9472" s="1" t="s">
        <v>1817</v>
      </c>
      <c r="C9472" s="1" t="s">
        <v>135</v>
      </c>
      <c r="D9472" s="1" t="s">
        <v>136</v>
      </c>
      <c r="E9472" s="1" t="s">
        <v>33</v>
      </c>
      <c r="F9472" s="2" t="s">
        <v>308</v>
      </c>
      <c r="G9472" s="1">
        <v>99.98</v>
      </c>
      <c r="H9472" s="1">
        <v>2</v>
      </c>
      <c r="I9472" s="1">
        <v>3.9992000000000001</v>
      </c>
    </row>
    <row r="9473" spans="1:9" x14ac:dyDescent="0.35">
      <c r="A9473" s="3">
        <v>42866</v>
      </c>
      <c r="B9473" s="1" t="s">
        <v>1817</v>
      </c>
      <c r="C9473" s="1" t="s">
        <v>135</v>
      </c>
      <c r="D9473" s="1" t="s">
        <v>136</v>
      </c>
      <c r="E9473" s="1" t="s">
        <v>35</v>
      </c>
      <c r="F9473" s="2" t="s">
        <v>529</v>
      </c>
      <c r="G9473" s="1">
        <v>11.423999999999999</v>
      </c>
      <c r="H9473" s="1">
        <v>1</v>
      </c>
      <c r="I9473" s="1">
        <v>3.7128000000000001</v>
      </c>
    </row>
    <row r="9474" spans="1:9" x14ac:dyDescent="0.35">
      <c r="A9474" s="3">
        <v>42866</v>
      </c>
      <c r="B9474" s="1" t="s">
        <v>1817</v>
      </c>
      <c r="C9474" s="1" t="s">
        <v>135</v>
      </c>
      <c r="D9474" s="1" t="s">
        <v>136</v>
      </c>
      <c r="E9474" s="1" t="s">
        <v>14</v>
      </c>
      <c r="F9474" s="2" t="s">
        <v>2422</v>
      </c>
      <c r="G9474" s="1">
        <v>128.124</v>
      </c>
      <c r="H9474" s="1">
        <v>2</v>
      </c>
      <c r="I9474" s="1">
        <v>24.2012</v>
      </c>
    </row>
    <row r="9475" spans="1:9" x14ac:dyDescent="0.35">
      <c r="A9475" s="3">
        <v>42866</v>
      </c>
      <c r="B9475" s="1" t="s">
        <v>1817</v>
      </c>
      <c r="C9475" s="1" t="s">
        <v>135</v>
      </c>
      <c r="D9475" s="1" t="s">
        <v>136</v>
      </c>
      <c r="E9475" s="1" t="s">
        <v>29</v>
      </c>
      <c r="F9475" s="2" t="s">
        <v>2932</v>
      </c>
      <c r="G9475" s="1">
        <v>101.4</v>
      </c>
      <c r="H9475" s="1">
        <v>5</v>
      </c>
      <c r="I9475" s="1">
        <v>38.531999999999996</v>
      </c>
    </row>
    <row r="9476" spans="1:9" x14ac:dyDescent="0.35">
      <c r="A9476" s="3" t="s">
        <v>3199</v>
      </c>
      <c r="B9476" s="1" t="s">
        <v>134</v>
      </c>
      <c r="C9476" s="1" t="s">
        <v>154</v>
      </c>
      <c r="D9476" s="1" t="s">
        <v>106</v>
      </c>
      <c r="E9476" s="1" t="s">
        <v>19</v>
      </c>
      <c r="F9476" s="2" t="s">
        <v>1902</v>
      </c>
      <c r="G9476" s="1">
        <v>5.9039999999999999</v>
      </c>
      <c r="H9476" s="1">
        <v>2</v>
      </c>
      <c r="I9476" s="1">
        <v>1.9925999999999999</v>
      </c>
    </row>
    <row r="9477" spans="1:9" x14ac:dyDescent="0.35">
      <c r="A9477" s="3" t="s">
        <v>3199</v>
      </c>
      <c r="B9477" s="1" t="s">
        <v>134</v>
      </c>
      <c r="C9477" s="1" t="s">
        <v>154</v>
      </c>
      <c r="D9477" s="1" t="s">
        <v>106</v>
      </c>
      <c r="E9477" s="1" t="s">
        <v>44</v>
      </c>
      <c r="F9477" s="2" t="s">
        <v>1729</v>
      </c>
      <c r="G9477" s="1">
        <v>173.488</v>
      </c>
      <c r="H9477" s="1">
        <v>7</v>
      </c>
      <c r="I9477" s="1">
        <v>54.215000000000003</v>
      </c>
    </row>
    <row r="9478" spans="1:9" x14ac:dyDescent="0.35">
      <c r="A9478" s="3" t="s">
        <v>3199</v>
      </c>
      <c r="B9478" s="1" t="s">
        <v>134</v>
      </c>
      <c r="C9478" s="1" t="s">
        <v>154</v>
      </c>
      <c r="D9478" s="1" t="s">
        <v>106</v>
      </c>
      <c r="E9478" s="1" t="s">
        <v>29</v>
      </c>
      <c r="F9478" s="2" t="s">
        <v>2560</v>
      </c>
      <c r="G9478" s="1">
        <v>51.56</v>
      </c>
      <c r="H9478" s="1">
        <v>2</v>
      </c>
      <c r="I9478" s="1">
        <v>-61.872</v>
      </c>
    </row>
    <row r="9479" spans="1:9" x14ac:dyDescent="0.35">
      <c r="A9479" s="3" t="s">
        <v>3199</v>
      </c>
      <c r="B9479" s="1" t="s">
        <v>134</v>
      </c>
      <c r="C9479" s="1" t="s">
        <v>154</v>
      </c>
      <c r="D9479" s="1" t="s">
        <v>106</v>
      </c>
      <c r="E9479" s="1" t="s">
        <v>35</v>
      </c>
      <c r="F9479" s="2" t="s">
        <v>578</v>
      </c>
      <c r="G9479" s="1">
        <v>3.5640000000000001</v>
      </c>
      <c r="H9479" s="1">
        <v>3</v>
      </c>
      <c r="I9479" s="1">
        <v>-6.2370000000000001</v>
      </c>
    </row>
    <row r="9480" spans="1:9" x14ac:dyDescent="0.35">
      <c r="A9480" s="3">
        <v>41829</v>
      </c>
      <c r="B9480" s="1" t="s">
        <v>2860</v>
      </c>
      <c r="C9480" s="1" t="s">
        <v>3131</v>
      </c>
      <c r="D9480" s="1" t="s">
        <v>106</v>
      </c>
      <c r="E9480" s="1" t="s">
        <v>137</v>
      </c>
      <c r="F9480" s="2" t="s">
        <v>2189</v>
      </c>
      <c r="G9480" s="1">
        <v>13.16</v>
      </c>
      <c r="H9480" s="1">
        <v>5</v>
      </c>
      <c r="I9480" s="1">
        <v>4.1124999999999998</v>
      </c>
    </row>
    <row r="9481" spans="1:9" x14ac:dyDescent="0.35">
      <c r="A9481" s="3">
        <v>41829</v>
      </c>
      <c r="B9481" s="1" t="s">
        <v>2860</v>
      </c>
      <c r="C9481" s="1" t="s">
        <v>3131</v>
      </c>
      <c r="D9481" s="1" t="s">
        <v>106</v>
      </c>
      <c r="E9481" s="1" t="s">
        <v>35</v>
      </c>
      <c r="F9481" s="2" t="s">
        <v>1995</v>
      </c>
      <c r="G9481" s="1">
        <v>3.8279999999999998</v>
      </c>
      <c r="H9481" s="1">
        <v>3</v>
      </c>
      <c r="I9481" s="1">
        <v>-6.5076000000000001</v>
      </c>
    </row>
    <row r="9482" spans="1:9" x14ac:dyDescent="0.35">
      <c r="A9482" s="3">
        <v>41829</v>
      </c>
      <c r="B9482" s="1" t="s">
        <v>2860</v>
      </c>
      <c r="C9482" s="1" t="s">
        <v>3131</v>
      </c>
      <c r="D9482" s="1" t="s">
        <v>106</v>
      </c>
      <c r="E9482" s="1" t="s">
        <v>35</v>
      </c>
      <c r="F9482" s="2" t="s">
        <v>1007</v>
      </c>
      <c r="G9482" s="1">
        <v>304.99</v>
      </c>
      <c r="H9482" s="1">
        <v>5</v>
      </c>
      <c r="I9482" s="1">
        <v>-533.73249999999996</v>
      </c>
    </row>
    <row r="9483" spans="1:9" x14ac:dyDescent="0.35">
      <c r="A9483" s="3">
        <v>42897</v>
      </c>
      <c r="B9483" s="1" t="s">
        <v>2403</v>
      </c>
      <c r="C9483" s="1" t="s">
        <v>399</v>
      </c>
      <c r="D9483" s="1" t="s">
        <v>52</v>
      </c>
      <c r="E9483" s="1" t="s">
        <v>26</v>
      </c>
      <c r="F9483" s="2" t="s">
        <v>178</v>
      </c>
      <c r="G9483" s="1">
        <v>18.16</v>
      </c>
      <c r="H9483" s="1">
        <v>2</v>
      </c>
      <c r="I9483" s="1">
        <v>1.8160000000000001</v>
      </c>
    </row>
    <row r="9484" spans="1:9" x14ac:dyDescent="0.35">
      <c r="A9484" s="3" t="s">
        <v>3246</v>
      </c>
      <c r="B9484" s="1" t="s">
        <v>2159</v>
      </c>
      <c r="C9484" s="1" t="s">
        <v>74</v>
      </c>
      <c r="D9484" s="1" t="s">
        <v>75</v>
      </c>
      <c r="E9484" s="1" t="s">
        <v>81</v>
      </c>
      <c r="F9484" s="2" t="s">
        <v>1145</v>
      </c>
      <c r="G9484" s="1">
        <v>319.98399999999998</v>
      </c>
      <c r="H9484" s="1">
        <v>2</v>
      </c>
      <c r="I9484" s="1">
        <v>91.995400000000004</v>
      </c>
    </row>
    <row r="9485" spans="1:9" x14ac:dyDescent="0.35">
      <c r="A9485" s="3" t="s">
        <v>3765</v>
      </c>
      <c r="B9485" s="1" t="s">
        <v>1581</v>
      </c>
      <c r="C9485" s="1" t="s">
        <v>17</v>
      </c>
      <c r="D9485" s="1" t="s">
        <v>18</v>
      </c>
      <c r="E9485" s="1" t="s">
        <v>31</v>
      </c>
      <c r="F9485" s="2" t="s">
        <v>647</v>
      </c>
      <c r="G9485" s="1">
        <v>19.68</v>
      </c>
      <c r="H9485" s="1">
        <v>6</v>
      </c>
      <c r="I9485" s="1">
        <v>6.4943999999999997</v>
      </c>
    </row>
    <row r="9486" spans="1:9" x14ac:dyDescent="0.35">
      <c r="A9486" s="3">
        <v>42412</v>
      </c>
      <c r="B9486" s="1" t="s">
        <v>1774</v>
      </c>
      <c r="C9486" s="1" t="s">
        <v>93</v>
      </c>
      <c r="D9486" s="1" t="s">
        <v>52</v>
      </c>
      <c r="E9486" s="1" t="s">
        <v>12</v>
      </c>
      <c r="F9486" s="2" t="s">
        <v>2805</v>
      </c>
      <c r="G9486" s="1">
        <v>781.86400000000003</v>
      </c>
      <c r="H9486" s="1">
        <v>10</v>
      </c>
      <c r="I9486" s="1">
        <v>-137.976</v>
      </c>
    </row>
    <row r="9487" spans="1:9" x14ac:dyDescent="0.35">
      <c r="A9487" s="3">
        <v>42412</v>
      </c>
      <c r="B9487" s="1" t="s">
        <v>1774</v>
      </c>
      <c r="C9487" s="1" t="s">
        <v>93</v>
      </c>
      <c r="D9487" s="1" t="s">
        <v>52</v>
      </c>
      <c r="E9487" s="1" t="s">
        <v>44</v>
      </c>
      <c r="F9487" s="2" t="s">
        <v>1864</v>
      </c>
      <c r="G9487" s="1">
        <v>30.815999999999999</v>
      </c>
      <c r="H9487" s="1">
        <v>9</v>
      </c>
      <c r="I9487" s="1">
        <v>9.6300000000000008</v>
      </c>
    </row>
    <row r="9488" spans="1:9" x14ac:dyDescent="0.35">
      <c r="A9488" s="3">
        <v>43079</v>
      </c>
      <c r="B9488" s="1" t="s">
        <v>703</v>
      </c>
      <c r="C9488" s="1" t="s">
        <v>2285</v>
      </c>
      <c r="D9488" s="1" t="s">
        <v>3069</v>
      </c>
      <c r="E9488" s="1" t="s">
        <v>24</v>
      </c>
      <c r="F9488" s="2" t="s">
        <v>1444</v>
      </c>
      <c r="G9488" s="1">
        <v>673.34400000000005</v>
      </c>
      <c r="H9488" s="1">
        <v>3</v>
      </c>
      <c r="I9488" s="1">
        <v>-76.953599999999994</v>
      </c>
    </row>
    <row r="9489" spans="1:9" x14ac:dyDescent="0.35">
      <c r="A9489" s="3">
        <v>43051</v>
      </c>
      <c r="B9489" s="1" t="s">
        <v>930</v>
      </c>
      <c r="C9489" s="1" t="s">
        <v>1992</v>
      </c>
      <c r="D9489" s="1" t="s">
        <v>388</v>
      </c>
      <c r="E9489" s="1" t="s">
        <v>137</v>
      </c>
      <c r="F9489" s="2" t="s">
        <v>1430</v>
      </c>
      <c r="G9489" s="1">
        <v>6.54</v>
      </c>
      <c r="H9489" s="1">
        <v>3</v>
      </c>
      <c r="I9489" s="1">
        <v>2.1581999999999999</v>
      </c>
    </row>
    <row r="9490" spans="1:9" x14ac:dyDescent="0.35">
      <c r="A9490" s="3">
        <v>42014</v>
      </c>
      <c r="B9490" s="1" t="s">
        <v>327</v>
      </c>
      <c r="C9490" s="1" t="s">
        <v>211</v>
      </c>
      <c r="D9490" s="1" t="s">
        <v>212</v>
      </c>
      <c r="E9490" s="1" t="s">
        <v>33</v>
      </c>
      <c r="F9490" s="2" t="s">
        <v>1865</v>
      </c>
      <c r="G9490" s="1">
        <v>572.79999999999995</v>
      </c>
      <c r="H9490" s="1">
        <v>2</v>
      </c>
      <c r="I9490" s="1">
        <v>50.12</v>
      </c>
    </row>
    <row r="9491" spans="1:9" x14ac:dyDescent="0.35">
      <c r="A9491" s="3">
        <v>42498</v>
      </c>
      <c r="B9491" s="1" t="s">
        <v>2620</v>
      </c>
      <c r="C9491" s="1" t="s">
        <v>785</v>
      </c>
      <c r="D9491" s="1" t="s">
        <v>182</v>
      </c>
      <c r="E9491" s="1" t="s">
        <v>31</v>
      </c>
      <c r="F9491" s="2" t="s">
        <v>2103</v>
      </c>
      <c r="G9491" s="1">
        <v>197.05</v>
      </c>
      <c r="H9491" s="1">
        <v>7</v>
      </c>
      <c r="I9491" s="1">
        <v>59.115000000000002</v>
      </c>
    </row>
    <row r="9492" spans="1:9" x14ac:dyDescent="0.35">
      <c r="A9492" s="3">
        <v>42795</v>
      </c>
      <c r="B9492" s="1" t="s">
        <v>810</v>
      </c>
      <c r="C9492" s="1" t="s">
        <v>64</v>
      </c>
      <c r="D9492" s="1" t="s">
        <v>18</v>
      </c>
      <c r="E9492" s="1" t="s">
        <v>35</v>
      </c>
      <c r="F9492" s="2" t="s">
        <v>715</v>
      </c>
      <c r="G9492" s="1">
        <v>2022.2719999999999</v>
      </c>
      <c r="H9492" s="1">
        <v>8</v>
      </c>
      <c r="I9492" s="1">
        <v>682.51679999999999</v>
      </c>
    </row>
    <row r="9493" spans="1:9" x14ac:dyDescent="0.35">
      <c r="A9493" s="3">
        <v>42795</v>
      </c>
      <c r="B9493" s="1" t="s">
        <v>810</v>
      </c>
      <c r="C9493" s="1" t="s">
        <v>64</v>
      </c>
      <c r="D9493" s="1" t="s">
        <v>18</v>
      </c>
      <c r="E9493" s="1" t="s">
        <v>31</v>
      </c>
      <c r="F9493" s="2" t="s">
        <v>2123</v>
      </c>
      <c r="G9493" s="1">
        <v>9.1199999999999992</v>
      </c>
      <c r="H9493" s="1">
        <v>3</v>
      </c>
      <c r="I9493" s="1">
        <v>3.1008</v>
      </c>
    </row>
    <row r="9494" spans="1:9" x14ac:dyDescent="0.35">
      <c r="A9494" s="3">
        <v>42927</v>
      </c>
      <c r="B9494" s="1" t="s">
        <v>2477</v>
      </c>
      <c r="C9494" s="1" t="s">
        <v>1999</v>
      </c>
      <c r="D9494" s="1" t="s">
        <v>322</v>
      </c>
      <c r="E9494" s="1" t="s">
        <v>35</v>
      </c>
      <c r="F9494" s="2" t="s">
        <v>54</v>
      </c>
      <c r="G9494" s="1">
        <v>38.159999999999997</v>
      </c>
      <c r="H9494" s="1">
        <v>9</v>
      </c>
      <c r="I9494" s="1">
        <v>19.079999999999998</v>
      </c>
    </row>
    <row r="9495" spans="1:9" x14ac:dyDescent="0.35">
      <c r="A9495" s="3">
        <v>42430</v>
      </c>
      <c r="B9495" s="1" t="s">
        <v>2296</v>
      </c>
      <c r="C9495" s="1" t="s">
        <v>2700</v>
      </c>
      <c r="D9495" s="1" t="s">
        <v>322</v>
      </c>
      <c r="E9495" s="1" t="s">
        <v>24</v>
      </c>
      <c r="F9495" s="2" t="s">
        <v>641</v>
      </c>
      <c r="G9495" s="1">
        <v>1592.85</v>
      </c>
      <c r="H9495" s="1">
        <v>7</v>
      </c>
      <c r="I9495" s="1">
        <v>350.42700000000002</v>
      </c>
    </row>
    <row r="9496" spans="1:9" x14ac:dyDescent="0.35">
      <c r="A9496" s="3">
        <v>42430</v>
      </c>
      <c r="B9496" s="1" t="s">
        <v>2296</v>
      </c>
      <c r="C9496" s="1" t="s">
        <v>2700</v>
      </c>
      <c r="D9496" s="1" t="s">
        <v>322</v>
      </c>
      <c r="E9496" s="1" t="s">
        <v>35</v>
      </c>
      <c r="F9496" s="2" t="s">
        <v>578</v>
      </c>
      <c r="G9496" s="1">
        <v>11.88</v>
      </c>
      <c r="H9496" s="1">
        <v>2</v>
      </c>
      <c r="I9496" s="1">
        <v>5.3460000000000001</v>
      </c>
    </row>
    <row r="9497" spans="1:9" x14ac:dyDescent="0.35">
      <c r="A9497" s="3">
        <v>42709</v>
      </c>
      <c r="B9497" s="1" t="s">
        <v>2625</v>
      </c>
      <c r="C9497" s="1" t="s">
        <v>969</v>
      </c>
      <c r="D9497" s="1" t="s">
        <v>18</v>
      </c>
      <c r="E9497" s="1" t="s">
        <v>81</v>
      </c>
      <c r="F9497" s="2" t="s">
        <v>3063</v>
      </c>
      <c r="G9497" s="1">
        <v>120</v>
      </c>
      <c r="H9497" s="1">
        <v>6</v>
      </c>
      <c r="I9497" s="1">
        <v>46.8</v>
      </c>
    </row>
    <row r="9498" spans="1:9" x14ac:dyDescent="0.35">
      <c r="A9498" s="3">
        <v>42709</v>
      </c>
      <c r="B9498" s="1" t="s">
        <v>2625</v>
      </c>
      <c r="C9498" s="1" t="s">
        <v>969</v>
      </c>
      <c r="D9498" s="1" t="s">
        <v>18</v>
      </c>
      <c r="E9498" s="1" t="s">
        <v>37</v>
      </c>
      <c r="F9498" s="2" t="s">
        <v>676</v>
      </c>
      <c r="G9498" s="1">
        <v>8.67</v>
      </c>
      <c r="H9498" s="1">
        <v>1</v>
      </c>
      <c r="I9498" s="1">
        <v>2.3409</v>
      </c>
    </row>
    <row r="9499" spans="1:9" x14ac:dyDescent="0.35">
      <c r="A9499" s="3">
        <v>42866</v>
      </c>
      <c r="B9499" s="1" t="s">
        <v>594</v>
      </c>
      <c r="C9499" s="1" t="s">
        <v>2673</v>
      </c>
      <c r="D9499" s="1" t="s">
        <v>129</v>
      </c>
      <c r="E9499" s="1" t="s">
        <v>44</v>
      </c>
      <c r="F9499" s="2" t="s">
        <v>495</v>
      </c>
      <c r="G9499" s="1">
        <v>4.41</v>
      </c>
      <c r="H9499" s="1">
        <v>1</v>
      </c>
      <c r="I9499" s="1">
        <v>2.0286</v>
      </c>
    </row>
    <row r="9500" spans="1:9" x14ac:dyDescent="0.35">
      <c r="A9500" s="3">
        <v>42866</v>
      </c>
      <c r="B9500" s="1" t="s">
        <v>594</v>
      </c>
      <c r="C9500" s="1" t="s">
        <v>2673</v>
      </c>
      <c r="D9500" s="1" t="s">
        <v>129</v>
      </c>
      <c r="E9500" s="1" t="s">
        <v>44</v>
      </c>
      <c r="F9500" s="2" t="s">
        <v>94</v>
      </c>
      <c r="G9500" s="1">
        <v>167.94</v>
      </c>
      <c r="H9500" s="1">
        <v>3</v>
      </c>
      <c r="I9500" s="1">
        <v>82.290599999999998</v>
      </c>
    </row>
    <row r="9501" spans="1:9" x14ac:dyDescent="0.35">
      <c r="A9501" s="3">
        <v>42866</v>
      </c>
      <c r="B9501" s="1" t="s">
        <v>594</v>
      </c>
      <c r="C9501" s="1" t="s">
        <v>2673</v>
      </c>
      <c r="D9501" s="1" t="s">
        <v>129</v>
      </c>
      <c r="E9501" s="1" t="s">
        <v>44</v>
      </c>
      <c r="F9501" s="2" t="s">
        <v>1655</v>
      </c>
      <c r="G9501" s="1">
        <v>67.8</v>
      </c>
      <c r="H9501" s="1">
        <v>10</v>
      </c>
      <c r="I9501" s="1">
        <v>31.187999999999999</v>
      </c>
    </row>
    <row r="9502" spans="1:9" x14ac:dyDescent="0.35">
      <c r="A9502" s="3" t="s">
        <v>3353</v>
      </c>
      <c r="B9502" s="1" t="s">
        <v>2278</v>
      </c>
      <c r="C9502" s="1" t="s">
        <v>1147</v>
      </c>
      <c r="D9502" s="1" t="s">
        <v>57</v>
      </c>
      <c r="E9502" s="1" t="s">
        <v>29</v>
      </c>
      <c r="F9502" s="2" t="s">
        <v>1849</v>
      </c>
      <c r="G9502" s="1">
        <v>26.94</v>
      </c>
      <c r="H9502" s="1">
        <v>3</v>
      </c>
      <c r="I9502" s="1">
        <v>11.3148</v>
      </c>
    </row>
    <row r="9503" spans="1:9" x14ac:dyDescent="0.35">
      <c r="A9503" s="3" t="s">
        <v>3495</v>
      </c>
      <c r="B9503" s="1" t="s">
        <v>2171</v>
      </c>
      <c r="C9503" s="1" t="s">
        <v>64</v>
      </c>
      <c r="D9503" s="1" t="s">
        <v>18</v>
      </c>
      <c r="E9503" s="1" t="s">
        <v>29</v>
      </c>
      <c r="F9503" s="2" t="s">
        <v>2399</v>
      </c>
      <c r="G9503" s="1">
        <v>32.04</v>
      </c>
      <c r="H9503" s="1">
        <v>3</v>
      </c>
      <c r="I9503" s="1">
        <v>8.01</v>
      </c>
    </row>
    <row r="9504" spans="1:9" x14ac:dyDescent="0.35">
      <c r="A9504" s="3" t="s">
        <v>3847</v>
      </c>
      <c r="B9504" s="1" t="s">
        <v>1661</v>
      </c>
      <c r="C9504" s="1" t="s">
        <v>2785</v>
      </c>
      <c r="D9504" s="1" t="s">
        <v>136</v>
      </c>
      <c r="E9504" s="1" t="s">
        <v>31</v>
      </c>
      <c r="F9504" s="2" t="s">
        <v>2906</v>
      </c>
      <c r="G9504" s="1">
        <v>32.130000000000003</v>
      </c>
      <c r="H9504" s="1">
        <v>9</v>
      </c>
      <c r="I9504" s="1">
        <v>8.3537999999999997</v>
      </c>
    </row>
    <row r="9505" spans="1:9" x14ac:dyDescent="0.35">
      <c r="A9505" s="3" t="s">
        <v>3847</v>
      </c>
      <c r="B9505" s="1" t="s">
        <v>1661</v>
      </c>
      <c r="C9505" s="1" t="s">
        <v>2785</v>
      </c>
      <c r="D9505" s="1" t="s">
        <v>136</v>
      </c>
      <c r="E9505" s="1" t="s">
        <v>31</v>
      </c>
      <c r="F9505" s="2" t="s">
        <v>1141</v>
      </c>
      <c r="G9505" s="1">
        <v>2.88</v>
      </c>
      <c r="H9505" s="1">
        <v>1</v>
      </c>
      <c r="I9505" s="1">
        <v>0.80640000000000001</v>
      </c>
    </row>
    <row r="9506" spans="1:9" x14ac:dyDescent="0.35">
      <c r="A9506" s="3" t="s">
        <v>3455</v>
      </c>
      <c r="B9506" s="1" t="s">
        <v>1662</v>
      </c>
      <c r="C9506" s="1" t="s">
        <v>135</v>
      </c>
      <c r="D9506" s="1" t="s">
        <v>136</v>
      </c>
      <c r="E9506" s="1" t="s">
        <v>33</v>
      </c>
      <c r="F9506" s="2" t="s">
        <v>3035</v>
      </c>
      <c r="G9506" s="1">
        <v>1091.93</v>
      </c>
      <c r="H9506" s="1">
        <v>7</v>
      </c>
      <c r="I9506" s="1">
        <v>272.98250000000002</v>
      </c>
    </row>
    <row r="9507" spans="1:9" x14ac:dyDescent="0.35">
      <c r="A9507" s="3" t="s">
        <v>3455</v>
      </c>
      <c r="B9507" s="1" t="s">
        <v>1662</v>
      </c>
      <c r="C9507" s="1" t="s">
        <v>135</v>
      </c>
      <c r="D9507" s="1" t="s">
        <v>136</v>
      </c>
      <c r="E9507" s="1" t="s">
        <v>44</v>
      </c>
      <c r="F9507" s="2" t="s">
        <v>683</v>
      </c>
      <c r="G9507" s="1">
        <v>111.96</v>
      </c>
      <c r="H9507" s="1">
        <v>2</v>
      </c>
      <c r="I9507" s="1">
        <v>54.860399999999998</v>
      </c>
    </row>
    <row r="9508" spans="1:9" x14ac:dyDescent="0.35">
      <c r="A9508" s="3">
        <v>41763</v>
      </c>
      <c r="B9508" s="1" t="s">
        <v>329</v>
      </c>
      <c r="C9508" s="1" t="s">
        <v>2568</v>
      </c>
      <c r="D9508" s="1" t="s">
        <v>120</v>
      </c>
      <c r="E9508" s="1" t="s">
        <v>31</v>
      </c>
      <c r="F9508" s="2" t="s">
        <v>1394</v>
      </c>
      <c r="G9508" s="1">
        <v>26.7</v>
      </c>
      <c r="H9508" s="1">
        <v>2</v>
      </c>
      <c r="I9508" s="1">
        <v>7.476</v>
      </c>
    </row>
    <row r="9509" spans="1:9" x14ac:dyDescent="0.35">
      <c r="A9509" s="3">
        <v>41763</v>
      </c>
      <c r="B9509" s="1" t="s">
        <v>329</v>
      </c>
      <c r="C9509" s="1" t="s">
        <v>2568</v>
      </c>
      <c r="D9509" s="1" t="s">
        <v>120</v>
      </c>
      <c r="E9509" s="1" t="s">
        <v>35</v>
      </c>
      <c r="F9509" s="2" t="s">
        <v>2032</v>
      </c>
      <c r="G9509" s="1">
        <v>40.200000000000003</v>
      </c>
      <c r="H9509" s="1">
        <v>5</v>
      </c>
      <c r="I9509" s="1">
        <v>18.09</v>
      </c>
    </row>
    <row r="9510" spans="1:9" x14ac:dyDescent="0.35">
      <c r="A9510" s="3">
        <v>41763</v>
      </c>
      <c r="B9510" s="1" t="s">
        <v>329</v>
      </c>
      <c r="C9510" s="1" t="s">
        <v>2568</v>
      </c>
      <c r="D9510" s="1" t="s">
        <v>120</v>
      </c>
      <c r="E9510" s="1" t="s">
        <v>31</v>
      </c>
      <c r="F9510" s="2" t="s">
        <v>384</v>
      </c>
      <c r="G9510" s="1">
        <v>13.89</v>
      </c>
      <c r="H9510" s="1">
        <v>3</v>
      </c>
      <c r="I9510" s="1">
        <v>4.5837000000000003</v>
      </c>
    </row>
    <row r="9511" spans="1:9" x14ac:dyDescent="0.35">
      <c r="A9511" s="3">
        <v>41763</v>
      </c>
      <c r="B9511" s="1" t="s">
        <v>329</v>
      </c>
      <c r="C9511" s="1" t="s">
        <v>2568</v>
      </c>
      <c r="D9511" s="1" t="s">
        <v>120</v>
      </c>
      <c r="E9511" s="1" t="s">
        <v>26</v>
      </c>
      <c r="F9511" s="2" t="s">
        <v>340</v>
      </c>
      <c r="G9511" s="1">
        <v>689.82</v>
      </c>
      <c r="H9511" s="1">
        <v>6</v>
      </c>
      <c r="I9511" s="1">
        <v>20.694600000000001</v>
      </c>
    </row>
    <row r="9512" spans="1:9" x14ac:dyDescent="0.35">
      <c r="A9512" s="3">
        <v>42529</v>
      </c>
      <c r="B9512" s="1" t="s">
        <v>861</v>
      </c>
      <c r="C9512" s="1" t="s">
        <v>135</v>
      </c>
      <c r="D9512" s="1" t="s">
        <v>136</v>
      </c>
      <c r="E9512" s="1" t="s">
        <v>31</v>
      </c>
      <c r="F9512" s="2" t="s">
        <v>601</v>
      </c>
      <c r="G9512" s="1">
        <v>38.340000000000003</v>
      </c>
      <c r="H9512" s="1">
        <v>9</v>
      </c>
      <c r="I9512" s="1">
        <v>15.7194</v>
      </c>
    </row>
    <row r="9513" spans="1:9" x14ac:dyDescent="0.35">
      <c r="A9513" s="3" t="s">
        <v>3610</v>
      </c>
      <c r="B9513" s="1" t="s">
        <v>2488</v>
      </c>
      <c r="C9513" s="1" t="s">
        <v>154</v>
      </c>
      <c r="D9513" s="1" t="s">
        <v>106</v>
      </c>
      <c r="E9513" s="1" t="s">
        <v>35</v>
      </c>
      <c r="F9513" s="2" t="s">
        <v>1823</v>
      </c>
      <c r="G9513" s="1">
        <v>9.2639999999999993</v>
      </c>
      <c r="H9513" s="1">
        <v>3</v>
      </c>
      <c r="I9513" s="1">
        <v>-13.896000000000001</v>
      </c>
    </row>
    <row r="9514" spans="1:9" x14ac:dyDescent="0.35">
      <c r="A9514" s="3" t="s">
        <v>3721</v>
      </c>
      <c r="B9514" s="1" t="s">
        <v>1493</v>
      </c>
      <c r="C9514" s="1" t="s">
        <v>399</v>
      </c>
      <c r="D9514" s="1" t="s">
        <v>52</v>
      </c>
      <c r="E9514" s="1" t="s">
        <v>12</v>
      </c>
      <c r="F9514" s="2" t="s">
        <v>1350</v>
      </c>
      <c r="G9514" s="1">
        <v>204.66640000000001</v>
      </c>
      <c r="H9514" s="1">
        <v>1</v>
      </c>
      <c r="I9514" s="1">
        <v>-6.0195999999999996</v>
      </c>
    </row>
    <row r="9515" spans="1:9" x14ac:dyDescent="0.35">
      <c r="A9515" s="3" t="s">
        <v>3455</v>
      </c>
      <c r="B9515" s="1" t="s">
        <v>2335</v>
      </c>
      <c r="C9515" s="1" t="s">
        <v>1745</v>
      </c>
      <c r="D9515" s="1" t="s">
        <v>57</v>
      </c>
      <c r="E9515" s="1" t="s">
        <v>81</v>
      </c>
      <c r="F9515" s="2" t="s">
        <v>1313</v>
      </c>
      <c r="G9515" s="1">
        <v>1649.75</v>
      </c>
      <c r="H9515" s="1">
        <v>5</v>
      </c>
      <c r="I9515" s="1">
        <v>544.41750000000002</v>
      </c>
    </row>
    <row r="9516" spans="1:9" x14ac:dyDescent="0.35">
      <c r="A9516" s="3" t="s">
        <v>3267</v>
      </c>
      <c r="B9516" s="1" t="s">
        <v>2734</v>
      </c>
      <c r="C9516" s="1" t="s">
        <v>719</v>
      </c>
      <c r="D9516" s="1" t="s">
        <v>23</v>
      </c>
      <c r="E9516" s="1" t="s">
        <v>44</v>
      </c>
      <c r="F9516" s="2" t="s">
        <v>1126</v>
      </c>
      <c r="G9516" s="1">
        <v>91.055999999999997</v>
      </c>
      <c r="H9516" s="1">
        <v>6</v>
      </c>
      <c r="I9516" s="1">
        <v>31.869599999999998</v>
      </c>
    </row>
    <row r="9517" spans="1:9" x14ac:dyDescent="0.35">
      <c r="A9517" s="3" t="s">
        <v>3848</v>
      </c>
      <c r="B9517" s="1" t="s">
        <v>463</v>
      </c>
      <c r="C9517" s="1" t="s">
        <v>154</v>
      </c>
      <c r="D9517" s="1" t="s">
        <v>106</v>
      </c>
      <c r="E9517" s="1" t="s">
        <v>31</v>
      </c>
      <c r="F9517" s="2" t="s">
        <v>1329</v>
      </c>
      <c r="G9517" s="1">
        <v>54.207999999999998</v>
      </c>
      <c r="H9517" s="1">
        <v>14</v>
      </c>
      <c r="I9517" s="1">
        <v>8.8087999999999997</v>
      </c>
    </row>
    <row r="9518" spans="1:9" x14ac:dyDescent="0.35">
      <c r="A9518" s="3" t="s">
        <v>3343</v>
      </c>
      <c r="B9518" s="1" t="s">
        <v>1378</v>
      </c>
      <c r="C9518" s="1" t="s">
        <v>1924</v>
      </c>
      <c r="D9518" s="1" t="s">
        <v>250</v>
      </c>
      <c r="E9518" s="1" t="s">
        <v>33</v>
      </c>
      <c r="F9518" s="2" t="s">
        <v>2064</v>
      </c>
      <c r="G9518" s="1">
        <v>26.981999999999999</v>
      </c>
      <c r="H9518" s="1">
        <v>3</v>
      </c>
      <c r="I9518" s="1">
        <v>4.0472999999999999</v>
      </c>
    </row>
    <row r="9519" spans="1:9" x14ac:dyDescent="0.35">
      <c r="A9519" s="3" t="s">
        <v>3343</v>
      </c>
      <c r="B9519" s="1" t="s">
        <v>1378</v>
      </c>
      <c r="C9519" s="1" t="s">
        <v>1924</v>
      </c>
      <c r="D9519" s="1" t="s">
        <v>250</v>
      </c>
      <c r="E9519" s="1" t="s">
        <v>19</v>
      </c>
      <c r="F9519" s="2" t="s">
        <v>1968</v>
      </c>
      <c r="G9519" s="1">
        <v>6.9119999999999999</v>
      </c>
      <c r="H9519" s="1">
        <v>3</v>
      </c>
      <c r="I9519" s="1">
        <v>2.5055999999999998</v>
      </c>
    </row>
    <row r="9520" spans="1:9" x14ac:dyDescent="0.35">
      <c r="A9520" s="3" t="s">
        <v>3343</v>
      </c>
      <c r="B9520" s="1" t="s">
        <v>1378</v>
      </c>
      <c r="C9520" s="1" t="s">
        <v>1924</v>
      </c>
      <c r="D9520" s="1" t="s">
        <v>250</v>
      </c>
      <c r="E9520" s="1" t="s">
        <v>26</v>
      </c>
      <c r="F9520" s="2" t="s">
        <v>489</v>
      </c>
      <c r="G9520" s="1">
        <v>435.50400000000002</v>
      </c>
      <c r="H9520" s="1">
        <v>3</v>
      </c>
      <c r="I9520" s="1">
        <v>48.994199999999999</v>
      </c>
    </row>
    <row r="9521" spans="1:9" x14ac:dyDescent="0.35">
      <c r="A9521" s="3">
        <v>42952</v>
      </c>
      <c r="B9521" s="1" t="s">
        <v>1822</v>
      </c>
      <c r="C9521" s="1" t="s">
        <v>64</v>
      </c>
      <c r="D9521" s="1" t="s">
        <v>18</v>
      </c>
      <c r="E9521" s="1" t="s">
        <v>37</v>
      </c>
      <c r="F9521" s="2" t="s">
        <v>2097</v>
      </c>
      <c r="G9521" s="1">
        <v>81.08</v>
      </c>
      <c r="H9521" s="1">
        <v>4</v>
      </c>
      <c r="I9521" s="1">
        <v>22.702400000000001</v>
      </c>
    </row>
    <row r="9522" spans="1:9" x14ac:dyDescent="0.35">
      <c r="A9522" s="3">
        <v>42462</v>
      </c>
      <c r="B9522" s="1" t="s">
        <v>349</v>
      </c>
      <c r="C9522" s="1" t="s">
        <v>17</v>
      </c>
      <c r="D9522" s="1" t="s">
        <v>18</v>
      </c>
      <c r="E9522" s="1" t="s">
        <v>26</v>
      </c>
      <c r="F9522" s="2" t="s">
        <v>486</v>
      </c>
      <c r="G9522" s="1">
        <v>93.02</v>
      </c>
      <c r="H9522" s="1">
        <v>2</v>
      </c>
      <c r="I9522" s="1">
        <v>3.7208000000000001</v>
      </c>
    </row>
    <row r="9523" spans="1:9" x14ac:dyDescent="0.35">
      <c r="A9523" s="3" t="s">
        <v>3826</v>
      </c>
      <c r="B9523" s="1" t="s">
        <v>2199</v>
      </c>
      <c r="C9523" s="1" t="s">
        <v>154</v>
      </c>
      <c r="D9523" s="1" t="s">
        <v>106</v>
      </c>
      <c r="E9523" s="1" t="s">
        <v>33</v>
      </c>
      <c r="F9523" s="2" t="s">
        <v>3132</v>
      </c>
      <c r="G9523" s="1">
        <v>323.976</v>
      </c>
      <c r="H9523" s="1">
        <v>3</v>
      </c>
      <c r="I9523" s="1">
        <v>36.447299999999998</v>
      </c>
    </row>
    <row r="9524" spans="1:9" x14ac:dyDescent="0.35">
      <c r="A9524" s="3" t="s">
        <v>3826</v>
      </c>
      <c r="B9524" s="1" t="s">
        <v>2199</v>
      </c>
      <c r="C9524" s="1" t="s">
        <v>154</v>
      </c>
      <c r="D9524" s="1" t="s">
        <v>106</v>
      </c>
      <c r="E9524" s="1" t="s">
        <v>44</v>
      </c>
      <c r="F9524" s="2" t="s">
        <v>3021</v>
      </c>
      <c r="G9524" s="1">
        <v>15.552</v>
      </c>
      <c r="H9524" s="1">
        <v>3</v>
      </c>
      <c r="I9524" s="1">
        <v>5.4432</v>
      </c>
    </row>
    <row r="9525" spans="1:9" x14ac:dyDescent="0.35">
      <c r="A9525" s="3" t="s">
        <v>3826</v>
      </c>
      <c r="B9525" s="1" t="s">
        <v>2199</v>
      </c>
      <c r="C9525" s="1" t="s">
        <v>154</v>
      </c>
      <c r="D9525" s="1" t="s">
        <v>106</v>
      </c>
      <c r="E9525" s="1" t="s">
        <v>26</v>
      </c>
      <c r="F9525" s="2" t="s">
        <v>1736</v>
      </c>
      <c r="G9525" s="1">
        <v>32.591999999999999</v>
      </c>
      <c r="H9525" s="1">
        <v>3</v>
      </c>
      <c r="I9525" s="1">
        <v>-7.7405999999999997</v>
      </c>
    </row>
    <row r="9526" spans="1:9" x14ac:dyDescent="0.35">
      <c r="A9526" s="3">
        <v>42867</v>
      </c>
      <c r="B9526" s="1" t="s">
        <v>2092</v>
      </c>
      <c r="C9526" s="1" t="s">
        <v>47</v>
      </c>
      <c r="D9526" s="1" t="s">
        <v>48</v>
      </c>
      <c r="E9526" s="1" t="s">
        <v>35</v>
      </c>
      <c r="F9526" s="2" t="s">
        <v>572</v>
      </c>
      <c r="G9526" s="1">
        <v>83.92</v>
      </c>
      <c r="H9526" s="1">
        <v>5</v>
      </c>
      <c r="I9526" s="1">
        <v>29.372</v>
      </c>
    </row>
    <row r="9527" spans="1:9" x14ac:dyDescent="0.35">
      <c r="A9527" s="3">
        <v>42867</v>
      </c>
      <c r="B9527" s="1" t="s">
        <v>2092</v>
      </c>
      <c r="C9527" s="1" t="s">
        <v>47</v>
      </c>
      <c r="D9527" s="1" t="s">
        <v>48</v>
      </c>
      <c r="E9527" s="1" t="s">
        <v>29</v>
      </c>
      <c r="F9527" s="2" t="s">
        <v>1500</v>
      </c>
      <c r="G9527" s="1">
        <v>199.9</v>
      </c>
      <c r="H9527" s="1">
        <v>5</v>
      </c>
      <c r="I9527" s="1">
        <v>39.979999999999997</v>
      </c>
    </row>
    <row r="9528" spans="1:9" x14ac:dyDescent="0.35">
      <c r="A9528" s="3">
        <v>42867</v>
      </c>
      <c r="B9528" s="1" t="s">
        <v>2092</v>
      </c>
      <c r="C9528" s="1" t="s">
        <v>47</v>
      </c>
      <c r="D9528" s="1" t="s">
        <v>48</v>
      </c>
      <c r="E9528" s="1" t="s">
        <v>33</v>
      </c>
      <c r="F9528" s="2" t="s">
        <v>1337</v>
      </c>
      <c r="G9528" s="1">
        <v>31.175999999999998</v>
      </c>
      <c r="H9528" s="1">
        <v>3</v>
      </c>
      <c r="I9528" s="1">
        <v>-7.0145999999999997</v>
      </c>
    </row>
    <row r="9529" spans="1:9" x14ac:dyDescent="0.35">
      <c r="A9529" s="3">
        <v>42867</v>
      </c>
      <c r="B9529" s="1" t="s">
        <v>2092</v>
      </c>
      <c r="C9529" s="1" t="s">
        <v>47</v>
      </c>
      <c r="D9529" s="1" t="s">
        <v>48</v>
      </c>
      <c r="E9529" s="1" t="s">
        <v>35</v>
      </c>
      <c r="F9529" s="2" t="s">
        <v>708</v>
      </c>
      <c r="G9529" s="1">
        <v>172.75200000000001</v>
      </c>
      <c r="H9529" s="1">
        <v>6</v>
      </c>
      <c r="I9529" s="1">
        <v>60.463200000000001</v>
      </c>
    </row>
    <row r="9530" spans="1:9" x14ac:dyDescent="0.35">
      <c r="A9530" s="3">
        <v>42867</v>
      </c>
      <c r="B9530" s="1" t="s">
        <v>2092</v>
      </c>
      <c r="C9530" s="1" t="s">
        <v>47</v>
      </c>
      <c r="D9530" s="1" t="s">
        <v>48</v>
      </c>
      <c r="E9530" s="1" t="s">
        <v>35</v>
      </c>
      <c r="F9530" s="2" t="s">
        <v>1215</v>
      </c>
      <c r="G9530" s="1">
        <v>9.2959999999999994</v>
      </c>
      <c r="H9530" s="1">
        <v>2</v>
      </c>
      <c r="I9530" s="1">
        <v>3.0211999999999999</v>
      </c>
    </row>
    <row r="9531" spans="1:9" x14ac:dyDescent="0.35">
      <c r="A9531" s="3" t="s">
        <v>3793</v>
      </c>
      <c r="B9531" s="1" t="s">
        <v>1985</v>
      </c>
      <c r="C9531" s="1" t="s">
        <v>3029</v>
      </c>
      <c r="D9531" s="1" t="s">
        <v>52</v>
      </c>
      <c r="E9531" s="1" t="s">
        <v>26</v>
      </c>
      <c r="F9531" s="2" t="s">
        <v>1456</v>
      </c>
      <c r="G9531" s="1">
        <v>12.768000000000001</v>
      </c>
      <c r="H9531" s="1">
        <v>2</v>
      </c>
      <c r="I9531" s="1">
        <v>0.95760000000000001</v>
      </c>
    </row>
    <row r="9532" spans="1:9" x14ac:dyDescent="0.35">
      <c r="A9532" s="3">
        <v>42954</v>
      </c>
      <c r="B9532" s="1" t="s">
        <v>1052</v>
      </c>
      <c r="C9532" s="1" t="s">
        <v>47</v>
      </c>
      <c r="D9532" s="1" t="s">
        <v>48</v>
      </c>
      <c r="E9532" s="1" t="s">
        <v>44</v>
      </c>
      <c r="F9532" s="2" t="s">
        <v>94</v>
      </c>
      <c r="G9532" s="1">
        <v>52.76</v>
      </c>
      <c r="H9532" s="1">
        <v>2</v>
      </c>
      <c r="I9532" s="1">
        <v>24.269600000000001</v>
      </c>
    </row>
    <row r="9533" spans="1:9" x14ac:dyDescent="0.35">
      <c r="A9533" s="3" t="s">
        <v>3167</v>
      </c>
      <c r="B9533" s="1" t="s">
        <v>2466</v>
      </c>
      <c r="C9533" s="1" t="s">
        <v>399</v>
      </c>
      <c r="D9533" s="1" t="s">
        <v>52</v>
      </c>
      <c r="E9533" s="1" t="s">
        <v>26</v>
      </c>
      <c r="F9533" s="2" t="s">
        <v>1929</v>
      </c>
      <c r="G9533" s="1">
        <v>55.616</v>
      </c>
      <c r="H9533" s="1">
        <v>2</v>
      </c>
      <c r="I9533" s="1">
        <v>5.5616000000000003</v>
      </c>
    </row>
    <row r="9534" spans="1:9" x14ac:dyDescent="0.35">
      <c r="A9534" s="3" t="s">
        <v>3545</v>
      </c>
      <c r="B9534" s="1" t="s">
        <v>2054</v>
      </c>
      <c r="C9534" s="1" t="s">
        <v>135</v>
      </c>
      <c r="D9534" s="1" t="s">
        <v>136</v>
      </c>
      <c r="E9534" s="1" t="s">
        <v>14</v>
      </c>
      <c r="F9534" s="2" t="s">
        <v>2109</v>
      </c>
      <c r="G9534" s="1">
        <v>427.64400000000001</v>
      </c>
      <c r="H9534" s="1">
        <v>14</v>
      </c>
      <c r="I9534" s="1">
        <v>80.777199999999993</v>
      </c>
    </row>
    <row r="9535" spans="1:9" x14ac:dyDescent="0.35">
      <c r="A9535" s="3" t="s">
        <v>3545</v>
      </c>
      <c r="B9535" s="1" t="s">
        <v>2054</v>
      </c>
      <c r="C9535" s="1" t="s">
        <v>135</v>
      </c>
      <c r="D9535" s="1" t="s">
        <v>136</v>
      </c>
      <c r="E9535" s="1" t="s">
        <v>137</v>
      </c>
      <c r="F9535" s="2" t="s">
        <v>409</v>
      </c>
      <c r="G9535" s="1">
        <v>40.67</v>
      </c>
      <c r="H9535" s="1">
        <v>7</v>
      </c>
      <c r="I9535" s="1">
        <v>12.607699999999999</v>
      </c>
    </row>
    <row r="9536" spans="1:9" x14ac:dyDescent="0.35">
      <c r="A9536" s="3" t="s">
        <v>3545</v>
      </c>
      <c r="B9536" s="1" t="s">
        <v>2054</v>
      </c>
      <c r="C9536" s="1" t="s">
        <v>135</v>
      </c>
      <c r="D9536" s="1" t="s">
        <v>136</v>
      </c>
      <c r="E9536" s="1" t="s">
        <v>26</v>
      </c>
      <c r="F9536" s="2" t="s">
        <v>2949</v>
      </c>
      <c r="G9536" s="1">
        <v>33.479999999999997</v>
      </c>
      <c r="H9536" s="1">
        <v>2</v>
      </c>
      <c r="I9536" s="1">
        <v>1.3391999999999999</v>
      </c>
    </row>
    <row r="9537" spans="1:9" x14ac:dyDescent="0.35">
      <c r="A9537" s="3" t="s">
        <v>3545</v>
      </c>
      <c r="B9537" s="1" t="s">
        <v>2054</v>
      </c>
      <c r="C9537" s="1" t="s">
        <v>135</v>
      </c>
      <c r="D9537" s="1" t="s">
        <v>136</v>
      </c>
      <c r="E9537" s="1" t="s">
        <v>35</v>
      </c>
      <c r="F9537" s="2" t="s">
        <v>936</v>
      </c>
      <c r="G9537" s="1">
        <v>9.7279999999999998</v>
      </c>
      <c r="H9537" s="1">
        <v>2</v>
      </c>
      <c r="I9537" s="1">
        <v>3.2831999999999999</v>
      </c>
    </row>
    <row r="9538" spans="1:9" x14ac:dyDescent="0.35">
      <c r="A9538" s="3">
        <v>43075</v>
      </c>
      <c r="B9538" s="1" t="s">
        <v>271</v>
      </c>
      <c r="C9538" s="1" t="s">
        <v>154</v>
      </c>
      <c r="D9538" s="1" t="s">
        <v>106</v>
      </c>
      <c r="E9538" s="1" t="s">
        <v>29</v>
      </c>
      <c r="F9538" s="2" t="s">
        <v>2074</v>
      </c>
      <c r="G9538" s="1">
        <v>8.8559999999999999</v>
      </c>
      <c r="H9538" s="1">
        <v>3</v>
      </c>
      <c r="I9538" s="1">
        <v>-6.8634000000000004</v>
      </c>
    </row>
    <row r="9539" spans="1:9" x14ac:dyDescent="0.35">
      <c r="A9539" s="3" t="s">
        <v>3499</v>
      </c>
      <c r="B9539" s="1" t="s">
        <v>1591</v>
      </c>
      <c r="C9539" s="1" t="s">
        <v>64</v>
      </c>
      <c r="D9539" s="1" t="s">
        <v>18</v>
      </c>
      <c r="E9539" s="1" t="s">
        <v>12</v>
      </c>
      <c r="F9539" s="2" t="s">
        <v>376</v>
      </c>
      <c r="G9539" s="1">
        <v>477.666</v>
      </c>
      <c r="H9539" s="1">
        <v>2</v>
      </c>
      <c r="I9539" s="1">
        <v>84.293999999999997</v>
      </c>
    </row>
    <row r="9540" spans="1:9" x14ac:dyDescent="0.35">
      <c r="A9540" s="3">
        <v>42925</v>
      </c>
      <c r="B9540" s="1" t="s">
        <v>848</v>
      </c>
      <c r="C9540" s="1" t="s">
        <v>1544</v>
      </c>
      <c r="D9540" s="1" t="s">
        <v>663</v>
      </c>
      <c r="E9540" s="1" t="s">
        <v>44</v>
      </c>
      <c r="F9540" s="2" t="s">
        <v>1574</v>
      </c>
      <c r="G9540" s="1">
        <v>16.899999999999999</v>
      </c>
      <c r="H9540" s="1">
        <v>5</v>
      </c>
      <c r="I9540" s="1">
        <v>7.774</v>
      </c>
    </row>
    <row r="9541" spans="1:9" x14ac:dyDescent="0.35">
      <c r="A9541" s="3">
        <v>42925</v>
      </c>
      <c r="B9541" s="1" t="s">
        <v>848</v>
      </c>
      <c r="C9541" s="1" t="s">
        <v>1544</v>
      </c>
      <c r="D9541" s="1" t="s">
        <v>663</v>
      </c>
      <c r="E9541" s="1" t="s">
        <v>44</v>
      </c>
      <c r="F9541" s="2" t="s">
        <v>687</v>
      </c>
      <c r="G9541" s="1">
        <v>39.96</v>
      </c>
      <c r="H9541" s="1">
        <v>2</v>
      </c>
      <c r="I9541" s="1">
        <v>18.781199999999998</v>
      </c>
    </row>
    <row r="9542" spans="1:9" x14ac:dyDescent="0.35">
      <c r="A9542" s="3">
        <v>42313</v>
      </c>
      <c r="B9542" s="1" t="s">
        <v>153</v>
      </c>
      <c r="C9542" s="1" t="s">
        <v>272</v>
      </c>
      <c r="D9542" s="1" t="s">
        <v>158</v>
      </c>
      <c r="E9542" s="1" t="s">
        <v>14</v>
      </c>
      <c r="F9542" s="2" t="s">
        <v>1479</v>
      </c>
      <c r="G9542" s="1">
        <v>191.96799999999999</v>
      </c>
      <c r="H9542" s="1">
        <v>7</v>
      </c>
      <c r="I9542" s="1">
        <v>16.7972</v>
      </c>
    </row>
    <row r="9543" spans="1:9" x14ac:dyDescent="0.35">
      <c r="A9543" s="3">
        <v>42163</v>
      </c>
      <c r="B9543" s="1" t="s">
        <v>1262</v>
      </c>
      <c r="C9543" s="1" t="s">
        <v>93</v>
      </c>
      <c r="D9543" s="1" t="s">
        <v>52</v>
      </c>
      <c r="E9543" s="1" t="s">
        <v>19</v>
      </c>
      <c r="F9543" s="2" t="s">
        <v>415</v>
      </c>
      <c r="G9543" s="1">
        <v>35.520000000000003</v>
      </c>
      <c r="H9543" s="1">
        <v>3</v>
      </c>
      <c r="I9543" s="1">
        <v>13.32</v>
      </c>
    </row>
    <row r="9544" spans="1:9" x14ac:dyDescent="0.35">
      <c r="A9544" s="3">
        <v>42163</v>
      </c>
      <c r="B9544" s="1" t="s">
        <v>1262</v>
      </c>
      <c r="C9544" s="1" t="s">
        <v>93</v>
      </c>
      <c r="D9544" s="1" t="s">
        <v>52</v>
      </c>
      <c r="E9544" s="1" t="s">
        <v>35</v>
      </c>
      <c r="F9544" s="2" t="s">
        <v>1363</v>
      </c>
      <c r="G9544" s="1">
        <v>6.23</v>
      </c>
      <c r="H9544" s="1">
        <v>5</v>
      </c>
      <c r="I9544" s="1">
        <v>-9.6564999999999994</v>
      </c>
    </row>
    <row r="9545" spans="1:9" x14ac:dyDescent="0.35">
      <c r="A9545" s="3">
        <v>42163</v>
      </c>
      <c r="B9545" s="1" t="s">
        <v>1262</v>
      </c>
      <c r="C9545" s="1" t="s">
        <v>93</v>
      </c>
      <c r="D9545" s="1" t="s">
        <v>52</v>
      </c>
      <c r="E9545" s="1" t="s">
        <v>44</v>
      </c>
      <c r="F9545" s="2" t="s">
        <v>2889</v>
      </c>
      <c r="G9545" s="1">
        <v>56.704000000000001</v>
      </c>
      <c r="H9545" s="1">
        <v>2</v>
      </c>
      <c r="I9545" s="1">
        <v>19.137599999999999</v>
      </c>
    </row>
    <row r="9546" spans="1:9" x14ac:dyDescent="0.35">
      <c r="A9546" s="3">
        <v>42163</v>
      </c>
      <c r="B9546" s="1" t="s">
        <v>1262</v>
      </c>
      <c r="C9546" s="1" t="s">
        <v>93</v>
      </c>
      <c r="D9546" s="1" t="s">
        <v>52</v>
      </c>
      <c r="E9546" s="1" t="s">
        <v>12</v>
      </c>
      <c r="F9546" s="2" t="s">
        <v>1848</v>
      </c>
      <c r="G9546" s="1">
        <v>369.19920000000002</v>
      </c>
      <c r="H9546" s="1">
        <v>3</v>
      </c>
      <c r="I9546" s="1">
        <v>-114.01739999999999</v>
      </c>
    </row>
    <row r="9547" spans="1:9" x14ac:dyDescent="0.35">
      <c r="A9547" s="3" t="s">
        <v>3849</v>
      </c>
      <c r="B9547" s="1" t="s">
        <v>1935</v>
      </c>
      <c r="C9547" s="1" t="s">
        <v>249</v>
      </c>
      <c r="D9547" s="1" t="s">
        <v>129</v>
      </c>
      <c r="E9547" s="1" t="s">
        <v>81</v>
      </c>
      <c r="F9547" s="2" t="s">
        <v>2373</v>
      </c>
      <c r="G9547" s="1">
        <v>1.98</v>
      </c>
      <c r="H9547" s="1">
        <v>2</v>
      </c>
      <c r="I9547" s="1">
        <v>0.89100000000000001</v>
      </c>
    </row>
    <row r="9548" spans="1:9" x14ac:dyDescent="0.35">
      <c r="A9548" s="3" t="s">
        <v>3849</v>
      </c>
      <c r="B9548" s="1" t="s">
        <v>1935</v>
      </c>
      <c r="C9548" s="1" t="s">
        <v>249</v>
      </c>
      <c r="D9548" s="1" t="s">
        <v>129</v>
      </c>
      <c r="E9548" s="1" t="s">
        <v>44</v>
      </c>
      <c r="F9548" s="2" t="s">
        <v>164</v>
      </c>
      <c r="G9548" s="1">
        <v>75.88</v>
      </c>
      <c r="H9548" s="1">
        <v>2</v>
      </c>
      <c r="I9548" s="1">
        <v>35.663600000000002</v>
      </c>
    </row>
    <row r="9549" spans="1:9" x14ac:dyDescent="0.35">
      <c r="A9549" s="3" t="s">
        <v>3747</v>
      </c>
      <c r="B9549" s="1" t="s">
        <v>180</v>
      </c>
      <c r="C9549" s="1" t="s">
        <v>74</v>
      </c>
      <c r="D9549" s="1" t="s">
        <v>75</v>
      </c>
      <c r="E9549" s="1" t="s">
        <v>44</v>
      </c>
      <c r="F9549" s="2" t="s">
        <v>2552</v>
      </c>
      <c r="G9549" s="1">
        <v>6.8479999999999999</v>
      </c>
      <c r="H9549" s="1">
        <v>2</v>
      </c>
      <c r="I9549" s="1">
        <v>2.14</v>
      </c>
    </row>
    <row r="9550" spans="1:9" x14ac:dyDescent="0.35">
      <c r="A9550" s="3" t="s">
        <v>3747</v>
      </c>
      <c r="B9550" s="1" t="s">
        <v>180</v>
      </c>
      <c r="C9550" s="1" t="s">
        <v>74</v>
      </c>
      <c r="D9550" s="1" t="s">
        <v>75</v>
      </c>
      <c r="E9550" s="1" t="s">
        <v>35</v>
      </c>
      <c r="F9550" s="2" t="s">
        <v>36</v>
      </c>
      <c r="G9550" s="1">
        <v>4.6260000000000003</v>
      </c>
      <c r="H9550" s="1">
        <v>2</v>
      </c>
      <c r="I9550" s="1">
        <v>-3.855</v>
      </c>
    </row>
    <row r="9551" spans="1:9" x14ac:dyDescent="0.35">
      <c r="A9551" s="3" t="s">
        <v>3747</v>
      </c>
      <c r="B9551" s="1" t="s">
        <v>180</v>
      </c>
      <c r="C9551" s="1" t="s">
        <v>74</v>
      </c>
      <c r="D9551" s="1" t="s">
        <v>75</v>
      </c>
      <c r="E9551" s="1" t="s">
        <v>37</v>
      </c>
      <c r="F9551" s="2" t="s">
        <v>1905</v>
      </c>
      <c r="G9551" s="1">
        <v>453.6</v>
      </c>
      <c r="H9551" s="1">
        <v>3</v>
      </c>
      <c r="I9551" s="1">
        <v>90.72</v>
      </c>
    </row>
    <row r="9552" spans="1:9" x14ac:dyDescent="0.35">
      <c r="A9552" s="3">
        <v>42068</v>
      </c>
      <c r="B9552" s="1" t="s">
        <v>1359</v>
      </c>
      <c r="C9552" s="1" t="s">
        <v>314</v>
      </c>
      <c r="D9552" s="1" t="s">
        <v>18</v>
      </c>
      <c r="E9552" s="1" t="s">
        <v>35</v>
      </c>
      <c r="F9552" s="2" t="s">
        <v>166</v>
      </c>
      <c r="G9552" s="1">
        <v>13.848000000000001</v>
      </c>
      <c r="H9552" s="1">
        <v>3</v>
      </c>
      <c r="I9552" s="1">
        <v>5.1929999999999996</v>
      </c>
    </row>
    <row r="9553" spans="1:9" x14ac:dyDescent="0.35">
      <c r="A9553" s="3">
        <v>42288</v>
      </c>
      <c r="B9553" s="1" t="s">
        <v>2577</v>
      </c>
      <c r="C9553" s="1" t="s">
        <v>74</v>
      </c>
      <c r="D9553" s="1" t="s">
        <v>75</v>
      </c>
      <c r="E9553" s="1" t="s">
        <v>26</v>
      </c>
      <c r="F9553" s="2" t="s">
        <v>1327</v>
      </c>
      <c r="G9553" s="1">
        <v>577.58399999999995</v>
      </c>
      <c r="H9553" s="1">
        <v>6</v>
      </c>
      <c r="I9553" s="1">
        <v>43.318800000000003</v>
      </c>
    </row>
    <row r="9554" spans="1:9" x14ac:dyDescent="0.35">
      <c r="A9554" s="3" t="s">
        <v>3657</v>
      </c>
      <c r="B9554" s="1" t="s">
        <v>3093</v>
      </c>
      <c r="C9554" s="1" t="s">
        <v>162</v>
      </c>
      <c r="D9554" s="1" t="s">
        <v>163</v>
      </c>
      <c r="E9554" s="1" t="s">
        <v>81</v>
      </c>
      <c r="F9554" s="2" t="s">
        <v>2164</v>
      </c>
      <c r="G9554" s="1">
        <v>151.96</v>
      </c>
      <c r="H9554" s="1">
        <v>4</v>
      </c>
      <c r="I9554" s="1">
        <v>36.470399999999998</v>
      </c>
    </row>
    <row r="9555" spans="1:9" x14ac:dyDescent="0.35">
      <c r="A9555" s="3" t="s">
        <v>3423</v>
      </c>
      <c r="B9555" s="1" t="s">
        <v>1521</v>
      </c>
      <c r="C9555" s="1" t="s">
        <v>1982</v>
      </c>
      <c r="D9555" s="1" t="s">
        <v>229</v>
      </c>
      <c r="E9555" s="1" t="s">
        <v>29</v>
      </c>
      <c r="F9555" s="2" t="s">
        <v>725</v>
      </c>
      <c r="G9555" s="1">
        <v>68.432000000000002</v>
      </c>
      <c r="H9555" s="1">
        <v>7</v>
      </c>
      <c r="I9555" s="1">
        <v>8.5540000000000003</v>
      </c>
    </row>
    <row r="9556" spans="1:9" x14ac:dyDescent="0.35">
      <c r="A9556" s="3" t="s">
        <v>3465</v>
      </c>
      <c r="B9556" s="1" t="s">
        <v>2482</v>
      </c>
      <c r="C9556" s="1" t="s">
        <v>249</v>
      </c>
      <c r="D9556" s="1" t="s">
        <v>250</v>
      </c>
      <c r="E9556" s="1" t="s">
        <v>29</v>
      </c>
      <c r="F9556" s="2" t="s">
        <v>208</v>
      </c>
      <c r="G9556" s="1">
        <v>71.12</v>
      </c>
      <c r="H9556" s="1">
        <v>5</v>
      </c>
      <c r="I9556" s="1">
        <v>9.7789999999999999</v>
      </c>
    </row>
    <row r="9557" spans="1:9" x14ac:dyDescent="0.35">
      <c r="A9557" s="3" t="s">
        <v>3465</v>
      </c>
      <c r="B9557" s="1" t="s">
        <v>2482</v>
      </c>
      <c r="C9557" s="1" t="s">
        <v>249</v>
      </c>
      <c r="D9557" s="1" t="s">
        <v>250</v>
      </c>
      <c r="E9557" s="1" t="s">
        <v>137</v>
      </c>
      <c r="F9557" s="2" t="s">
        <v>281</v>
      </c>
      <c r="G9557" s="1">
        <v>3.008</v>
      </c>
      <c r="H9557" s="1">
        <v>2</v>
      </c>
      <c r="I9557" s="1">
        <v>0.56399999999999995</v>
      </c>
    </row>
    <row r="9558" spans="1:9" x14ac:dyDescent="0.35">
      <c r="A9558" s="3">
        <v>42075</v>
      </c>
      <c r="B9558" s="1" t="s">
        <v>50</v>
      </c>
      <c r="C9558" s="1" t="s">
        <v>42</v>
      </c>
      <c r="D9558" s="1" t="s">
        <v>1203</v>
      </c>
      <c r="E9558" s="1" t="s">
        <v>44</v>
      </c>
      <c r="F9558" s="2" t="s">
        <v>1336</v>
      </c>
      <c r="G9558" s="1">
        <v>184.66</v>
      </c>
      <c r="H9558" s="1">
        <v>7</v>
      </c>
      <c r="I9558" s="1">
        <v>84.943600000000004</v>
      </c>
    </row>
    <row r="9559" spans="1:9" x14ac:dyDescent="0.35">
      <c r="A9559" s="3" t="s">
        <v>3749</v>
      </c>
      <c r="B9559" s="1" t="s">
        <v>1573</v>
      </c>
      <c r="C9559" s="1" t="s">
        <v>93</v>
      </c>
      <c r="D9559" s="1" t="s">
        <v>52</v>
      </c>
      <c r="E9559" s="1" t="s">
        <v>29</v>
      </c>
      <c r="F9559" s="2" t="s">
        <v>2486</v>
      </c>
      <c r="G9559" s="1">
        <v>5.3120000000000003</v>
      </c>
      <c r="H9559" s="1">
        <v>2</v>
      </c>
      <c r="I9559" s="1">
        <v>-1.5935999999999999</v>
      </c>
    </row>
    <row r="9560" spans="1:9" x14ac:dyDescent="0.35">
      <c r="A9560" s="3">
        <v>42434</v>
      </c>
      <c r="B9560" s="1" t="s">
        <v>3133</v>
      </c>
      <c r="C9560" s="1" t="s">
        <v>303</v>
      </c>
      <c r="D9560" s="1" t="s">
        <v>250</v>
      </c>
      <c r="E9560" s="1" t="s">
        <v>81</v>
      </c>
      <c r="F9560" s="2" t="s">
        <v>833</v>
      </c>
      <c r="G9560" s="1">
        <v>132.52000000000001</v>
      </c>
      <c r="H9560" s="1">
        <v>5</v>
      </c>
      <c r="I9560" s="1">
        <v>34.786499999999997</v>
      </c>
    </row>
    <row r="9561" spans="1:9" x14ac:dyDescent="0.35">
      <c r="A9561" s="3">
        <v>42434</v>
      </c>
      <c r="B9561" s="1" t="s">
        <v>3133</v>
      </c>
      <c r="C9561" s="1" t="s">
        <v>303</v>
      </c>
      <c r="D9561" s="1" t="s">
        <v>250</v>
      </c>
      <c r="E9561" s="1" t="s">
        <v>26</v>
      </c>
      <c r="F9561" s="2" t="s">
        <v>1939</v>
      </c>
      <c r="G9561" s="1">
        <v>195.64</v>
      </c>
      <c r="H9561" s="1">
        <v>5</v>
      </c>
      <c r="I9561" s="1">
        <v>-44.018999999999998</v>
      </c>
    </row>
    <row r="9562" spans="1:9" x14ac:dyDescent="0.35">
      <c r="A9562" s="3">
        <v>42434</v>
      </c>
      <c r="B9562" s="1" t="s">
        <v>3133</v>
      </c>
      <c r="C9562" s="1" t="s">
        <v>303</v>
      </c>
      <c r="D9562" s="1" t="s">
        <v>250</v>
      </c>
      <c r="E9562" s="1" t="s">
        <v>29</v>
      </c>
      <c r="F9562" s="2" t="s">
        <v>2342</v>
      </c>
      <c r="G9562" s="1">
        <v>51.968000000000004</v>
      </c>
      <c r="H9562" s="1">
        <v>2</v>
      </c>
      <c r="I9562" s="1">
        <v>10.393599999999999</v>
      </c>
    </row>
    <row r="9563" spans="1:9" x14ac:dyDescent="0.35">
      <c r="A9563" s="3">
        <v>42434</v>
      </c>
      <c r="B9563" s="1" t="s">
        <v>3133</v>
      </c>
      <c r="C9563" s="1" t="s">
        <v>303</v>
      </c>
      <c r="D9563" s="1" t="s">
        <v>250</v>
      </c>
      <c r="E9563" s="1" t="s">
        <v>81</v>
      </c>
      <c r="F9563" s="2" t="s">
        <v>2202</v>
      </c>
      <c r="G9563" s="1">
        <v>431.976</v>
      </c>
      <c r="H9563" s="1">
        <v>3</v>
      </c>
      <c r="I9563" s="1">
        <v>-75.595799999999997</v>
      </c>
    </row>
    <row r="9564" spans="1:9" x14ac:dyDescent="0.35">
      <c r="A9564" s="3">
        <v>42434</v>
      </c>
      <c r="B9564" s="1" t="s">
        <v>3133</v>
      </c>
      <c r="C9564" s="1" t="s">
        <v>303</v>
      </c>
      <c r="D9564" s="1" t="s">
        <v>250</v>
      </c>
      <c r="E9564" s="1" t="s">
        <v>338</v>
      </c>
      <c r="F9564" s="2" t="s">
        <v>3134</v>
      </c>
      <c r="G9564" s="1">
        <v>224.93700000000001</v>
      </c>
      <c r="H9564" s="1">
        <v>3</v>
      </c>
      <c r="I9564" s="1">
        <v>-164.9538</v>
      </c>
    </row>
    <row r="9565" spans="1:9" x14ac:dyDescent="0.35">
      <c r="A9565" s="3">
        <v>42434</v>
      </c>
      <c r="B9565" s="1" t="s">
        <v>3133</v>
      </c>
      <c r="C9565" s="1" t="s">
        <v>303</v>
      </c>
      <c r="D9565" s="1" t="s">
        <v>250</v>
      </c>
      <c r="E9565" s="1" t="s">
        <v>19</v>
      </c>
      <c r="F9565" s="2" t="s">
        <v>2225</v>
      </c>
      <c r="G9565" s="1">
        <v>6</v>
      </c>
      <c r="H9565" s="1">
        <v>2</v>
      </c>
      <c r="I9565" s="1">
        <v>2.1</v>
      </c>
    </row>
    <row r="9566" spans="1:9" x14ac:dyDescent="0.35">
      <c r="A9566" s="3">
        <v>42010</v>
      </c>
      <c r="B9566" s="1" t="s">
        <v>1259</v>
      </c>
      <c r="C9566" s="1" t="s">
        <v>17</v>
      </c>
      <c r="D9566" s="1" t="s">
        <v>18</v>
      </c>
      <c r="E9566" s="1" t="s">
        <v>44</v>
      </c>
      <c r="F9566" s="2" t="s">
        <v>1706</v>
      </c>
      <c r="G9566" s="1">
        <v>11.76</v>
      </c>
      <c r="H9566" s="1">
        <v>2</v>
      </c>
      <c r="I9566" s="1">
        <v>5.7624000000000004</v>
      </c>
    </row>
    <row r="9567" spans="1:9" x14ac:dyDescent="0.35">
      <c r="A9567" s="3" t="s">
        <v>3585</v>
      </c>
      <c r="B9567" s="1" t="s">
        <v>897</v>
      </c>
      <c r="C9567" s="1" t="s">
        <v>438</v>
      </c>
      <c r="D9567" s="1" t="s">
        <v>23</v>
      </c>
      <c r="E9567" s="1" t="s">
        <v>14</v>
      </c>
      <c r="F9567" s="2" t="s">
        <v>459</v>
      </c>
      <c r="G9567" s="1">
        <v>1125.4880000000001</v>
      </c>
      <c r="H9567" s="1">
        <v>7</v>
      </c>
      <c r="I9567" s="1">
        <v>98.480199999999996</v>
      </c>
    </row>
    <row r="9568" spans="1:9" x14ac:dyDescent="0.35">
      <c r="A9568" s="3" t="s">
        <v>3585</v>
      </c>
      <c r="B9568" s="1" t="s">
        <v>897</v>
      </c>
      <c r="C9568" s="1" t="s">
        <v>438</v>
      </c>
      <c r="D9568" s="1" t="s">
        <v>23</v>
      </c>
      <c r="E9568" s="1" t="s">
        <v>35</v>
      </c>
      <c r="F9568" s="2" t="s">
        <v>1175</v>
      </c>
      <c r="G9568" s="1">
        <v>12.645</v>
      </c>
      <c r="H9568" s="1">
        <v>5</v>
      </c>
      <c r="I9568" s="1">
        <v>-10.116</v>
      </c>
    </row>
    <row r="9569" spans="1:9" x14ac:dyDescent="0.35">
      <c r="A9569" s="3" t="s">
        <v>3585</v>
      </c>
      <c r="B9569" s="1" t="s">
        <v>897</v>
      </c>
      <c r="C9569" s="1" t="s">
        <v>438</v>
      </c>
      <c r="D9569" s="1" t="s">
        <v>23</v>
      </c>
      <c r="E9569" s="1" t="s">
        <v>31</v>
      </c>
      <c r="F9569" s="2" t="s">
        <v>385</v>
      </c>
      <c r="G9569" s="1">
        <v>4.032</v>
      </c>
      <c r="H9569" s="1">
        <v>2</v>
      </c>
      <c r="I9569" s="1">
        <v>1.0584</v>
      </c>
    </row>
    <row r="9570" spans="1:9" x14ac:dyDescent="0.35">
      <c r="A9570" s="3">
        <v>42862</v>
      </c>
      <c r="B9570" s="1" t="s">
        <v>1652</v>
      </c>
      <c r="C9570" s="1" t="s">
        <v>69</v>
      </c>
      <c r="D9570" s="1" t="s">
        <v>70</v>
      </c>
      <c r="E9570" s="1" t="s">
        <v>33</v>
      </c>
      <c r="F9570" s="2" t="s">
        <v>279</v>
      </c>
      <c r="G9570" s="1">
        <v>79.959999999999994</v>
      </c>
      <c r="H9570" s="1">
        <v>4</v>
      </c>
      <c r="I9570" s="1">
        <v>22.3888</v>
      </c>
    </row>
    <row r="9571" spans="1:9" x14ac:dyDescent="0.35">
      <c r="A9571" s="3" t="s">
        <v>3392</v>
      </c>
      <c r="B9571" s="1" t="s">
        <v>391</v>
      </c>
      <c r="C9571" s="1" t="s">
        <v>249</v>
      </c>
      <c r="D9571" s="1" t="s">
        <v>250</v>
      </c>
      <c r="E9571" s="1" t="s">
        <v>35</v>
      </c>
      <c r="F9571" s="2" t="s">
        <v>2303</v>
      </c>
      <c r="G9571" s="1">
        <v>6.7320000000000002</v>
      </c>
      <c r="H9571" s="1">
        <v>6</v>
      </c>
      <c r="I9571" s="1">
        <v>-4.4880000000000004</v>
      </c>
    </row>
    <row r="9572" spans="1:9" x14ac:dyDescent="0.35">
      <c r="A9572" s="3" t="s">
        <v>3392</v>
      </c>
      <c r="B9572" s="1" t="s">
        <v>391</v>
      </c>
      <c r="C9572" s="1" t="s">
        <v>249</v>
      </c>
      <c r="D9572" s="1" t="s">
        <v>250</v>
      </c>
      <c r="E9572" s="1" t="s">
        <v>26</v>
      </c>
      <c r="F9572" s="2" t="s">
        <v>2021</v>
      </c>
      <c r="G9572" s="1">
        <v>33.567999999999998</v>
      </c>
      <c r="H9572" s="1">
        <v>2</v>
      </c>
      <c r="I9572" s="1">
        <v>1.6783999999999999</v>
      </c>
    </row>
    <row r="9573" spans="1:9" x14ac:dyDescent="0.35">
      <c r="A9573" s="3" t="s">
        <v>3392</v>
      </c>
      <c r="B9573" s="1" t="s">
        <v>391</v>
      </c>
      <c r="C9573" s="1" t="s">
        <v>249</v>
      </c>
      <c r="D9573" s="1" t="s">
        <v>250</v>
      </c>
      <c r="E9573" s="1" t="s">
        <v>87</v>
      </c>
      <c r="F9573" s="2" t="s">
        <v>2752</v>
      </c>
      <c r="G9573" s="1">
        <v>15.84</v>
      </c>
      <c r="H9573" s="1">
        <v>2</v>
      </c>
      <c r="I9573" s="1">
        <v>5.5439999999999996</v>
      </c>
    </row>
    <row r="9574" spans="1:9" x14ac:dyDescent="0.35">
      <c r="A9574" s="3" t="s">
        <v>3392</v>
      </c>
      <c r="B9574" s="1" t="s">
        <v>391</v>
      </c>
      <c r="C9574" s="1" t="s">
        <v>249</v>
      </c>
      <c r="D9574" s="1" t="s">
        <v>250</v>
      </c>
      <c r="E9574" s="1" t="s">
        <v>19</v>
      </c>
      <c r="F9574" s="2" t="s">
        <v>1026</v>
      </c>
      <c r="G9574" s="1">
        <v>24.423999999999999</v>
      </c>
      <c r="H9574" s="1">
        <v>1</v>
      </c>
      <c r="I9574" s="1">
        <v>7.9378000000000002</v>
      </c>
    </row>
    <row r="9575" spans="1:9" x14ac:dyDescent="0.35">
      <c r="A9575" s="3" t="s">
        <v>3392</v>
      </c>
      <c r="B9575" s="1" t="s">
        <v>391</v>
      </c>
      <c r="C9575" s="1" t="s">
        <v>249</v>
      </c>
      <c r="D9575" s="1" t="s">
        <v>250</v>
      </c>
      <c r="E9575" s="1" t="s">
        <v>31</v>
      </c>
      <c r="F9575" s="2" t="s">
        <v>1762</v>
      </c>
      <c r="G9575" s="1">
        <v>17.12</v>
      </c>
      <c r="H9575" s="1">
        <v>5</v>
      </c>
      <c r="I9575" s="1">
        <v>1.9259999999999999</v>
      </c>
    </row>
    <row r="9576" spans="1:9" x14ac:dyDescent="0.35">
      <c r="A9576" s="3" t="s">
        <v>3376</v>
      </c>
      <c r="B9576" s="1" t="s">
        <v>73</v>
      </c>
      <c r="C9576" s="1" t="s">
        <v>1717</v>
      </c>
      <c r="D9576" s="1" t="s">
        <v>18</v>
      </c>
      <c r="E9576" s="1" t="s">
        <v>29</v>
      </c>
      <c r="F9576" s="2" t="s">
        <v>1948</v>
      </c>
      <c r="G9576" s="1">
        <v>31.56</v>
      </c>
      <c r="H9576" s="1">
        <v>3</v>
      </c>
      <c r="I9576" s="1">
        <v>10.4148</v>
      </c>
    </row>
    <row r="9577" spans="1:9" x14ac:dyDescent="0.35">
      <c r="A9577" s="3" t="s">
        <v>3574</v>
      </c>
      <c r="B9577" s="1" t="s">
        <v>1836</v>
      </c>
      <c r="C9577" s="1" t="s">
        <v>336</v>
      </c>
      <c r="D9577" s="1" t="s">
        <v>52</v>
      </c>
      <c r="E9577" s="1" t="s">
        <v>14</v>
      </c>
      <c r="F9577" s="2" t="s">
        <v>195</v>
      </c>
      <c r="G9577" s="1">
        <v>105.68600000000001</v>
      </c>
      <c r="H9577" s="1">
        <v>1</v>
      </c>
      <c r="I9577" s="1">
        <v>-28.686199999999999</v>
      </c>
    </row>
    <row r="9578" spans="1:9" x14ac:dyDescent="0.35">
      <c r="A9578" s="3" t="s">
        <v>3574</v>
      </c>
      <c r="B9578" s="1" t="s">
        <v>1836</v>
      </c>
      <c r="C9578" s="1" t="s">
        <v>336</v>
      </c>
      <c r="D9578" s="1" t="s">
        <v>52</v>
      </c>
      <c r="E9578" s="1" t="s">
        <v>338</v>
      </c>
      <c r="F9578" s="2" t="s">
        <v>1835</v>
      </c>
      <c r="G9578" s="1">
        <v>399.54</v>
      </c>
      <c r="H9578" s="1">
        <v>2</v>
      </c>
      <c r="I9578" s="1">
        <v>-79.908000000000001</v>
      </c>
    </row>
    <row r="9579" spans="1:9" x14ac:dyDescent="0.35">
      <c r="A9579" s="3" t="s">
        <v>3574</v>
      </c>
      <c r="B9579" s="1" t="s">
        <v>1836</v>
      </c>
      <c r="C9579" s="1" t="s">
        <v>336</v>
      </c>
      <c r="D9579" s="1" t="s">
        <v>52</v>
      </c>
      <c r="E9579" s="1" t="s">
        <v>14</v>
      </c>
      <c r="F9579" s="2" t="s">
        <v>1908</v>
      </c>
      <c r="G9579" s="1">
        <v>104.93</v>
      </c>
      <c r="H9579" s="1">
        <v>5</v>
      </c>
      <c r="I9579" s="1">
        <v>-4.4969999999999999</v>
      </c>
    </row>
    <row r="9580" spans="1:9" x14ac:dyDescent="0.35">
      <c r="A9580" s="3" t="s">
        <v>3162</v>
      </c>
      <c r="B9580" s="1" t="s">
        <v>210</v>
      </c>
      <c r="C9580" s="1" t="s">
        <v>135</v>
      </c>
      <c r="D9580" s="1" t="s">
        <v>136</v>
      </c>
      <c r="E9580" s="1" t="s">
        <v>33</v>
      </c>
      <c r="F9580" s="2" t="s">
        <v>1520</v>
      </c>
      <c r="G9580" s="1">
        <v>1079.8499999999999</v>
      </c>
      <c r="H9580" s="1">
        <v>3</v>
      </c>
      <c r="I9580" s="1">
        <v>323.95499999999998</v>
      </c>
    </row>
    <row r="9581" spans="1:9" x14ac:dyDescent="0.35">
      <c r="A9581" s="3" t="s">
        <v>3162</v>
      </c>
      <c r="B9581" s="1" t="s">
        <v>210</v>
      </c>
      <c r="C9581" s="1" t="s">
        <v>135</v>
      </c>
      <c r="D9581" s="1" t="s">
        <v>136</v>
      </c>
      <c r="E9581" s="1" t="s">
        <v>26</v>
      </c>
      <c r="F9581" s="2" t="s">
        <v>1757</v>
      </c>
      <c r="G9581" s="1">
        <v>70.98</v>
      </c>
      <c r="H9581" s="1">
        <v>1</v>
      </c>
      <c r="I9581" s="1">
        <v>3.5489999999999999</v>
      </c>
    </row>
    <row r="9582" spans="1:9" x14ac:dyDescent="0.35">
      <c r="A9582" s="3" t="s">
        <v>3162</v>
      </c>
      <c r="B9582" s="1" t="s">
        <v>210</v>
      </c>
      <c r="C9582" s="1" t="s">
        <v>135</v>
      </c>
      <c r="D9582" s="1" t="s">
        <v>136</v>
      </c>
      <c r="E9582" s="1" t="s">
        <v>31</v>
      </c>
      <c r="F9582" s="2" t="s">
        <v>1302</v>
      </c>
      <c r="G9582" s="1">
        <v>29.95</v>
      </c>
      <c r="H9582" s="1">
        <v>5</v>
      </c>
      <c r="I9582" s="1">
        <v>8.6854999999999993</v>
      </c>
    </row>
    <row r="9583" spans="1:9" x14ac:dyDescent="0.35">
      <c r="A9583" s="3" t="s">
        <v>3162</v>
      </c>
      <c r="B9583" s="1" t="s">
        <v>210</v>
      </c>
      <c r="C9583" s="1" t="s">
        <v>135</v>
      </c>
      <c r="D9583" s="1" t="s">
        <v>136</v>
      </c>
      <c r="E9583" s="1" t="s">
        <v>14</v>
      </c>
      <c r="F9583" s="2" t="s">
        <v>2641</v>
      </c>
      <c r="G9583" s="1">
        <v>589.41</v>
      </c>
      <c r="H9583" s="1">
        <v>5</v>
      </c>
      <c r="I9583" s="1">
        <v>-6.5490000000000004</v>
      </c>
    </row>
    <row r="9584" spans="1:9" x14ac:dyDescent="0.35">
      <c r="A9584" s="3">
        <v>42557</v>
      </c>
      <c r="B9584" s="1" t="s">
        <v>3117</v>
      </c>
      <c r="C9584" s="1" t="s">
        <v>74</v>
      </c>
      <c r="D9584" s="1" t="s">
        <v>75</v>
      </c>
      <c r="E9584" s="1" t="s">
        <v>137</v>
      </c>
      <c r="F9584" s="2" t="s">
        <v>287</v>
      </c>
      <c r="G9584" s="1">
        <v>9.6479999999999997</v>
      </c>
      <c r="H9584" s="1">
        <v>6</v>
      </c>
      <c r="I9584" s="1">
        <v>3.4973999999999998</v>
      </c>
    </row>
    <row r="9585" spans="1:9" x14ac:dyDescent="0.35">
      <c r="A9585" s="3" t="s">
        <v>3526</v>
      </c>
      <c r="B9585" s="1" t="s">
        <v>2924</v>
      </c>
      <c r="C9585" s="1" t="s">
        <v>135</v>
      </c>
      <c r="D9585" s="1" t="s">
        <v>136</v>
      </c>
      <c r="E9585" s="1" t="s">
        <v>12</v>
      </c>
      <c r="F9585" s="2" t="s">
        <v>2059</v>
      </c>
      <c r="G9585" s="1">
        <v>400.78399999999999</v>
      </c>
      <c r="H9585" s="1">
        <v>1</v>
      </c>
      <c r="I9585" s="1">
        <v>-5.0098000000000003</v>
      </c>
    </row>
    <row r="9586" spans="1:9" x14ac:dyDescent="0.35">
      <c r="A9586" s="3" t="s">
        <v>3241</v>
      </c>
      <c r="B9586" s="1" t="s">
        <v>2566</v>
      </c>
      <c r="C9586" s="1" t="s">
        <v>429</v>
      </c>
      <c r="D9586" s="1" t="s">
        <v>120</v>
      </c>
      <c r="E9586" s="1" t="s">
        <v>26</v>
      </c>
      <c r="F9586" s="2" t="s">
        <v>1731</v>
      </c>
      <c r="G9586" s="1">
        <v>53.72</v>
      </c>
      <c r="H9586" s="1">
        <v>4</v>
      </c>
      <c r="I9586" s="1">
        <v>13.9672</v>
      </c>
    </row>
    <row r="9587" spans="1:9" x14ac:dyDescent="0.35">
      <c r="A9587" s="3" t="s">
        <v>3278</v>
      </c>
      <c r="B9587" s="1" t="s">
        <v>1646</v>
      </c>
      <c r="C9587" s="1" t="s">
        <v>672</v>
      </c>
      <c r="D9587" s="1" t="s">
        <v>23</v>
      </c>
      <c r="E9587" s="1" t="s">
        <v>44</v>
      </c>
      <c r="F9587" s="2" t="s">
        <v>2339</v>
      </c>
      <c r="G9587" s="1">
        <v>31.007999999999999</v>
      </c>
      <c r="H9587" s="1">
        <v>1</v>
      </c>
      <c r="I9587" s="1">
        <v>11.240399999999999</v>
      </c>
    </row>
    <row r="9588" spans="1:9" x14ac:dyDescent="0.35">
      <c r="A9588" s="3" t="s">
        <v>3182</v>
      </c>
      <c r="B9588" s="1" t="s">
        <v>2335</v>
      </c>
      <c r="C9588" s="1" t="s">
        <v>42</v>
      </c>
      <c r="D9588" s="1" t="s">
        <v>18</v>
      </c>
      <c r="E9588" s="1" t="s">
        <v>35</v>
      </c>
      <c r="F9588" s="2" t="s">
        <v>2198</v>
      </c>
      <c r="G9588" s="1">
        <v>61.12</v>
      </c>
      <c r="H9588" s="1">
        <v>5</v>
      </c>
      <c r="I9588" s="1">
        <v>22.155999999999999</v>
      </c>
    </row>
    <row r="9589" spans="1:9" x14ac:dyDescent="0.35">
      <c r="A9589" s="3" t="s">
        <v>3318</v>
      </c>
      <c r="B9589" s="1" t="s">
        <v>2165</v>
      </c>
      <c r="C9589" s="1" t="s">
        <v>154</v>
      </c>
      <c r="D9589" s="1" t="s">
        <v>106</v>
      </c>
      <c r="E9589" s="1" t="s">
        <v>26</v>
      </c>
      <c r="F9589" s="2" t="s">
        <v>1490</v>
      </c>
      <c r="G9589" s="1">
        <v>195.136</v>
      </c>
      <c r="H9589" s="1">
        <v>4</v>
      </c>
      <c r="I9589" s="1">
        <v>-43.9056</v>
      </c>
    </row>
    <row r="9590" spans="1:9" x14ac:dyDescent="0.35">
      <c r="A9590" s="3" t="s">
        <v>3542</v>
      </c>
      <c r="B9590" s="1" t="s">
        <v>2217</v>
      </c>
      <c r="C9590" s="1" t="s">
        <v>2285</v>
      </c>
      <c r="D9590" s="1" t="s">
        <v>106</v>
      </c>
      <c r="E9590" s="1" t="s">
        <v>31</v>
      </c>
      <c r="F9590" s="2" t="s">
        <v>246</v>
      </c>
      <c r="G9590" s="1">
        <v>121.536</v>
      </c>
      <c r="H9590" s="1">
        <v>4</v>
      </c>
      <c r="I9590" s="1">
        <v>15.192</v>
      </c>
    </row>
    <row r="9591" spans="1:9" x14ac:dyDescent="0.35">
      <c r="A9591" s="3">
        <v>41948</v>
      </c>
      <c r="B9591" s="1" t="s">
        <v>3094</v>
      </c>
      <c r="C9591" s="1" t="s">
        <v>154</v>
      </c>
      <c r="D9591" s="1" t="s">
        <v>106</v>
      </c>
      <c r="E9591" s="1" t="s">
        <v>44</v>
      </c>
      <c r="F9591" s="2" t="s">
        <v>2920</v>
      </c>
      <c r="G9591" s="1">
        <v>17.472000000000001</v>
      </c>
      <c r="H9591" s="1">
        <v>3</v>
      </c>
      <c r="I9591" s="1">
        <v>5.6783999999999999</v>
      </c>
    </row>
    <row r="9592" spans="1:9" x14ac:dyDescent="0.35">
      <c r="A9592" s="3">
        <v>41948</v>
      </c>
      <c r="B9592" s="1" t="s">
        <v>3094</v>
      </c>
      <c r="C9592" s="1" t="s">
        <v>154</v>
      </c>
      <c r="D9592" s="1" t="s">
        <v>106</v>
      </c>
      <c r="E9592" s="1" t="s">
        <v>35</v>
      </c>
      <c r="F9592" s="2" t="s">
        <v>1540</v>
      </c>
      <c r="G9592" s="1">
        <v>104.58</v>
      </c>
      <c r="H9592" s="1">
        <v>9</v>
      </c>
      <c r="I9592" s="1">
        <v>-172.55699999999999</v>
      </c>
    </row>
    <row r="9593" spans="1:9" x14ac:dyDescent="0.35">
      <c r="A9593" s="3" t="s">
        <v>3668</v>
      </c>
      <c r="B9593" s="1" t="s">
        <v>2128</v>
      </c>
      <c r="C9593" s="1" t="s">
        <v>301</v>
      </c>
      <c r="D9593" s="1" t="s">
        <v>52</v>
      </c>
      <c r="E9593" s="1" t="s">
        <v>29</v>
      </c>
      <c r="F9593" s="2" t="s">
        <v>1502</v>
      </c>
      <c r="G9593" s="1">
        <v>24.7</v>
      </c>
      <c r="H9593" s="1">
        <v>5</v>
      </c>
      <c r="I9593" s="1">
        <v>-9.8800000000000008</v>
      </c>
    </row>
    <row r="9594" spans="1:9" x14ac:dyDescent="0.35">
      <c r="A9594" s="3" t="s">
        <v>3668</v>
      </c>
      <c r="B9594" s="1" t="s">
        <v>2128</v>
      </c>
      <c r="C9594" s="1" t="s">
        <v>301</v>
      </c>
      <c r="D9594" s="1" t="s">
        <v>52</v>
      </c>
      <c r="E9594" s="1" t="s">
        <v>29</v>
      </c>
      <c r="F9594" s="2" t="s">
        <v>3046</v>
      </c>
      <c r="G9594" s="1">
        <v>302.72000000000003</v>
      </c>
      <c r="H9594" s="1">
        <v>5</v>
      </c>
      <c r="I9594" s="1">
        <v>-378.4</v>
      </c>
    </row>
    <row r="9595" spans="1:9" x14ac:dyDescent="0.35">
      <c r="A9595" s="3" t="s">
        <v>3162</v>
      </c>
      <c r="B9595" s="1" t="s">
        <v>1841</v>
      </c>
      <c r="C9595" s="1" t="s">
        <v>135</v>
      </c>
      <c r="D9595" s="1" t="s">
        <v>136</v>
      </c>
      <c r="E9595" s="1" t="s">
        <v>44</v>
      </c>
      <c r="F9595" s="2" t="s">
        <v>2478</v>
      </c>
      <c r="G9595" s="1">
        <v>8.56</v>
      </c>
      <c r="H9595" s="1">
        <v>2</v>
      </c>
      <c r="I9595" s="1">
        <v>3.8519999999999999</v>
      </c>
    </row>
    <row r="9596" spans="1:9" x14ac:dyDescent="0.35">
      <c r="A9596" s="3" t="s">
        <v>3162</v>
      </c>
      <c r="B9596" s="1" t="s">
        <v>1841</v>
      </c>
      <c r="C9596" s="1" t="s">
        <v>135</v>
      </c>
      <c r="D9596" s="1" t="s">
        <v>136</v>
      </c>
      <c r="E9596" s="1" t="s">
        <v>44</v>
      </c>
      <c r="F9596" s="2" t="s">
        <v>694</v>
      </c>
      <c r="G9596" s="1">
        <v>11.56</v>
      </c>
      <c r="H9596" s="1">
        <v>2</v>
      </c>
      <c r="I9596" s="1">
        <v>5.6643999999999997</v>
      </c>
    </row>
    <row r="9597" spans="1:9" x14ac:dyDescent="0.35">
      <c r="A9597" s="3" t="s">
        <v>3850</v>
      </c>
      <c r="B9597" s="1" t="s">
        <v>1681</v>
      </c>
      <c r="C9597" s="1" t="s">
        <v>314</v>
      </c>
      <c r="D9597" s="1" t="s">
        <v>18</v>
      </c>
      <c r="E9597" s="1" t="s">
        <v>37</v>
      </c>
      <c r="F9597" s="2" t="s">
        <v>72</v>
      </c>
      <c r="G9597" s="1">
        <v>25.86</v>
      </c>
      <c r="H9597" s="1">
        <v>3</v>
      </c>
      <c r="I9597" s="1">
        <v>6.7236000000000002</v>
      </c>
    </row>
    <row r="9598" spans="1:9" x14ac:dyDescent="0.35">
      <c r="A9598" s="3" t="s">
        <v>3850</v>
      </c>
      <c r="B9598" s="1" t="s">
        <v>1681</v>
      </c>
      <c r="C9598" s="1" t="s">
        <v>314</v>
      </c>
      <c r="D9598" s="1" t="s">
        <v>18</v>
      </c>
      <c r="E9598" s="1" t="s">
        <v>35</v>
      </c>
      <c r="F9598" s="2" t="s">
        <v>2650</v>
      </c>
      <c r="G9598" s="1">
        <v>276.78399999999999</v>
      </c>
      <c r="H9598" s="1">
        <v>2</v>
      </c>
      <c r="I9598" s="1">
        <v>89.954800000000006</v>
      </c>
    </row>
    <row r="9599" spans="1:9" x14ac:dyDescent="0.35">
      <c r="A9599" s="3" t="s">
        <v>3850</v>
      </c>
      <c r="B9599" s="1" t="s">
        <v>1681</v>
      </c>
      <c r="C9599" s="1" t="s">
        <v>314</v>
      </c>
      <c r="D9599" s="1" t="s">
        <v>18</v>
      </c>
      <c r="E9599" s="1" t="s">
        <v>33</v>
      </c>
      <c r="F9599" s="2" t="s">
        <v>2791</v>
      </c>
      <c r="G9599" s="1">
        <v>110.352</v>
      </c>
      <c r="H9599" s="1">
        <v>3</v>
      </c>
      <c r="I9599" s="1">
        <v>8.2764000000000006</v>
      </c>
    </row>
    <row r="9600" spans="1:9" x14ac:dyDescent="0.35">
      <c r="A9600" s="3" t="s">
        <v>3611</v>
      </c>
      <c r="B9600" s="1" t="s">
        <v>2901</v>
      </c>
      <c r="C9600" s="1" t="s">
        <v>2185</v>
      </c>
      <c r="D9600" s="1" t="s">
        <v>18</v>
      </c>
      <c r="E9600" s="1" t="s">
        <v>29</v>
      </c>
      <c r="F9600" s="2" t="s">
        <v>2481</v>
      </c>
      <c r="G9600" s="1">
        <v>60.84</v>
      </c>
      <c r="H9600" s="1">
        <v>3</v>
      </c>
      <c r="I9600" s="1">
        <v>19.468800000000002</v>
      </c>
    </row>
    <row r="9601" spans="1:9" x14ac:dyDescent="0.35">
      <c r="A9601" s="3" t="s">
        <v>3851</v>
      </c>
      <c r="B9601" s="1" t="s">
        <v>919</v>
      </c>
      <c r="C9601" s="1" t="s">
        <v>162</v>
      </c>
      <c r="D9601" s="1" t="s">
        <v>212</v>
      </c>
      <c r="E9601" s="1" t="s">
        <v>37</v>
      </c>
      <c r="F9601" s="2" t="s">
        <v>2195</v>
      </c>
      <c r="G9601" s="1">
        <v>35.207999999999998</v>
      </c>
      <c r="H9601" s="1">
        <v>1</v>
      </c>
      <c r="I9601" s="1">
        <v>2.6406000000000001</v>
      </c>
    </row>
    <row r="9602" spans="1:9" x14ac:dyDescent="0.35">
      <c r="A9602" s="3">
        <v>42952</v>
      </c>
      <c r="B9602" s="1" t="s">
        <v>740</v>
      </c>
      <c r="C9602" s="1" t="s">
        <v>3099</v>
      </c>
      <c r="D9602" s="1" t="s">
        <v>52</v>
      </c>
      <c r="E9602" s="1" t="s">
        <v>44</v>
      </c>
      <c r="F9602" s="2" t="s">
        <v>2432</v>
      </c>
      <c r="G9602" s="1">
        <v>41.472000000000001</v>
      </c>
      <c r="H9602" s="1">
        <v>8</v>
      </c>
      <c r="I9602" s="1">
        <v>14.5152</v>
      </c>
    </row>
    <row r="9603" spans="1:9" x14ac:dyDescent="0.35">
      <c r="A9603" s="3">
        <v>42469</v>
      </c>
      <c r="B9603" s="1" t="s">
        <v>762</v>
      </c>
      <c r="C9603" s="1" t="s">
        <v>1418</v>
      </c>
      <c r="D9603" s="1" t="s">
        <v>797</v>
      </c>
      <c r="E9603" s="1" t="s">
        <v>44</v>
      </c>
      <c r="F9603" s="2" t="s">
        <v>1771</v>
      </c>
      <c r="G9603" s="1">
        <v>239.5</v>
      </c>
      <c r="H9603" s="1">
        <v>5</v>
      </c>
      <c r="I9603" s="1">
        <v>114.96</v>
      </c>
    </row>
    <row r="9604" spans="1:9" x14ac:dyDescent="0.35">
      <c r="A9604" s="3" t="s">
        <v>3508</v>
      </c>
      <c r="B9604" s="1" t="s">
        <v>590</v>
      </c>
      <c r="C9604" s="1" t="s">
        <v>1306</v>
      </c>
      <c r="D9604" s="1" t="s">
        <v>163</v>
      </c>
      <c r="E9604" s="1" t="s">
        <v>289</v>
      </c>
      <c r="F9604" s="2" t="s">
        <v>2876</v>
      </c>
      <c r="G9604" s="1">
        <v>34.200000000000003</v>
      </c>
      <c r="H9604" s="1">
        <v>5</v>
      </c>
      <c r="I9604" s="1">
        <v>9.234</v>
      </c>
    </row>
    <row r="9605" spans="1:9" x14ac:dyDescent="0.35">
      <c r="A9605" s="3" t="s">
        <v>3158</v>
      </c>
      <c r="B9605" s="1" t="s">
        <v>2392</v>
      </c>
      <c r="C9605" s="1" t="s">
        <v>197</v>
      </c>
      <c r="D9605" s="1" t="s">
        <v>136</v>
      </c>
      <c r="E9605" s="1" t="s">
        <v>24</v>
      </c>
      <c r="F9605" s="2" t="s">
        <v>1714</v>
      </c>
      <c r="G9605" s="1">
        <v>376.86599999999999</v>
      </c>
      <c r="H9605" s="1">
        <v>3</v>
      </c>
      <c r="I9605" s="1">
        <v>-213.5574</v>
      </c>
    </row>
    <row r="9606" spans="1:9" x14ac:dyDescent="0.35">
      <c r="A9606" s="3">
        <v>42046</v>
      </c>
      <c r="B9606" s="1" t="s">
        <v>1060</v>
      </c>
      <c r="C9606" s="1" t="s">
        <v>2009</v>
      </c>
      <c r="D9606" s="1" t="s">
        <v>163</v>
      </c>
      <c r="E9606" s="1" t="s">
        <v>37</v>
      </c>
      <c r="F9606" s="2" t="s">
        <v>3135</v>
      </c>
      <c r="G9606" s="1">
        <v>197.72</v>
      </c>
      <c r="H9606" s="1">
        <v>4</v>
      </c>
      <c r="I9606" s="1">
        <v>55.361600000000003</v>
      </c>
    </row>
    <row r="9607" spans="1:9" x14ac:dyDescent="0.35">
      <c r="A9607" s="3">
        <v>42836</v>
      </c>
      <c r="B9607" s="1" t="s">
        <v>1563</v>
      </c>
      <c r="C9607" s="1" t="s">
        <v>1114</v>
      </c>
      <c r="D9607" s="1" t="s">
        <v>250</v>
      </c>
      <c r="E9607" s="1" t="s">
        <v>81</v>
      </c>
      <c r="F9607" s="2" t="s">
        <v>371</v>
      </c>
      <c r="G9607" s="1">
        <v>70.72</v>
      </c>
      <c r="H9607" s="1">
        <v>4</v>
      </c>
      <c r="I9607" s="1">
        <v>-6.1879999999999997</v>
      </c>
    </row>
    <row r="9608" spans="1:9" x14ac:dyDescent="0.35">
      <c r="A9608" s="3">
        <v>42836</v>
      </c>
      <c r="B9608" s="1" t="s">
        <v>1563</v>
      </c>
      <c r="C9608" s="1" t="s">
        <v>1114</v>
      </c>
      <c r="D9608" s="1" t="s">
        <v>250</v>
      </c>
      <c r="E9608" s="1" t="s">
        <v>26</v>
      </c>
      <c r="F9608" s="2" t="s">
        <v>1471</v>
      </c>
      <c r="G9608" s="1">
        <v>194.352</v>
      </c>
      <c r="H9608" s="1">
        <v>3</v>
      </c>
      <c r="I9608" s="1">
        <v>-43.729199999999999</v>
      </c>
    </row>
    <row r="9609" spans="1:9" x14ac:dyDescent="0.35">
      <c r="A9609" s="3">
        <v>42867</v>
      </c>
      <c r="B9609" s="1" t="s">
        <v>2040</v>
      </c>
      <c r="C9609" s="1" t="s">
        <v>135</v>
      </c>
      <c r="D9609" s="1" t="s">
        <v>136</v>
      </c>
      <c r="E9609" s="1" t="s">
        <v>44</v>
      </c>
      <c r="F9609" s="2" t="s">
        <v>2587</v>
      </c>
      <c r="G9609" s="1">
        <v>21.6</v>
      </c>
      <c r="H9609" s="1">
        <v>6</v>
      </c>
      <c r="I9609" s="1">
        <v>9.9359999999999999</v>
      </c>
    </row>
    <row r="9610" spans="1:9" x14ac:dyDescent="0.35">
      <c r="A9610" s="3">
        <v>42867</v>
      </c>
      <c r="B9610" s="1" t="s">
        <v>2040</v>
      </c>
      <c r="C9610" s="1" t="s">
        <v>135</v>
      </c>
      <c r="D9610" s="1" t="s">
        <v>136</v>
      </c>
      <c r="E9610" s="1" t="s">
        <v>19</v>
      </c>
      <c r="F9610" s="2" t="s">
        <v>2042</v>
      </c>
      <c r="G9610" s="1">
        <v>11.07</v>
      </c>
      <c r="H9610" s="1">
        <v>3</v>
      </c>
      <c r="I9610" s="1">
        <v>5.2028999999999996</v>
      </c>
    </row>
    <row r="9611" spans="1:9" x14ac:dyDescent="0.35">
      <c r="A9611" s="3" t="s">
        <v>3477</v>
      </c>
      <c r="B9611" s="1" t="s">
        <v>744</v>
      </c>
      <c r="C9611" s="1" t="s">
        <v>17</v>
      </c>
      <c r="D9611" s="1" t="s">
        <v>18</v>
      </c>
      <c r="E9611" s="1" t="s">
        <v>29</v>
      </c>
      <c r="F9611" s="2" t="s">
        <v>2414</v>
      </c>
      <c r="G9611" s="1">
        <v>282.83999999999997</v>
      </c>
      <c r="H9611" s="1">
        <v>4</v>
      </c>
      <c r="I9611" s="1">
        <v>19.7988</v>
      </c>
    </row>
    <row r="9612" spans="1:9" x14ac:dyDescent="0.35">
      <c r="A9612" s="3" t="s">
        <v>3477</v>
      </c>
      <c r="B9612" s="1" t="s">
        <v>744</v>
      </c>
      <c r="C9612" s="1" t="s">
        <v>17</v>
      </c>
      <c r="D9612" s="1" t="s">
        <v>18</v>
      </c>
      <c r="E9612" s="1" t="s">
        <v>19</v>
      </c>
      <c r="F9612" s="2" t="s">
        <v>1746</v>
      </c>
      <c r="G9612" s="1">
        <v>27.72</v>
      </c>
      <c r="H9612" s="1">
        <v>9</v>
      </c>
      <c r="I9612" s="1">
        <v>13.3056</v>
      </c>
    </row>
    <row r="9613" spans="1:9" x14ac:dyDescent="0.35">
      <c r="A9613" s="3" t="s">
        <v>3824</v>
      </c>
      <c r="B9613" s="1" t="s">
        <v>899</v>
      </c>
      <c r="C9613" s="1" t="s">
        <v>167</v>
      </c>
      <c r="D9613" s="1" t="s">
        <v>704</v>
      </c>
      <c r="E9613" s="1" t="s">
        <v>137</v>
      </c>
      <c r="F9613" s="2" t="s">
        <v>281</v>
      </c>
      <c r="G9613" s="1">
        <v>11.68</v>
      </c>
      <c r="H9613" s="1">
        <v>4</v>
      </c>
      <c r="I9613" s="1">
        <v>5.2560000000000002</v>
      </c>
    </row>
    <row r="9614" spans="1:9" x14ac:dyDescent="0.35">
      <c r="A9614" s="3" t="s">
        <v>3161</v>
      </c>
      <c r="B9614" s="1" t="s">
        <v>866</v>
      </c>
      <c r="C9614" s="1" t="s">
        <v>2499</v>
      </c>
      <c r="D9614" s="1" t="s">
        <v>18</v>
      </c>
      <c r="E9614" s="1" t="s">
        <v>33</v>
      </c>
      <c r="F9614" s="2" t="s">
        <v>2497</v>
      </c>
      <c r="G9614" s="1">
        <v>239.98400000000001</v>
      </c>
      <c r="H9614" s="1">
        <v>2</v>
      </c>
      <c r="I9614" s="1">
        <v>23.9984</v>
      </c>
    </row>
    <row r="9615" spans="1:9" x14ac:dyDescent="0.35">
      <c r="A9615" s="3">
        <v>41954</v>
      </c>
      <c r="B9615" s="1" t="s">
        <v>380</v>
      </c>
      <c r="C9615" s="1" t="s">
        <v>47</v>
      </c>
      <c r="D9615" s="1" t="s">
        <v>48</v>
      </c>
      <c r="E9615" s="1" t="s">
        <v>37</v>
      </c>
      <c r="F9615" s="2" t="s">
        <v>38</v>
      </c>
      <c r="G9615" s="1">
        <v>22.98</v>
      </c>
      <c r="H9615" s="1">
        <v>1</v>
      </c>
      <c r="I9615" s="1">
        <v>6.8940000000000001</v>
      </c>
    </row>
    <row r="9616" spans="1:9" x14ac:dyDescent="0.35">
      <c r="A9616" s="3">
        <v>41954</v>
      </c>
      <c r="B9616" s="1" t="s">
        <v>380</v>
      </c>
      <c r="C9616" s="1" t="s">
        <v>47</v>
      </c>
      <c r="D9616" s="1" t="s">
        <v>48</v>
      </c>
      <c r="E9616" s="1" t="s">
        <v>81</v>
      </c>
      <c r="F9616" s="2" t="s">
        <v>1996</v>
      </c>
      <c r="G9616" s="1">
        <v>102.13</v>
      </c>
      <c r="H9616" s="1">
        <v>7</v>
      </c>
      <c r="I9616" s="1">
        <v>15.3195</v>
      </c>
    </row>
    <row r="9617" spans="1:9" x14ac:dyDescent="0.35">
      <c r="A9617" s="3">
        <v>41954</v>
      </c>
      <c r="B9617" s="1" t="s">
        <v>380</v>
      </c>
      <c r="C9617" s="1" t="s">
        <v>47</v>
      </c>
      <c r="D9617" s="1" t="s">
        <v>48</v>
      </c>
      <c r="E9617" s="1" t="s">
        <v>35</v>
      </c>
      <c r="F9617" s="2" t="s">
        <v>815</v>
      </c>
      <c r="G9617" s="1">
        <v>2033.5840000000001</v>
      </c>
      <c r="H9617" s="1">
        <v>2</v>
      </c>
      <c r="I9617" s="1">
        <v>762.59400000000005</v>
      </c>
    </row>
    <row r="9618" spans="1:9" x14ac:dyDescent="0.35">
      <c r="A9618" s="3" t="s">
        <v>3503</v>
      </c>
      <c r="B9618" s="1" t="s">
        <v>1662</v>
      </c>
      <c r="C9618" s="1" t="s">
        <v>17</v>
      </c>
      <c r="D9618" s="1" t="s">
        <v>18</v>
      </c>
      <c r="E9618" s="1" t="s">
        <v>31</v>
      </c>
      <c r="F9618" s="2" t="s">
        <v>1406</v>
      </c>
      <c r="G9618" s="1">
        <v>5.76</v>
      </c>
      <c r="H9618" s="1">
        <v>2</v>
      </c>
      <c r="I9618" s="1">
        <v>1.6704000000000001</v>
      </c>
    </row>
    <row r="9619" spans="1:9" x14ac:dyDescent="0.35">
      <c r="A9619" s="3" t="s">
        <v>3283</v>
      </c>
      <c r="B9619" s="1" t="s">
        <v>1807</v>
      </c>
      <c r="C9619" s="1" t="s">
        <v>1924</v>
      </c>
      <c r="D9619" s="1" t="s">
        <v>250</v>
      </c>
      <c r="E9619" s="1" t="s">
        <v>579</v>
      </c>
      <c r="F9619" s="2" t="s">
        <v>1085</v>
      </c>
      <c r="G9619" s="1">
        <v>899.98199999999997</v>
      </c>
      <c r="H9619" s="1">
        <v>3</v>
      </c>
      <c r="I9619" s="1">
        <v>74.998500000000007</v>
      </c>
    </row>
    <row r="9620" spans="1:9" x14ac:dyDescent="0.35">
      <c r="A9620" s="3" t="s">
        <v>3283</v>
      </c>
      <c r="B9620" s="1" t="s">
        <v>1807</v>
      </c>
      <c r="C9620" s="1" t="s">
        <v>1924</v>
      </c>
      <c r="D9620" s="1" t="s">
        <v>250</v>
      </c>
      <c r="E9620" s="1" t="s">
        <v>31</v>
      </c>
      <c r="F9620" s="2" t="s">
        <v>1534</v>
      </c>
      <c r="G9620" s="1">
        <v>86.352000000000004</v>
      </c>
      <c r="H9620" s="1">
        <v>3</v>
      </c>
      <c r="I9620" s="1">
        <v>5.3970000000000002</v>
      </c>
    </row>
    <row r="9621" spans="1:9" x14ac:dyDescent="0.35">
      <c r="A9621" s="3" t="s">
        <v>3283</v>
      </c>
      <c r="B9621" s="1" t="s">
        <v>1807</v>
      </c>
      <c r="C9621" s="1" t="s">
        <v>1924</v>
      </c>
      <c r="D9621" s="1" t="s">
        <v>250</v>
      </c>
      <c r="E9621" s="1" t="s">
        <v>81</v>
      </c>
      <c r="F9621" s="2" t="s">
        <v>642</v>
      </c>
      <c r="G9621" s="1">
        <v>139.96</v>
      </c>
      <c r="H9621" s="1">
        <v>5</v>
      </c>
      <c r="I9621" s="1">
        <v>-1.7495000000000001</v>
      </c>
    </row>
    <row r="9622" spans="1:9" x14ac:dyDescent="0.35">
      <c r="A9622" s="3" t="s">
        <v>3191</v>
      </c>
      <c r="B9622" s="1" t="s">
        <v>1861</v>
      </c>
      <c r="C9622" s="1" t="s">
        <v>1114</v>
      </c>
      <c r="D9622" s="1" t="s">
        <v>250</v>
      </c>
      <c r="E9622" s="1" t="s">
        <v>37</v>
      </c>
      <c r="F9622" s="2" t="s">
        <v>3039</v>
      </c>
      <c r="G9622" s="1">
        <v>16.704000000000001</v>
      </c>
      <c r="H9622" s="1">
        <v>6</v>
      </c>
      <c r="I9622" s="1">
        <v>1.2527999999999999</v>
      </c>
    </row>
    <row r="9623" spans="1:9" x14ac:dyDescent="0.35">
      <c r="A9623" s="3" t="s">
        <v>3191</v>
      </c>
      <c r="B9623" s="1" t="s">
        <v>1861</v>
      </c>
      <c r="C9623" s="1" t="s">
        <v>1114</v>
      </c>
      <c r="D9623" s="1" t="s">
        <v>250</v>
      </c>
      <c r="E9623" s="1" t="s">
        <v>81</v>
      </c>
      <c r="F9623" s="2" t="s">
        <v>3085</v>
      </c>
      <c r="G9623" s="1">
        <v>3.1520000000000001</v>
      </c>
      <c r="H9623" s="1">
        <v>2</v>
      </c>
      <c r="I9623" s="1">
        <v>0.4728</v>
      </c>
    </row>
    <row r="9624" spans="1:9" x14ac:dyDescent="0.35">
      <c r="A9624" s="3" t="s">
        <v>3191</v>
      </c>
      <c r="B9624" s="1" t="s">
        <v>1861</v>
      </c>
      <c r="C9624" s="1" t="s">
        <v>1114</v>
      </c>
      <c r="D9624" s="1" t="s">
        <v>250</v>
      </c>
      <c r="E9624" s="1" t="s">
        <v>44</v>
      </c>
      <c r="F9624" s="2" t="s">
        <v>2559</v>
      </c>
      <c r="G9624" s="1">
        <v>32.896000000000001</v>
      </c>
      <c r="H9624" s="1">
        <v>4</v>
      </c>
      <c r="I9624" s="1">
        <v>11.102399999999999</v>
      </c>
    </row>
    <row r="9625" spans="1:9" x14ac:dyDescent="0.35">
      <c r="A9625" s="3" t="s">
        <v>3230</v>
      </c>
      <c r="B9625" s="1" t="s">
        <v>961</v>
      </c>
      <c r="C9625" s="1" t="s">
        <v>399</v>
      </c>
      <c r="D9625" s="1" t="s">
        <v>52</v>
      </c>
      <c r="E9625" s="1" t="s">
        <v>37</v>
      </c>
      <c r="F9625" s="2" t="s">
        <v>1142</v>
      </c>
      <c r="G9625" s="1">
        <v>21.391999999999999</v>
      </c>
      <c r="H9625" s="1">
        <v>2</v>
      </c>
      <c r="I9625" s="1">
        <v>-54.549599999999998</v>
      </c>
    </row>
    <row r="9626" spans="1:9" x14ac:dyDescent="0.35">
      <c r="A9626" s="3" t="s">
        <v>3230</v>
      </c>
      <c r="B9626" s="1" t="s">
        <v>961</v>
      </c>
      <c r="C9626" s="1" t="s">
        <v>399</v>
      </c>
      <c r="D9626" s="1" t="s">
        <v>52</v>
      </c>
      <c r="E9626" s="1" t="s">
        <v>24</v>
      </c>
      <c r="F9626" s="2" t="s">
        <v>2003</v>
      </c>
      <c r="G9626" s="1">
        <v>307.31400000000002</v>
      </c>
      <c r="H9626" s="1">
        <v>3</v>
      </c>
      <c r="I9626" s="1">
        <v>-39.511800000000001</v>
      </c>
    </row>
    <row r="9627" spans="1:9" x14ac:dyDescent="0.35">
      <c r="A9627" s="3" t="s">
        <v>3230</v>
      </c>
      <c r="B9627" s="1" t="s">
        <v>961</v>
      </c>
      <c r="C9627" s="1" t="s">
        <v>399</v>
      </c>
      <c r="D9627" s="1" t="s">
        <v>52</v>
      </c>
      <c r="E9627" s="1" t="s">
        <v>12</v>
      </c>
      <c r="F9627" s="2" t="s">
        <v>2204</v>
      </c>
      <c r="G9627" s="1">
        <v>409.99919999999997</v>
      </c>
      <c r="H9627" s="1">
        <v>3</v>
      </c>
      <c r="I9627" s="1">
        <v>-96.470399999999998</v>
      </c>
    </row>
    <row r="9628" spans="1:9" x14ac:dyDescent="0.35">
      <c r="A9628" s="3" t="s">
        <v>3348</v>
      </c>
      <c r="B9628" s="1" t="s">
        <v>760</v>
      </c>
      <c r="C9628" s="1" t="s">
        <v>2011</v>
      </c>
      <c r="D9628" s="1" t="s">
        <v>52</v>
      </c>
      <c r="E9628" s="1" t="s">
        <v>44</v>
      </c>
      <c r="F9628" s="2" t="s">
        <v>3067</v>
      </c>
      <c r="G9628" s="1">
        <v>9.2479999999999993</v>
      </c>
      <c r="H9628" s="1">
        <v>2</v>
      </c>
      <c r="I9628" s="1">
        <v>3.3523999999999998</v>
      </c>
    </row>
    <row r="9629" spans="1:9" x14ac:dyDescent="0.35">
      <c r="A9629" s="3" t="s">
        <v>3437</v>
      </c>
      <c r="B9629" s="1" t="s">
        <v>2116</v>
      </c>
      <c r="C9629" s="1" t="s">
        <v>429</v>
      </c>
      <c r="D9629" s="1" t="s">
        <v>120</v>
      </c>
      <c r="E9629" s="1" t="s">
        <v>35</v>
      </c>
      <c r="F9629" s="2" t="s">
        <v>1317</v>
      </c>
      <c r="G9629" s="1">
        <v>14.67</v>
      </c>
      <c r="H9629" s="1">
        <v>3</v>
      </c>
      <c r="I9629" s="1">
        <v>6.7481999999999998</v>
      </c>
    </row>
    <row r="9630" spans="1:9" x14ac:dyDescent="0.35">
      <c r="A9630" s="3" t="s">
        <v>3311</v>
      </c>
      <c r="B9630" s="1" t="s">
        <v>1661</v>
      </c>
      <c r="C9630" s="1" t="s">
        <v>303</v>
      </c>
      <c r="D9630" s="1" t="s">
        <v>250</v>
      </c>
      <c r="E9630" s="1" t="s">
        <v>44</v>
      </c>
      <c r="F9630" s="2" t="s">
        <v>1233</v>
      </c>
      <c r="G9630" s="1">
        <v>37.408000000000001</v>
      </c>
      <c r="H9630" s="1">
        <v>7</v>
      </c>
      <c r="I9630" s="1">
        <v>13.0928</v>
      </c>
    </row>
    <row r="9631" spans="1:9" x14ac:dyDescent="0.35">
      <c r="A9631" s="3" t="s">
        <v>3311</v>
      </c>
      <c r="B9631" s="1" t="s">
        <v>1661</v>
      </c>
      <c r="C9631" s="1" t="s">
        <v>303</v>
      </c>
      <c r="D9631" s="1" t="s">
        <v>250</v>
      </c>
      <c r="E9631" s="1" t="s">
        <v>35</v>
      </c>
      <c r="F9631" s="2" t="s">
        <v>2582</v>
      </c>
      <c r="G9631" s="1">
        <v>3.4380000000000002</v>
      </c>
      <c r="H9631" s="1">
        <v>2</v>
      </c>
      <c r="I9631" s="1">
        <v>-2.5211999999999999</v>
      </c>
    </row>
    <row r="9632" spans="1:9" x14ac:dyDescent="0.35">
      <c r="A9632" s="3" t="s">
        <v>3827</v>
      </c>
      <c r="B9632" s="1" t="s">
        <v>1407</v>
      </c>
      <c r="C9632" s="1" t="s">
        <v>135</v>
      </c>
      <c r="D9632" s="1" t="s">
        <v>136</v>
      </c>
      <c r="E9632" s="1" t="s">
        <v>35</v>
      </c>
      <c r="F9632" s="2" t="s">
        <v>224</v>
      </c>
      <c r="G9632" s="1">
        <v>7.1520000000000001</v>
      </c>
      <c r="H9632" s="1">
        <v>3</v>
      </c>
      <c r="I9632" s="1">
        <v>2.3243999999999998</v>
      </c>
    </row>
    <row r="9633" spans="1:9" x14ac:dyDescent="0.35">
      <c r="A9633" s="3" t="s">
        <v>3827</v>
      </c>
      <c r="B9633" s="1" t="s">
        <v>1407</v>
      </c>
      <c r="C9633" s="1" t="s">
        <v>135</v>
      </c>
      <c r="D9633" s="1" t="s">
        <v>136</v>
      </c>
      <c r="E9633" s="1" t="s">
        <v>33</v>
      </c>
      <c r="F9633" s="2" t="s">
        <v>2695</v>
      </c>
      <c r="G9633" s="1">
        <v>179.7</v>
      </c>
      <c r="H9633" s="1">
        <v>6</v>
      </c>
      <c r="I9633" s="1">
        <v>88.052999999999997</v>
      </c>
    </row>
    <row r="9634" spans="1:9" x14ac:dyDescent="0.35">
      <c r="A9634" s="3" t="s">
        <v>3243</v>
      </c>
      <c r="B9634" s="1" t="s">
        <v>2567</v>
      </c>
      <c r="C9634" s="1" t="s">
        <v>206</v>
      </c>
      <c r="D9634" s="1" t="s">
        <v>115</v>
      </c>
      <c r="E9634" s="1" t="s">
        <v>37</v>
      </c>
      <c r="F9634" s="2" t="s">
        <v>1988</v>
      </c>
      <c r="G9634" s="1">
        <v>90.64</v>
      </c>
      <c r="H9634" s="1">
        <v>8</v>
      </c>
      <c r="I9634" s="1">
        <v>38.975200000000001</v>
      </c>
    </row>
    <row r="9635" spans="1:9" x14ac:dyDescent="0.35">
      <c r="A9635" s="3" t="s">
        <v>3598</v>
      </c>
      <c r="B9635" s="1" t="s">
        <v>2325</v>
      </c>
      <c r="C9635" s="1" t="s">
        <v>1739</v>
      </c>
      <c r="D9635" s="1" t="s">
        <v>592</v>
      </c>
      <c r="E9635" s="1" t="s">
        <v>81</v>
      </c>
      <c r="F9635" s="2" t="s">
        <v>1699</v>
      </c>
      <c r="G9635" s="1">
        <v>177</v>
      </c>
      <c r="H9635" s="1">
        <v>3</v>
      </c>
      <c r="I9635" s="1">
        <v>30.09</v>
      </c>
    </row>
    <row r="9636" spans="1:9" x14ac:dyDescent="0.35">
      <c r="A9636" s="3" t="s">
        <v>3598</v>
      </c>
      <c r="B9636" s="1" t="s">
        <v>2325</v>
      </c>
      <c r="C9636" s="1" t="s">
        <v>1739</v>
      </c>
      <c r="D9636" s="1" t="s">
        <v>592</v>
      </c>
      <c r="E9636" s="1" t="s">
        <v>26</v>
      </c>
      <c r="F9636" s="2" t="s">
        <v>178</v>
      </c>
      <c r="G9636" s="1">
        <v>79.45</v>
      </c>
      <c r="H9636" s="1">
        <v>7</v>
      </c>
      <c r="I9636" s="1">
        <v>22.245999999999999</v>
      </c>
    </row>
    <row r="9637" spans="1:9" x14ac:dyDescent="0.35">
      <c r="A9637" s="3" t="s">
        <v>3598</v>
      </c>
      <c r="B9637" s="1" t="s">
        <v>2325</v>
      </c>
      <c r="C9637" s="1" t="s">
        <v>1739</v>
      </c>
      <c r="D9637" s="1" t="s">
        <v>592</v>
      </c>
      <c r="E9637" s="1" t="s">
        <v>14</v>
      </c>
      <c r="F9637" s="2" t="s">
        <v>2807</v>
      </c>
      <c r="G9637" s="1">
        <v>1628.82</v>
      </c>
      <c r="H9637" s="1">
        <v>9</v>
      </c>
      <c r="I9637" s="1">
        <v>260.6112</v>
      </c>
    </row>
    <row r="9638" spans="1:9" x14ac:dyDescent="0.35">
      <c r="A9638" s="3" t="s">
        <v>3368</v>
      </c>
      <c r="B9638" s="1" t="s">
        <v>760</v>
      </c>
      <c r="C9638" s="1" t="s">
        <v>47</v>
      </c>
      <c r="D9638" s="1" t="s">
        <v>48</v>
      </c>
      <c r="E9638" s="1" t="s">
        <v>29</v>
      </c>
      <c r="F9638" s="2" t="s">
        <v>1006</v>
      </c>
      <c r="G9638" s="1">
        <v>137.54</v>
      </c>
      <c r="H9638" s="1">
        <v>2</v>
      </c>
      <c r="I9638" s="1">
        <v>55.015999999999998</v>
      </c>
    </row>
    <row r="9639" spans="1:9" x14ac:dyDescent="0.35">
      <c r="A9639" s="3" t="s">
        <v>3368</v>
      </c>
      <c r="B9639" s="1" t="s">
        <v>760</v>
      </c>
      <c r="C9639" s="1" t="s">
        <v>47</v>
      </c>
      <c r="D9639" s="1" t="s">
        <v>48</v>
      </c>
      <c r="E9639" s="1" t="s">
        <v>24</v>
      </c>
      <c r="F9639" s="2" t="s">
        <v>1618</v>
      </c>
      <c r="G9639" s="1">
        <v>730.2</v>
      </c>
      <c r="H9639" s="1">
        <v>4</v>
      </c>
      <c r="I9639" s="1">
        <v>94.926000000000002</v>
      </c>
    </row>
    <row r="9640" spans="1:9" x14ac:dyDescent="0.35">
      <c r="A9640" s="3">
        <v>43080</v>
      </c>
      <c r="B9640" s="1" t="s">
        <v>851</v>
      </c>
      <c r="C9640" s="1" t="s">
        <v>17</v>
      </c>
      <c r="D9640" s="1" t="s">
        <v>18</v>
      </c>
      <c r="E9640" s="1" t="s">
        <v>44</v>
      </c>
      <c r="F9640" s="2" t="s">
        <v>3067</v>
      </c>
      <c r="G9640" s="1">
        <v>11.56</v>
      </c>
      <c r="H9640" s="1">
        <v>2</v>
      </c>
      <c r="I9640" s="1">
        <v>5.6643999999999997</v>
      </c>
    </row>
    <row r="9641" spans="1:9" x14ac:dyDescent="0.35">
      <c r="A9641" s="3" t="s">
        <v>3852</v>
      </c>
      <c r="B9641" s="1" t="s">
        <v>405</v>
      </c>
      <c r="C9641" s="1" t="s">
        <v>42</v>
      </c>
      <c r="D9641" s="1" t="s">
        <v>43</v>
      </c>
      <c r="E9641" s="1" t="s">
        <v>24</v>
      </c>
      <c r="F9641" s="2" t="s">
        <v>1050</v>
      </c>
      <c r="G9641" s="1">
        <v>4297.6440000000002</v>
      </c>
      <c r="H9641" s="1">
        <v>13</v>
      </c>
      <c r="I9641" s="1">
        <v>-1862.3124</v>
      </c>
    </row>
    <row r="9642" spans="1:9" x14ac:dyDescent="0.35">
      <c r="A9642" s="3">
        <v>41823</v>
      </c>
      <c r="B9642" s="1" t="s">
        <v>3058</v>
      </c>
      <c r="C9642" s="1" t="s">
        <v>47</v>
      </c>
      <c r="D9642" s="1" t="s">
        <v>48</v>
      </c>
      <c r="E9642" s="1" t="s">
        <v>31</v>
      </c>
      <c r="F9642" s="2" t="s">
        <v>237</v>
      </c>
      <c r="G9642" s="1">
        <v>20.65</v>
      </c>
      <c r="H9642" s="1">
        <v>5</v>
      </c>
      <c r="I9642" s="1">
        <v>9.4990000000000006</v>
      </c>
    </row>
    <row r="9643" spans="1:9" x14ac:dyDescent="0.35">
      <c r="A9643" s="3">
        <v>41823</v>
      </c>
      <c r="B9643" s="1" t="s">
        <v>3058</v>
      </c>
      <c r="C9643" s="1" t="s">
        <v>47</v>
      </c>
      <c r="D9643" s="1" t="s">
        <v>48</v>
      </c>
      <c r="E9643" s="1" t="s">
        <v>26</v>
      </c>
      <c r="F9643" s="2" t="s">
        <v>669</v>
      </c>
      <c r="G9643" s="1">
        <v>204.9</v>
      </c>
      <c r="H9643" s="1">
        <v>5</v>
      </c>
      <c r="I9643" s="1">
        <v>0</v>
      </c>
    </row>
    <row r="9644" spans="1:9" x14ac:dyDescent="0.35">
      <c r="A9644" s="3">
        <v>41823</v>
      </c>
      <c r="B9644" s="1" t="s">
        <v>3058</v>
      </c>
      <c r="C9644" s="1" t="s">
        <v>47</v>
      </c>
      <c r="D9644" s="1" t="s">
        <v>48</v>
      </c>
      <c r="E9644" s="1" t="s">
        <v>14</v>
      </c>
      <c r="F9644" s="2" t="s">
        <v>3123</v>
      </c>
      <c r="G9644" s="1">
        <v>436.70400000000001</v>
      </c>
      <c r="H9644" s="1">
        <v>6</v>
      </c>
      <c r="I9644" s="1">
        <v>21.8352</v>
      </c>
    </row>
    <row r="9645" spans="1:9" x14ac:dyDescent="0.35">
      <c r="A9645" s="3">
        <v>41823</v>
      </c>
      <c r="B9645" s="1" t="s">
        <v>3058</v>
      </c>
      <c r="C9645" s="1" t="s">
        <v>47</v>
      </c>
      <c r="D9645" s="1" t="s">
        <v>48</v>
      </c>
      <c r="E9645" s="1" t="s">
        <v>14</v>
      </c>
      <c r="F9645" s="2" t="s">
        <v>2489</v>
      </c>
      <c r="G9645" s="1">
        <v>481.56799999999998</v>
      </c>
      <c r="H9645" s="1">
        <v>2</v>
      </c>
      <c r="I9645" s="1">
        <v>54.176400000000001</v>
      </c>
    </row>
    <row r="9646" spans="1:9" x14ac:dyDescent="0.35">
      <c r="A9646" s="3">
        <v>42953</v>
      </c>
      <c r="B9646" s="1" t="s">
        <v>1376</v>
      </c>
      <c r="C9646" s="1" t="s">
        <v>1682</v>
      </c>
      <c r="D9646" s="1" t="s">
        <v>158</v>
      </c>
      <c r="E9646" s="1" t="s">
        <v>81</v>
      </c>
      <c r="F9646" s="2" t="s">
        <v>1842</v>
      </c>
      <c r="G9646" s="1">
        <v>89.543999999999997</v>
      </c>
      <c r="H9646" s="1">
        <v>7</v>
      </c>
      <c r="I9646" s="1">
        <v>12.3123</v>
      </c>
    </row>
    <row r="9647" spans="1:9" x14ac:dyDescent="0.35">
      <c r="A9647" s="3">
        <v>42953</v>
      </c>
      <c r="B9647" s="1" t="s">
        <v>1376</v>
      </c>
      <c r="C9647" s="1" t="s">
        <v>1682</v>
      </c>
      <c r="D9647" s="1" t="s">
        <v>158</v>
      </c>
      <c r="E9647" s="1" t="s">
        <v>26</v>
      </c>
      <c r="F9647" s="2" t="s">
        <v>432</v>
      </c>
      <c r="G9647" s="1">
        <v>35.167999999999999</v>
      </c>
      <c r="H9647" s="1">
        <v>2</v>
      </c>
      <c r="I9647" s="1">
        <v>-8.3523999999999994</v>
      </c>
    </row>
    <row r="9648" spans="1:9" x14ac:dyDescent="0.35">
      <c r="A9648" s="3">
        <v>42953</v>
      </c>
      <c r="B9648" s="1" t="s">
        <v>1376</v>
      </c>
      <c r="C9648" s="1" t="s">
        <v>1682</v>
      </c>
      <c r="D9648" s="1" t="s">
        <v>158</v>
      </c>
      <c r="E9648" s="1" t="s">
        <v>35</v>
      </c>
      <c r="F9648" s="2" t="s">
        <v>510</v>
      </c>
      <c r="G9648" s="1">
        <v>72.587999999999994</v>
      </c>
      <c r="H9648" s="1">
        <v>2</v>
      </c>
      <c r="I9648" s="1">
        <v>-48.392000000000003</v>
      </c>
    </row>
    <row r="9649" spans="1:9" x14ac:dyDescent="0.35">
      <c r="A9649" s="3" t="s">
        <v>3643</v>
      </c>
      <c r="B9649" s="1" t="s">
        <v>2138</v>
      </c>
      <c r="C9649" s="1" t="s">
        <v>3136</v>
      </c>
      <c r="D9649" s="1" t="s">
        <v>115</v>
      </c>
      <c r="E9649" s="1" t="s">
        <v>26</v>
      </c>
      <c r="F9649" s="2" t="s">
        <v>1877</v>
      </c>
      <c r="G9649" s="1">
        <v>221.16</v>
      </c>
      <c r="H9649" s="1">
        <v>4</v>
      </c>
      <c r="I9649" s="1">
        <v>57.501600000000003</v>
      </c>
    </row>
    <row r="9650" spans="1:9" x14ac:dyDescent="0.35">
      <c r="A9650" s="3" t="s">
        <v>3643</v>
      </c>
      <c r="B9650" s="1" t="s">
        <v>2138</v>
      </c>
      <c r="C9650" s="1" t="s">
        <v>3136</v>
      </c>
      <c r="D9650" s="1" t="s">
        <v>115</v>
      </c>
      <c r="E9650" s="1" t="s">
        <v>33</v>
      </c>
      <c r="F9650" s="2" t="s">
        <v>957</v>
      </c>
      <c r="G9650" s="1">
        <v>281.97000000000003</v>
      </c>
      <c r="H9650" s="1">
        <v>3</v>
      </c>
      <c r="I9650" s="1">
        <v>78.951599999999999</v>
      </c>
    </row>
    <row r="9651" spans="1:9" x14ac:dyDescent="0.35">
      <c r="A9651" s="3" t="s">
        <v>3630</v>
      </c>
      <c r="B9651" s="1" t="s">
        <v>1225</v>
      </c>
      <c r="C9651" s="1" t="s">
        <v>17</v>
      </c>
      <c r="D9651" s="1" t="s">
        <v>18</v>
      </c>
      <c r="E9651" s="1" t="s">
        <v>12</v>
      </c>
      <c r="F9651" s="2" t="s">
        <v>2059</v>
      </c>
      <c r="G9651" s="1">
        <v>3406.6640000000002</v>
      </c>
      <c r="H9651" s="1">
        <v>8</v>
      </c>
      <c r="I9651" s="1">
        <v>160.31360000000001</v>
      </c>
    </row>
    <row r="9652" spans="1:9" x14ac:dyDescent="0.35">
      <c r="A9652" s="3" t="s">
        <v>3630</v>
      </c>
      <c r="B9652" s="1" t="s">
        <v>1225</v>
      </c>
      <c r="C9652" s="1" t="s">
        <v>17</v>
      </c>
      <c r="D9652" s="1" t="s">
        <v>18</v>
      </c>
      <c r="E9652" s="1" t="s">
        <v>31</v>
      </c>
      <c r="F9652" s="2" t="s">
        <v>2602</v>
      </c>
      <c r="G9652" s="1">
        <v>37.17</v>
      </c>
      <c r="H9652" s="1">
        <v>9</v>
      </c>
      <c r="I9652" s="1">
        <v>10.4076</v>
      </c>
    </row>
    <row r="9653" spans="1:9" x14ac:dyDescent="0.35">
      <c r="A9653" s="3" t="s">
        <v>3630</v>
      </c>
      <c r="B9653" s="1" t="s">
        <v>1225</v>
      </c>
      <c r="C9653" s="1" t="s">
        <v>17</v>
      </c>
      <c r="D9653" s="1" t="s">
        <v>18</v>
      </c>
      <c r="E9653" s="1" t="s">
        <v>37</v>
      </c>
      <c r="F9653" s="2" t="s">
        <v>1353</v>
      </c>
      <c r="G9653" s="1">
        <v>64.959999999999994</v>
      </c>
      <c r="H9653" s="1">
        <v>2</v>
      </c>
      <c r="I9653" s="1">
        <v>19.488</v>
      </c>
    </row>
    <row r="9654" spans="1:9" x14ac:dyDescent="0.35">
      <c r="A9654" s="3" t="s">
        <v>3630</v>
      </c>
      <c r="B9654" s="1" t="s">
        <v>1225</v>
      </c>
      <c r="C9654" s="1" t="s">
        <v>17</v>
      </c>
      <c r="D9654" s="1" t="s">
        <v>18</v>
      </c>
      <c r="E9654" s="1" t="s">
        <v>29</v>
      </c>
      <c r="F9654" s="2" t="s">
        <v>1794</v>
      </c>
      <c r="G9654" s="1">
        <v>595.38</v>
      </c>
      <c r="H9654" s="1">
        <v>6</v>
      </c>
      <c r="I9654" s="1">
        <v>297.69</v>
      </c>
    </row>
    <row r="9655" spans="1:9" x14ac:dyDescent="0.35">
      <c r="A9655" s="3" t="s">
        <v>3717</v>
      </c>
      <c r="B9655" s="1" t="s">
        <v>50</v>
      </c>
      <c r="C9655" s="1" t="s">
        <v>621</v>
      </c>
      <c r="D9655" s="1" t="s">
        <v>158</v>
      </c>
      <c r="E9655" s="1" t="s">
        <v>81</v>
      </c>
      <c r="F9655" s="2" t="s">
        <v>2631</v>
      </c>
      <c r="G9655" s="1">
        <v>95.983999999999995</v>
      </c>
      <c r="H9655" s="1">
        <v>2</v>
      </c>
      <c r="I9655" s="1">
        <v>11.997999999999999</v>
      </c>
    </row>
    <row r="9656" spans="1:9" x14ac:dyDescent="0.35">
      <c r="A9656" s="3" t="s">
        <v>3717</v>
      </c>
      <c r="B9656" s="1" t="s">
        <v>50</v>
      </c>
      <c r="C9656" s="1" t="s">
        <v>621</v>
      </c>
      <c r="D9656" s="1" t="s">
        <v>158</v>
      </c>
      <c r="E9656" s="1" t="s">
        <v>35</v>
      </c>
      <c r="F9656" s="2" t="s">
        <v>2091</v>
      </c>
      <c r="G9656" s="1">
        <v>4.9379999999999997</v>
      </c>
      <c r="H9656" s="1">
        <v>2</v>
      </c>
      <c r="I9656" s="1">
        <v>-3.6212</v>
      </c>
    </row>
    <row r="9657" spans="1:9" x14ac:dyDescent="0.35">
      <c r="A9657" s="3" t="s">
        <v>3672</v>
      </c>
      <c r="B9657" s="1" t="s">
        <v>1952</v>
      </c>
      <c r="C9657" s="1" t="s">
        <v>135</v>
      </c>
      <c r="D9657" s="1" t="s">
        <v>136</v>
      </c>
      <c r="E9657" s="1" t="s">
        <v>29</v>
      </c>
      <c r="F9657" s="2" t="s">
        <v>2342</v>
      </c>
      <c r="G9657" s="1">
        <v>97.44</v>
      </c>
      <c r="H9657" s="1">
        <v>3</v>
      </c>
      <c r="I9657" s="1">
        <v>35.078400000000002</v>
      </c>
    </row>
    <row r="9658" spans="1:9" x14ac:dyDescent="0.35">
      <c r="A9658" s="3" t="s">
        <v>3672</v>
      </c>
      <c r="B9658" s="1" t="s">
        <v>1952</v>
      </c>
      <c r="C9658" s="1" t="s">
        <v>135</v>
      </c>
      <c r="D9658" s="1" t="s">
        <v>136</v>
      </c>
      <c r="E9658" s="1" t="s">
        <v>35</v>
      </c>
      <c r="F9658" s="2" t="s">
        <v>1045</v>
      </c>
      <c r="G9658" s="1">
        <v>3.984</v>
      </c>
      <c r="H9658" s="1">
        <v>1</v>
      </c>
      <c r="I9658" s="1">
        <v>1.3944000000000001</v>
      </c>
    </row>
    <row r="9659" spans="1:9" x14ac:dyDescent="0.35">
      <c r="A9659" s="3" t="s">
        <v>3672</v>
      </c>
      <c r="B9659" s="1" t="s">
        <v>1952</v>
      </c>
      <c r="C9659" s="1" t="s">
        <v>135</v>
      </c>
      <c r="D9659" s="1" t="s">
        <v>136</v>
      </c>
      <c r="E9659" s="1" t="s">
        <v>31</v>
      </c>
      <c r="F9659" s="2" t="s">
        <v>2883</v>
      </c>
      <c r="G9659" s="1">
        <v>13.04</v>
      </c>
      <c r="H9659" s="1">
        <v>4</v>
      </c>
      <c r="I9659" s="1">
        <v>5.7375999999999996</v>
      </c>
    </row>
    <row r="9660" spans="1:9" x14ac:dyDescent="0.35">
      <c r="A9660" s="3" t="s">
        <v>3672</v>
      </c>
      <c r="B9660" s="1" t="s">
        <v>1952</v>
      </c>
      <c r="C9660" s="1" t="s">
        <v>135</v>
      </c>
      <c r="D9660" s="1" t="s">
        <v>136</v>
      </c>
      <c r="E9660" s="1" t="s">
        <v>14</v>
      </c>
      <c r="F9660" s="2" t="s">
        <v>2628</v>
      </c>
      <c r="G9660" s="1">
        <v>579.52800000000002</v>
      </c>
      <c r="H9660" s="1">
        <v>4</v>
      </c>
      <c r="I9660" s="1">
        <v>83.709599999999995</v>
      </c>
    </row>
    <row r="9661" spans="1:9" x14ac:dyDescent="0.35">
      <c r="A9661" s="3" t="s">
        <v>3523</v>
      </c>
      <c r="B9661" s="1" t="s">
        <v>1692</v>
      </c>
      <c r="C9661" s="1" t="s">
        <v>1717</v>
      </c>
      <c r="D9661" s="1" t="s">
        <v>18</v>
      </c>
      <c r="E9661" s="1" t="s">
        <v>19</v>
      </c>
      <c r="F9661" s="2" t="s">
        <v>2585</v>
      </c>
      <c r="G9661" s="1">
        <v>18.75</v>
      </c>
      <c r="H9661" s="1">
        <v>5</v>
      </c>
      <c r="I9661" s="1">
        <v>9</v>
      </c>
    </row>
    <row r="9662" spans="1:9" x14ac:dyDescent="0.35">
      <c r="A9662" s="3">
        <v>42527</v>
      </c>
      <c r="B9662" s="1" t="s">
        <v>1671</v>
      </c>
      <c r="C9662" s="1" t="s">
        <v>2912</v>
      </c>
      <c r="D9662" s="1" t="s">
        <v>18</v>
      </c>
      <c r="E9662" s="1" t="s">
        <v>33</v>
      </c>
      <c r="F9662" s="2" t="s">
        <v>2424</v>
      </c>
      <c r="G9662" s="1">
        <v>3023.9279999999999</v>
      </c>
      <c r="H9662" s="1">
        <v>9</v>
      </c>
      <c r="I9662" s="1">
        <v>226.7946</v>
      </c>
    </row>
    <row r="9663" spans="1:9" x14ac:dyDescent="0.35">
      <c r="A9663" s="3">
        <v>42527</v>
      </c>
      <c r="B9663" s="1" t="s">
        <v>1671</v>
      </c>
      <c r="C9663" s="1" t="s">
        <v>2912</v>
      </c>
      <c r="D9663" s="1" t="s">
        <v>18</v>
      </c>
      <c r="E9663" s="1" t="s">
        <v>81</v>
      </c>
      <c r="F9663" s="2" t="s">
        <v>2594</v>
      </c>
      <c r="G9663" s="1">
        <v>26.96</v>
      </c>
      <c r="H9663" s="1">
        <v>2</v>
      </c>
      <c r="I9663" s="1">
        <v>3.7744</v>
      </c>
    </row>
    <row r="9664" spans="1:9" x14ac:dyDescent="0.35">
      <c r="A9664" s="3">
        <v>42527</v>
      </c>
      <c r="B9664" s="1" t="s">
        <v>1671</v>
      </c>
      <c r="C9664" s="1" t="s">
        <v>2912</v>
      </c>
      <c r="D9664" s="1" t="s">
        <v>18</v>
      </c>
      <c r="E9664" s="1" t="s">
        <v>33</v>
      </c>
      <c r="F9664" s="2" t="s">
        <v>503</v>
      </c>
      <c r="G9664" s="1">
        <v>477.6</v>
      </c>
      <c r="H9664" s="1">
        <v>3</v>
      </c>
      <c r="I9664" s="1">
        <v>161.19</v>
      </c>
    </row>
    <row r="9665" spans="1:9" x14ac:dyDescent="0.35">
      <c r="A9665" s="3" t="s">
        <v>3268</v>
      </c>
      <c r="B9665" s="1" t="s">
        <v>1700</v>
      </c>
      <c r="C9665" s="1" t="s">
        <v>64</v>
      </c>
      <c r="D9665" s="1" t="s">
        <v>18</v>
      </c>
      <c r="E9665" s="1" t="s">
        <v>26</v>
      </c>
      <c r="F9665" s="2" t="s">
        <v>988</v>
      </c>
      <c r="G9665" s="1">
        <v>193.95</v>
      </c>
      <c r="H9665" s="1">
        <v>3</v>
      </c>
      <c r="I9665" s="1">
        <v>9.6974999999999998</v>
      </c>
    </row>
    <row r="9666" spans="1:9" x14ac:dyDescent="0.35">
      <c r="A9666" s="3">
        <v>42197</v>
      </c>
      <c r="B9666" s="1" t="s">
        <v>488</v>
      </c>
      <c r="C9666" s="1" t="s">
        <v>1263</v>
      </c>
      <c r="D9666" s="1" t="s">
        <v>18</v>
      </c>
      <c r="E9666" s="1" t="s">
        <v>44</v>
      </c>
      <c r="F9666" s="2" t="s">
        <v>1133</v>
      </c>
      <c r="G9666" s="1">
        <v>12.96</v>
      </c>
      <c r="H9666" s="1">
        <v>2</v>
      </c>
      <c r="I9666" s="1">
        <v>6.2207999999999997</v>
      </c>
    </row>
    <row r="9667" spans="1:9" x14ac:dyDescent="0.35">
      <c r="A9667" s="3" t="s">
        <v>3283</v>
      </c>
      <c r="B9667" s="1" t="s">
        <v>282</v>
      </c>
      <c r="C9667" s="1" t="s">
        <v>17</v>
      </c>
      <c r="D9667" s="1" t="s">
        <v>18</v>
      </c>
      <c r="E9667" s="1" t="s">
        <v>29</v>
      </c>
      <c r="F9667" s="2" t="s">
        <v>1500</v>
      </c>
      <c r="G9667" s="1">
        <v>119.94</v>
      </c>
      <c r="H9667" s="1">
        <v>3</v>
      </c>
      <c r="I9667" s="1">
        <v>23.988</v>
      </c>
    </row>
    <row r="9668" spans="1:9" x14ac:dyDescent="0.35">
      <c r="A9668" s="3" t="s">
        <v>3283</v>
      </c>
      <c r="B9668" s="1" t="s">
        <v>282</v>
      </c>
      <c r="C9668" s="1" t="s">
        <v>17</v>
      </c>
      <c r="D9668" s="1" t="s">
        <v>18</v>
      </c>
      <c r="E9668" s="1" t="s">
        <v>29</v>
      </c>
      <c r="F9668" s="2" t="s">
        <v>2282</v>
      </c>
      <c r="G9668" s="1">
        <v>12.42</v>
      </c>
      <c r="H9668" s="1">
        <v>3</v>
      </c>
      <c r="I9668" s="1">
        <v>4.4711999999999996</v>
      </c>
    </row>
    <row r="9669" spans="1:9" x14ac:dyDescent="0.35">
      <c r="A9669" s="3" t="s">
        <v>3265</v>
      </c>
      <c r="B9669" s="1" t="s">
        <v>2079</v>
      </c>
      <c r="C9669" s="1" t="s">
        <v>3137</v>
      </c>
      <c r="D9669" s="1" t="s">
        <v>18</v>
      </c>
      <c r="E9669" s="1" t="s">
        <v>35</v>
      </c>
      <c r="F9669" s="2" t="s">
        <v>905</v>
      </c>
      <c r="G9669" s="1">
        <v>18.088000000000001</v>
      </c>
      <c r="H9669" s="1">
        <v>7</v>
      </c>
      <c r="I9669" s="1">
        <v>6.5568999999999997</v>
      </c>
    </row>
    <row r="9670" spans="1:9" x14ac:dyDescent="0.35">
      <c r="A9670" s="3" t="s">
        <v>3265</v>
      </c>
      <c r="B9670" s="1" t="s">
        <v>2079</v>
      </c>
      <c r="C9670" s="1" t="s">
        <v>3137</v>
      </c>
      <c r="D9670" s="1" t="s">
        <v>18</v>
      </c>
      <c r="E9670" s="1" t="s">
        <v>87</v>
      </c>
      <c r="F9670" s="2" t="s">
        <v>487</v>
      </c>
      <c r="G9670" s="1">
        <v>71.97</v>
      </c>
      <c r="H9670" s="1">
        <v>3</v>
      </c>
      <c r="I9670" s="1">
        <v>35.984999999999999</v>
      </c>
    </row>
    <row r="9671" spans="1:9" x14ac:dyDescent="0.35">
      <c r="A9671" s="3">
        <v>42770</v>
      </c>
      <c r="B9671" s="1" t="s">
        <v>2713</v>
      </c>
      <c r="C9671" s="1" t="s">
        <v>181</v>
      </c>
      <c r="D9671" s="1" t="s">
        <v>182</v>
      </c>
      <c r="E9671" s="1" t="s">
        <v>19</v>
      </c>
      <c r="F9671" s="2" t="s">
        <v>1124</v>
      </c>
      <c r="G9671" s="1">
        <v>14.94</v>
      </c>
      <c r="H9671" s="1">
        <v>3</v>
      </c>
      <c r="I9671" s="1">
        <v>6.8723999999999998</v>
      </c>
    </row>
    <row r="9672" spans="1:9" x14ac:dyDescent="0.35">
      <c r="A9672" s="3" t="s">
        <v>3376</v>
      </c>
      <c r="B9672" s="1" t="s">
        <v>561</v>
      </c>
      <c r="C9672" s="1" t="s">
        <v>1874</v>
      </c>
      <c r="D9672" s="1" t="s">
        <v>43</v>
      </c>
      <c r="E9672" s="1" t="s">
        <v>31</v>
      </c>
      <c r="F9672" s="2" t="s">
        <v>1954</v>
      </c>
      <c r="G9672" s="1">
        <v>64.680000000000007</v>
      </c>
      <c r="H9672" s="1">
        <v>7</v>
      </c>
      <c r="I9672" s="1">
        <v>8.0850000000000009</v>
      </c>
    </row>
    <row r="9673" spans="1:9" x14ac:dyDescent="0.35">
      <c r="A9673" s="3" t="s">
        <v>3165</v>
      </c>
      <c r="B9673" s="1" t="s">
        <v>446</v>
      </c>
      <c r="C9673" s="1" t="s">
        <v>422</v>
      </c>
      <c r="D9673" s="1" t="s">
        <v>18</v>
      </c>
      <c r="E9673" s="1" t="s">
        <v>33</v>
      </c>
      <c r="F9673" s="2" t="s">
        <v>1504</v>
      </c>
      <c r="G9673" s="1">
        <v>22</v>
      </c>
      <c r="H9673" s="1">
        <v>5</v>
      </c>
      <c r="I9673" s="1">
        <v>1.375</v>
      </c>
    </row>
    <row r="9674" spans="1:9" x14ac:dyDescent="0.35">
      <c r="A9674" s="3" t="s">
        <v>3356</v>
      </c>
      <c r="B9674" s="1" t="s">
        <v>370</v>
      </c>
      <c r="C9674" s="1" t="s">
        <v>74</v>
      </c>
      <c r="D9674" s="1" t="s">
        <v>75</v>
      </c>
      <c r="E9674" s="1" t="s">
        <v>44</v>
      </c>
      <c r="F9674" s="2" t="s">
        <v>2031</v>
      </c>
      <c r="G9674" s="1">
        <v>7.968</v>
      </c>
      <c r="H9674" s="1">
        <v>2</v>
      </c>
      <c r="I9674" s="1">
        <v>2.6892</v>
      </c>
    </row>
    <row r="9675" spans="1:9" x14ac:dyDescent="0.35">
      <c r="A9675" s="3" t="s">
        <v>3356</v>
      </c>
      <c r="B9675" s="1" t="s">
        <v>370</v>
      </c>
      <c r="C9675" s="1" t="s">
        <v>74</v>
      </c>
      <c r="D9675" s="1" t="s">
        <v>75</v>
      </c>
      <c r="E9675" s="1" t="s">
        <v>33</v>
      </c>
      <c r="F9675" s="2" t="s">
        <v>3138</v>
      </c>
      <c r="G9675" s="1">
        <v>1499.97</v>
      </c>
      <c r="H9675" s="1">
        <v>5</v>
      </c>
      <c r="I9675" s="1">
        <v>-374.99250000000001</v>
      </c>
    </row>
    <row r="9676" spans="1:9" x14ac:dyDescent="0.35">
      <c r="A9676" s="3" t="s">
        <v>3765</v>
      </c>
      <c r="B9676" s="1" t="s">
        <v>573</v>
      </c>
      <c r="C9676" s="1" t="s">
        <v>93</v>
      </c>
      <c r="D9676" s="1" t="s">
        <v>52</v>
      </c>
      <c r="E9676" s="1" t="s">
        <v>26</v>
      </c>
      <c r="F9676" s="2" t="s">
        <v>2144</v>
      </c>
      <c r="G9676" s="1">
        <v>26.632000000000001</v>
      </c>
      <c r="H9676" s="1">
        <v>1</v>
      </c>
      <c r="I9676" s="1">
        <v>1.3315999999999999</v>
      </c>
    </row>
    <row r="9677" spans="1:9" x14ac:dyDescent="0.35">
      <c r="A9677" s="3">
        <v>42526</v>
      </c>
      <c r="B9677" s="1" t="s">
        <v>1543</v>
      </c>
      <c r="C9677" s="1" t="s">
        <v>2371</v>
      </c>
      <c r="D9677" s="1" t="s">
        <v>18</v>
      </c>
      <c r="E9677" s="1" t="s">
        <v>29</v>
      </c>
      <c r="F9677" s="2" t="s">
        <v>1936</v>
      </c>
      <c r="G9677" s="1">
        <v>41.6</v>
      </c>
      <c r="H9677" s="1">
        <v>4</v>
      </c>
      <c r="I9677" s="1">
        <v>14.144</v>
      </c>
    </row>
    <row r="9678" spans="1:9" x14ac:dyDescent="0.35">
      <c r="A9678" s="3" t="s">
        <v>3478</v>
      </c>
      <c r="B9678" s="1" t="s">
        <v>2299</v>
      </c>
      <c r="C9678" s="1" t="s">
        <v>693</v>
      </c>
      <c r="D9678" s="1" t="s">
        <v>129</v>
      </c>
      <c r="E9678" s="1" t="s">
        <v>87</v>
      </c>
      <c r="F9678" s="2" t="s">
        <v>1310</v>
      </c>
      <c r="G9678" s="1">
        <v>64.02</v>
      </c>
      <c r="H9678" s="1">
        <v>6</v>
      </c>
      <c r="I9678" s="1">
        <v>29.449200000000001</v>
      </c>
    </row>
    <row r="9679" spans="1:9" x14ac:dyDescent="0.35">
      <c r="A9679" s="3" t="s">
        <v>3792</v>
      </c>
      <c r="B9679" s="1" t="s">
        <v>2549</v>
      </c>
      <c r="C9679" s="1" t="s">
        <v>135</v>
      </c>
      <c r="D9679" s="1" t="s">
        <v>136</v>
      </c>
      <c r="E9679" s="1" t="s">
        <v>31</v>
      </c>
      <c r="F9679" s="2" t="s">
        <v>695</v>
      </c>
      <c r="G9679" s="1">
        <v>6.99</v>
      </c>
      <c r="H9679" s="1">
        <v>3</v>
      </c>
      <c r="I9679" s="1">
        <v>2.0270999999999999</v>
      </c>
    </row>
    <row r="9680" spans="1:9" x14ac:dyDescent="0.35">
      <c r="A9680" s="3" t="s">
        <v>3792</v>
      </c>
      <c r="B9680" s="1" t="s">
        <v>2549</v>
      </c>
      <c r="C9680" s="1" t="s">
        <v>135</v>
      </c>
      <c r="D9680" s="1" t="s">
        <v>136</v>
      </c>
      <c r="E9680" s="1" t="s">
        <v>289</v>
      </c>
      <c r="F9680" s="2" t="s">
        <v>3089</v>
      </c>
      <c r="G9680" s="1">
        <v>6.84</v>
      </c>
      <c r="H9680" s="1">
        <v>1</v>
      </c>
      <c r="I9680" s="1">
        <v>1.8468</v>
      </c>
    </row>
    <row r="9681" spans="1:9" x14ac:dyDescent="0.35">
      <c r="A9681" s="3" t="s">
        <v>3152</v>
      </c>
      <c r="B9681" s="1" t="s">
        <v>2506</v>
      </c>
      <c r="C9681" s="1" t="s">
        <v>64</v>
      </c>
      <c r="D9681" s="1" t="s">
        <v>18</v>
      </c>
      <c r="E9681" s="1" t="s">
        <v>26</v>
      </c>
      <c r="F9681" s="2" t="s">
        <v>1315</v>
      </c>
      <c r="G9681" s="1">
        <v>323.10000000000002</v>
      </c>
      <c r="H9681" s="1">
        <v>2</v>
      </c>
      <c r="I9681" s="1">
        <v>61.389000000000003</v>
      </c>
    </row>
    <row r="9682" spans="1:9" x14ac:dyDescent="0.35">
      <c r="A9682" s="3" t="s">
        <v>3152</v>
      </c>
      <c r="B9682" s="1" t="s">
        <v>2506</v>
      </c>
      <c r="C9682" s="1" t="s">
        <v>64</v>
      </c>
      <c r="D9682" s="1" t="s">
        <v>18</v>
      </c>
      <c r="E9682" s="1" t="s">
        <v>33</v>
      </c>
      <c r="F9682" s="2" t="s">
        <v>1538</v>
      </c>
      <c r="G9682" s="1">
        <v>668.16</v>
      </c>
      <c r="H9682" s="1">
        <v>9</v>
      </c>
      <c r="I9682" s="1">
        <v>75.168000000000006</v>
      </c>
    </row>
    <row r="9683" spans="1:9" x14ac:dyDescent="0.35">
      <c r="A9683" s="3" t="s">
        <v>3703</v>
      </c>
      <c r="B9683" s="1" t="s">
        <v>851</v>
      </c>
      <c r="C9683" s="1" t="s">
        <v>64</v>
      </c>
      <c r="D9683" s="1" t="s">
        <v>18</v>
      </c>
      <c r="E9683" s="1" t="s">
        <v>19</v>
      </c>
      <c r="F9683" s="2" t="s">
        <v>2256</v>
      </c>
      <c r="G9683" s="1">
        <v>8.64</v>
      </c>
      <c r="H9683" s="1">
        <v>3</v>
      </c>
      <c r="I9683" s="1">
        <v>4.2336</v>
      </c>
    </row>
    <row r="9684" spans="1:9" x14ac:dyDescent="0.35">
      <c r="A9684" s="3" t="s">
        <v>3703</v>
      </c>
      <c r="B9684" s="1" t="s">
        <v>851</v>
      </c>
      <c r="C9684" s="1" t="s">
        <v>64</v>
      </c>
      <c r="D9684" s="1" t="s">
        <v>18</v>
      </c>
      <c r="E9684" s="1" t="s">
        <v>44</v>
      </c>
      <c r="F9684" s="2" t="s">
        <v>1455</v>
      </c>
      <c r="G9684" s="1">
        <v>38.880000000000003</v>
      </c>
      <c r="H9684" s="1">
        <v>6</v>
      </c>
      <c r="I9684" s="1">
        <v>18.662400000000002</v>
      </c>
    </row>
    <row r="9685" spans="1:9" x14ac:dyDescent="0.35">
      <c r="A9685" s="3" t="s">
        <v>3703</v>
      </c>
      <c r="B9685" s="1" t="s">
        <v>851</v>
      </c>
      <c r="C9685" s="1" t="s">
        <v>64</v>
      </c>
      <c r="D9685" s="1" t="s">
        <v>18</v>
      </c>
      <c r="E9685" s="1" t="s">
        <v>29</v>
      </c>
      <c r="F9685" s="2" t="s">
        <v>2102</v>
      </c>
      <c r="G9685" s="1">
        <v>201.04</v>
      </c>
      <c r="H9685" s="1">
        <v>8</v>
      </c>
      <c r="I9685" s="1">
        <v>54.280799999999999</v>
      </c>
    </row>
    <row r="9686" spans="1:9" x14ac:dyDescent="0.35">
      <c r="A9686" s="3" t="s">
        <v>3703</v>
      </c>
      <c r="B9686" s="1" t="s">
        <v>851</v>
      </c>
      <c r="C9686" s="1" t="s">
        <v>64</v>
      </c>
      <c r="D9686" s="1" t="s">
        <v>18</v>
      </c>
      <c r="E9686" s="1" t="s">
        <v>44</v>
      </c>
      <c r="F9686" s="2" t="s">
        <v>2733</v>
      </c>
      <c r="G9686" s="1">
        <v>12.96</v>
      </c>
      <c r="H9686" s="1">
        <v>2</v>
      </c>
      <c r="I9686" s="1">
        <v>6.3503999999999996</v>
      </c>
    </row>
    <row r="9687" spans="1:9" x14ac:dyDescent="0.35">
      <c r="A9687" s="3">
        <v>42767</v>
      </c>
      <c r="B9687" s="1" t="s">
        <v>3061</v>
      </c>
      <c r="C9687" s="1" t="s">
        <v>17</v>
      </c>
      <c r="D9687" s="1" t="s">
        <v>18</v>
      </c>
      <c r="E9687" s="1" t="s">
        <v>81</v>
      </c>
      <c r="F9687" s="2" t="s">
        <v>2234</v>
      </c>
      <c r="G9687" s="1">
        <v>16.59</v>
      </c>
      <c r="H9687" s="1">
        <v>1</v>
      </c>
      <c r="I9687" s="1">
        <v>5.8064999999999998</v>
      </c>
    </row>
    <row r="9688" spans="1:9" x14ac:dyDescent="0.35">
      <c r="A9688" s="3" t="s">
        <v>3721</v>
      </c>
      <c r="B9688" s="1" t="s">
        <v>2036</v>
      </c>
      <c r="C9688" s="1" t="s">
        <v>461</v>
      </c>
      <c r="D9688" s="1" t="s">
        <v>18</v>
      </c>
      <c r="E9688" s="1" t="s">
        <v>31</v>
      </c>
      <c r="F9688" s="2" t="s">
        <v>1107</v>
      </c>
      <c r="G9688" s="1">
        <v>35.1</v>
      </c>
      <c r="H9688" s="1">
        <v>6</v>
      </c>
      <c r="I9688" s="1">
        <v>10.179</v>
      </c>
    </row>
    <row r="9689" spans="1:9" x14ac:dyDescent="0.35">
      <c r="A9689" s="3" t="s">
        <v>3628</v>
      </c>
      <c r="B9689" s="1" t="s">
        <v>1242</v>
      </c>
      <c r="C9689" s="1" t="s">
        <v>540</v>
      </c>
      <c r="D9689" s="1" t="s">
        <v>52</v>
      </c>
      <c r="E9689" s="1" t="s">
        <v>35</v>
      </c>
      <c r="F9689" s="2" t="s">
        <v>1103</v>
      </c>
      <c r="G9689" s="1">
        <v>11.646000000000001</v>
      </c>
      <c r="H9689" s="1">
        <v>9</v>
      </c>
      <c r="I9689" s="1">
        <v>-17.469000000000001</v>
      </c>
    </row>
    <row r="9690" spans="1:9" x14ac:dyDescent="0.35">
      <c r="A9690" s="3" t="s">
        <v>3631</v>
      </c>
      <c r="B9690" s="1" t="s">
        <v>196</v>
      </c>
      <c r="C9690" s="1" t="s">
        <v>693</v>
      </c>
      <c r="D9690" s="1" t="s">
        <v>163</v>
      </c>
      <c r="E9690" s="1" t="s">
        <v>44</v>
      </c>
      <c r="F9690" s="2" t="s">
        <v>2468</v>
      </c>
      <c r="G9690" s="1">
        <v>32.4</v>
      </c>
      <c r="H9690" s="1">
        <v>5</v>
      </c>
      <c r="I9690" s="1">
        <v>15.552</v>
      </c>
    </row>
    <row r="9691" spans="1:9" x14ac:dyDescent="0.35">
      <c r="A9691" s="3" t="s">
        <v>3631</v>
      </c>
      <c r="B9691" s="1" t="s">
        <v>196</v>
      </c>
      <c r="C9691" s="1" t="s">
        <v>693</v>
      </c>
      <c r="D9691" s="1" t="s">
        <v>163</v>
      </c>
      <c r="E9691" s="1" t="s">
        <v>33</v>
      </c>
      <c r="F9691" s="2" t="s">
        <v>2350</v>
      </c>
      <c r="G9691" s="1">
        <v>503.96</v>
      </c>
      <c r="H9691" s="1">
        <v>4</v>
      </c>
      <c r="I9691" s="1">
        <v>125.99</v>
      </c>
    </row>
    <row r="9692" spans="1:9" x14ac:dyDescent="0.35">
      <c r="A9692" s="3">
        <v>42829</v>
      </c>
      <c r="B9692" s="1" t="s">
        <v>2300</v>
      </c>
      <c r="C9692" s="1" t="s">
        <v>135</v>
      </c>
      <c r="D9692" s="1" t="s">
        <v>136</v>
      </c>
      <c r="E9692" s="1" t="s">
        <v>31</v>
      </c>
      <c r="F9692" s="2" t="s">
        <v>1404</v>
      </c>
      <c r="G9692" s="1">
        <v>7.04</v>
      </c>
      <c r="H9692" s="1">
        <v>4</v>
      </c>
      <c r="I9692" s="1">
        <v>2.0415999999999999</v>
      </c>
    </row>
    <row r="9693" spans="1:9" x14ac:dyDescent="0.35">
      <c r="A9693" s="3" t="s">
        <v>3171</v>
      </c>
      <c r="B9693" s="1" t="s">
        <v>567</v>
      </c>
      <c r="C9693" s="1" t="s">
        <v>93</v>
      </c>
      <c r="D9693" s="1" t="s">
        <v>52</v>
      </c>
      <c r="E9693" s="1" t="s">
        <v>12</v>
      </c>
      <c r="F9693" s="2" t="s">
        <v>1350</v>
      </c>
      <c r="G9693" s="1">
        <v>613.99919999999997</v>
      </c>
      <c r="H9693" s="1">
        <v>3</v>
      </c>
      <c r="I9693" s="1">
        <v>-18.058800000000002</v>
      </c>
    </row>
    <row r="9694" spans="1:9" x14ac:dyDescent="0.35">
      <c r="A9694" s="3" t="s">
        <v>3326</v>
      </c>
      <c r="B9694" s="1" t="s">
        <v>1521</v>
      </c>
      <c r="C9694" s="1" t="s">
        <v>367</v>
      </c>
      <c r="D9694" s="1" t="s">
        <v>368</v>
      </c>
      <c r="E9694" s="1" t="s">
        <v>26</v>
      </c>
      <c r="F9694" s="2" t="s">
        <v>2239</v>
      </c>
      <c r="G9694" s="1">
        <v>470.36</v>
      </c>
      <c r="H9694" s="1">
        <v>11</v>
      </c>
      <c r="I9694" s="1">
        <v>122.2936</v>
      </c>
    </row>
    <row r="9695" spans="1:9" x14ac:dyDescent="0.35">
      <c r="A9695" s="3" t="s">
        <v>3404</v>
      </c>
      <c r="B9695" s="1" t="s">
        <v>318</v>
      </c>
      <c r="C9695" s="1" t="s">
        <v>64</v>
      </c>
      <c r="D9695" s="1" t="s">
        <v>18</v>
      </c>
      <c r="E9695" s="1" t="s">
        <v>44</v>
      </c>
      <c r="F9695" s="2" t="s">
        <v>2087</v>
      </c>
      <c r="G9695" s="1">
        <v>31.08</v>
      </c>
      <c r="H9695" s="1">
        <v>6</v>
      </c>
      <c r="I9695" s="1">
        <v>15.229200000000001</v>
      </c>
    </row>
    <row r="9696" spans="1:9" x14ac:dyDescent="0.35">
      <c r="A9696" s="3" t="s">
        <v>3404</v>
      </c>
      <c r="B9696" s="1" t="s">
        <v>318</v>
      </c>
      <c r="C9696" s="1" t="s">
        <v>64</v>
      </c>
      <c r="D9696" s="1" t="s">
        <v>18</v>
      </c>
      <c r="E9696" s="1" t="s">
        <v>289</v>
      </c>
      <c r="F9696" s="2" t="s">
        <v>898</v>
      </c>
      <c r="G9696" s="1">
        <v>7.3</v>
      </c>
      <c r="H9696" s="1">
        <v>2</v>
      </c>
      <c r="I9696" s="1">
        <v>2.19</v>
      </c>
    </row>
    <row r="9697" spans="1:9" x14ac:dyDescent="0.35">
      <c r="A9697" s="3">
        <v>42686</v>
      </c>
      <c r="B9697" s="1" t="s">
        <v>1054</v>
      </c>
      <c r="C9697" s="1" t="s">
        <v>162</v>
      </c>
      <c r="D9697" s="1" t="s">
        <v>250</v>
      </c>
      <c r="E9697" s="1" t="s">
        <v>37</v>
      </c>
      <c r="F9697" s="2" t="s">
        <v>38</v>
      </c>
      <c r="G9697" s="1">
        <v>73.536000000000001</v>
      </c>
      <c r="H9697" s="1">
        <v>4</v>
      </c>
      <c r="I9697" s="1">
        <v>9.1920000000000002</v>
      </c>
    </row>
    <row r="9698" spans="1:9" x14ac:dyDescent="0.35">
      <c r="A9698" s="3">
        <v>41918</v>
      </c>
      <c r="B9698" s="1" t="s">
        <v>401</v>
      </c>
      <c r="C9698" s="1" t="s">
        <v>429</v>
      </c>
      <c r="D9698" s="1" t="s">
        <v>120</v>
      </c>
      <c r="E9698" s="1" t="s">
        <v>19</v>
      </c>
      <c r="F9698" s="2" t="s">
        <v>907</v>
      </c>
      <c r="G9698" s="1">
        <v>491.55</v>
      </c>
      <c r="H9698" s="1">
        <v>5</v>
      </c>
      <c r="I9698" s="1">
        <v>240.8595</v>
      </c>
    </row>
    <row r="9699" spans="1:9" x14ac:dyDescent="0.35">
      <c r="A9699" s="3">
        <v>42677</v>
      </c>
      <c r="B9699" s="1" t="s">
        <v>1396</v>
      </c>
      <c r="C9699" s="1" t="s">
        <v>74</v>
      </c>
      <c r="D9699" s="1" t="s">
        <v>75</v>
      </c>
      <c r="E9699" s="1" t="s">
        <v>29</v>
      </c>
      <c r="F9699" s="2" t="s">
        <v>1965</v>
      </c>
      <c r="G9699" s="1">
        <v>30.335999999999999</v>
      </c>
      <c r="H9699" s="1">
        <v>4</v>
      </c>
      <c r="I9699" s="1">
        <v>9.48</v>
      </c>
    </row>
    <row r="9700" spans="1:9" x14ac:dyDescent="0.35">
      <c r="A9700" s="3" t="s">
        <v>3484</v>
      </c>
      <c r="B9700" s="1" t="s">
        <v>2689</v>
      </c>
      <c r="C9700" s="1" t="s">
        <v>494</v>
      </c>
      <c r="D9700" s="1" t="s">
        <v>18</v>
      </c>
      <c r="E9700" s="1" t="s">
        <v>44</v>
      </c>
      <c r="F9700" s="2" t="s">
        <v>462</v>
      </c>
      <c r="G9700" s="1">
        <v>22.83</v>
      </c>
      <c r="H9700" s="1">
        <v>3</v>
      </c>
      <c r="I9700" s="1">
        <v>10.7301</v>
      </c>
    </row>
    <row r="9701" spans="1:9" x14ac:dyDescent="0.35">
      <c r="A9701" s="3" t="s">
        <v>3484</v>
      </c>
      <c r="B9701" s="1" t="s">
        <v>2689</v>
      </c>
      <c r="C9701" s="1" t="s">
        <v>494</v>
      </c>
      <c r="D9701" s="1" t="s">
        <v>18</v>
      </c>
      <c r="E9701" s="1" t="s">
        <v>37</v>
      </c>
      <c r="F9701" s="2" t="s">
        <v>3064</v>
      </c>
      <c r="G9701" s="1">
        <v>54.32</v>
      </c>
      <c r="H9701" s="1">
        <v>4</v>
      </c>
      <c r="I9701" s="1">
        <v>16.295999999999999</v>
      </c>
    </row>
    <row r="9702" spans="1:9" x14ac:dyDescent="0.35">
      <c r="A9702" s="3" t="s">
        <v>3484</v>
      </c>
      <c r="B9702" s="1" t="s">
        <v>2689</v>
      </c>
      <c r="C9702" s="1" t="s">
        <v>494</v>
      </c>
      <c r="D9702" s="1" t="s">
        <v>18</v>
      </c>
      <c r="E9702" s="1" t="s">
        <v>33</v>
      </c>
      <c r="F9702" s="2" t="s">
        <v>2253</v>
      </c>
      <c r="G9702" s="1">
        <v>196.77600000000001</v>
      </c>
      <c r="H9702" s="1">
        <v>3</v>
      </c>
      <c r="I9702" s="1">
        <v>14.7582</v>
      </c>
    </row>
    <row r="9703" spans="1:9" x14ac:dyDescent="0.35">
      <c r="A9703" s="3" t="s">
        <v>3365</v>
      </c>
      <c r="B9703" s="1" t="s">
        <v>2679</v>
      </c>
      <c r="C9703" s="1" t="s">
        <v>3139</v>
      </c>
      <c r="D9703" s="1" t="s">
        <v>18</v>
      </c>
      <c r="E9703" s="1" t="s">
        <v>137</v>
      </c>
      <c r="F9703" s="2" t="s">
        <v>1369</v>
      </c>
      <c r="G9703" s="1">
        <v>3.62</v>
      </c>
      <c r="H9703" s="1">
        <v>2</v>
      </c>
      <c r="I9703" s="1">
        <v>1.1946000000000001</v>
      </c>
    </row>
    <row r="9704" spans="1:9" x14ac:dyDescent="0.35">
      <c r="A9704" s="3" t="s">
        <v>3450</v>
      </c>
      <c r="B9704" s="1" t="s">
        <v>2522</v>
      </c>
      <c r="C9704" s="1" t="s">
        <v>261</v>
      </c>
      <c r="D9704" s="1" t="s">
        <v>124</v>
      </c>
      <c r="E9704" s="1" t="s">
        <v>44</v>
      </c>
      <c r="F9704" s="2" t="s">
        <v>222</v>
      </c>
      <c r="G9704" s="1">
        <v>11.54</v>
      </c>
      <c r="H9704" s="1">
        <v>1</v>
      </c>
      <c r="I9704" s="1">
        <v>5.5392000000000001</v>
      </c>
    </row>
    <row r="9705" spans="1:9" x14ac:dyDescent="0.35">
      <c r="A9705" s="3" t="s">
        <v>3450</v>
      </c>
      <c r="B9705" s="1" t="s">
        <v>2522</v>
      </c>
      <c r="C9705" s="1" t="s">
        <v>261</v>
      </c>
      <c r="D9705" s="1" t="s">
        <v>124</v>
      </c>
      <c r="E9705" s="1" t="s">
        <v>35</v>
      </c>
      <c r="F9705" s="2" t="s">
        <v>49</v>
      </c>
      <c r="G9705" s="1">
        <v>849.95</v>
      </c>
      <c r="H9705" s="1">
        <v>5</v>
      </c>
      <c r="I9705" s="1">
        <v>390.97699999999998</v>
      </c>
    </row>
    <row r="9706" spans="1:9" x14ac:dyDescent="0.35">
      <c r="A9706" s="3" t="s">
        <v>3450</v>
      </c>
      <c r="B9706" s="1" t="s">
        <v>2522</v>
      </c>
      <c r="C9706" s="1" t="s">
        <v>261</v>
      </c>
      <c r="D9706" s="1" t="s">
        <v>124</v>
      </c>
      <c r="E9706" s="1" t="s">
        <v>35</v>
      </c>
      <c r="F9706" s="2" t="s">
        <v>3043</v>
      </c>
      <c r="G9706" s="1">
        <v>11.01</v>
      </c>
      <c r="H9706" s="1">
        <v>3</v>
      </c>
      <c r="I9706" s="1">
        <v>5.3948999999999998</v>
      </c>
    </row>
    <row r="9707" spans="1:9" x14ac:dyDescent="0.35">
      <c r="A9707" s="3" t="s">
        <v>3151</v>
      </c>
      <c r="B9707" s="1" t="s">
        <v>2007</v>
      </c>
      <c r="C9707" s="1" t="s">
        <v>64</v>
      </c>
      <c r="D9707" s="1" t="s">
        <v>18</v>
      </c>
      <c r="E9707" s="1" t="s">
        <v>35</v>
      </c>
      <c r="F9707" s="2" t="s">
        <v>1261</v>
      </c>
      <c r="G9707" s="1">
        <v>39.624000000000002</v>
      </c>
      <c r="H9707" s="1">
        <v>3</v>
      </c>
      <c r="I9707" s="1">
        <v>13.868399999999999</v>
      </c>
    </row>
    <row r="9708" spans="1:9" x14ac:dyDescent="0.35">
      <c r="A9708" s="3" t="s">
        <v>3252</v>
      </c>
      <c r="B9708" s="1" t="s">
        <v>899</v>
      </c>
      <c r="C9708" s="1" t="s">
        <v>17</v>
      </c>
      <c r="D9708" s="1" t="s">
        <v>18</v>
      </c>
      <c r="E9708" s="1" t="s">
        <v>14</v>
      </c>
      <c r="F9708" s="2" t="s">
        <v>2861</v>
      </c>
      <c r="G9708" s="1">
        <v>242.136</v>
      </c>
      <c r="H9708" s="1">
        <v>3</v>
      </c>
      <c r="I9708" s="1">
        <v>12.1068</v>
      </c>
    </row>
    <row r="9709" spans="1:9" x14ac:dyDescent="0.35">
      <c r="A9709" s="3" t="s">
        <v>3252</v>
      </c>
      <c r="B9709" s="1" t="s">
        <v>899</v>
      </c>
      <c r="C9709" s="1" t="s">
        <v>17</v>
      </c>
      <c r="D9709" s="1" t="s">
        <v>18</v>
      </c>
      <c r="E9709" s="1" t="s">
        <v>31</v>
      </c>
      <c r="F9709" s="2" t="s">
        <v>237</v>
      </c>
      <c r="G9709" s="1">
        <v>12.39</v>
      </c>
      <c r="H9709" s="1">
        <v>3</v>
      </c>
      <c r="I9709" s="1">
        <v>5.6993999999999998</v>
      </c>
    </row>
    <row r="9710" spans="1:9" x14ac:dyDescent="0.35">
      <c r="A9710" s="3" t="s">
        <v>3252</v>
      </c>
      <c r="B9710" s="1" t="s">
        <v>899</v>
      </c>
      <c r="C9710" s="1" t="s">
        <v>17</v>
      </c>
      <c r="D9710" s="1" t="s">
        <v>18</v>
      </c>
      <c r="E9710" s="1" t="s">
        <v>29</v>
      </c>
      <c r="F9710" s="2" t="s">
        <v>2680</v>
      </c>
      <c r="G9710" s="1">
        <v>19.96</v>
      </c>
      <c r="H9710" s="1">
        <v>2</v>
      </c>
      <c r="I9710" s="1">
        <v>5.5888</v>
      </c>
    </row>
    <row r="9711" spans="1:9" x14ac:dyDescent="0.35">
      <c r="A9711" s="3" t="s">
        <v>3252</v>
      </c>
      <c r="B9711" s="1" t="s">
        <v>899</v>
      </c>
      <c r="C9711" s="1" t="s">
        <v>17</v>
      </c>
      <c r="D9711" s="1" t="s">
        <v>18</v>
      </c>
      <c r="E9711" s="1" t="s">
        <v>26</v>
      </c>
      <c r="F9711" s="2" t="s">
        <v>763</v>
      </c>
      <c r="G9711" s="1">
        <v>340.92</v>
      </c>
      <c r="H9711" s="1">
        <v>3</v>
      </c>
      <c r="I9711" s="1">
        <v>3.4091999999999998</v>
      </c>
    </row>
    <row r="9712" spans="1:9" x14ac:dyDescent="0.35">
      <c r="A9712" s="3">
        <v>41770</v>
      </c>
      <c r="B9712" s="1" t="s">
        <v>795</v>
      </c>
      <c r="C9712" s="1" t="s">
        <v>74</v>
      </c>
      <c r="D9712" s="1" t="s">
        <v>75</v>
      </c>
      <c r="E9712" s="1" t="s">
        <v>29</v>
      </c>
      <c r="F9712" s="2" t="s">
        <v>2169</v>
      </c>
      <c r="G9712" s="1">
        <v>273.56799999999998</v>
      </c>
      <c r="H9712" s="1">
        <v>2</v>
      </c>
      <c r="I9712" s="1">
        <v>-34.195999999999998</v>
      </c>
    </row>
    <row r="9713" spans="1:9" x14ac:dyDescent="0.35">
      <c r="A9713" s="3">
        <v>41770</v>
      </c>
      <c r="B9713" s="1" t="s">
        <v>795</v>
      </c>
      <c r="C9713" s="1" t="s">
        <v>74</v>
      </c>
      <c r="D9713" s="1" t="s">
        <v>75</v>
      </c>
      <c r="E9713" s="1" t="s">
        <v>35</v>
      </c>
      <c r="F9713" s="2" t="s">
        <v>1237</v>
      </c>
      <c r="G9713" s="1">
        <v>13.194000000000001</v>
      </c>
      <c r="H9713" s="1">
        <v>2</v>
      </c>
      <c r="I9713" s="1">
        <v>-8.7959999999999994</v>
      </c>
    </row>
    <row r="9714" spans="1:9" x14ac:dyDescent="0.35">
      <c r="A9714" s="3">
        <v>41770</v>
      </c>
      <c r="B9714" s="1" t="s">
        <v>795</v>
      </c>
      <c r="C9714" s="1" t="s">
        <v>74</v>
      </c>
      <c r="D9714" s="1" t="s">
        <v>75</v>
      </c>
      <c r="E9714" s="1" t="s">
        <v>26</v>
      </c>
      <c r="F9714" s="2" t="s">
        <v>1519</v>
      </c>
      <c r="G9714" s="1">
        <v>1080.096</v>
      </c>
      <c r="H9714" s="1">
        <v>6</v>
      </c>
      <c r="I9714" s="1">
        <v>-94.508399999999995</v>
      </c>
    </row>
    <row r="9715" spans="1:9" x14ac:dyDescent="0.35">
      <c r="A9715" s="3">
        <v>41770</v>
      </c>
      <c r="B9715" s="1" t="s">
        <v>795</v>
      </c>
      <c r="C9715" s="1" t="s">
        <v>74</v>
      </c>
      <c r="D9715" s="1" t="s">
        <v>75</v>
      </c>
      <c r="E9715" s="1" t="s">
        <v>81</v>
      </c>
      <c r="F9715" s="2" t="s">
        <v>982</v>
      </c>
      <c r="G9715" s="1">
        <v>51.56</v>
      </c>
      <c r="H9715" s="1">
        <v>5</v>
      </c>
      <c r="I9715" s="1">
        <v>-6.4450000000000003</v>
      </c>
    </row>
    <row r="9716" spans="1:9" x14ac:dyDescent="0.35">
      <c r="A9716" s="3">
        <v>41770</v>
      </c>
      <c r="B9716" s="1" t="s">
        <v>795</v>
      </c>
      <c r="C9716" s="1" t="s">
        <v>74</v>
      </c>
      <c r="D9716" s="1" t="s">
        <v>75</v>
      </c>
      <c r="E9716" s="1" t="s">
        <v>81</v>
      </c>
      <c r="F9716" s="2" t="s">
        <v>2181</v>
      </c>
      <c r="G9716" s="1">
        <v>58.415999999999997</v>
      </c>
      <c r="H9716" s="1">
        <v>2</v>
      </c>
      <c r="I9716" s="1">
        <v>16.794599999999999</v>
      </c>
    </row>
    <row r="9717" spans="1:9" x14ac:dyDescent="0.35">
      <c r="A9717" s="3">
        <v>42562</v>
      </c>
      <c r="B9717" s="1" t="s">
        <v>1580</v>
      </c>
      <c r="C9717" s="1" t="s">
        <v>64</v>
      </c>
      <c r="D9717" s="1" t="s">
        <v>18</v>
      </c>
      <c r="E9717" s="1" t="s">
        <v>35</v>
      </c>
      <c r="F9717" s="2" t="s">
        <v>708</v>
      </c>
      <c r="G9717" s="1">
        <v>57.584000000000003</v>
      </c>
      <c r="H9717" s="1">
        <v>2</v>
      </c>
      <c r="I9717" s="1">
        <v>20.154399999999999</v>
      </c>
    </row>
    <row r="9718" spans="1:9" x14ac:dyDescent="0.35">
      <c r="A9718" s="3">
        <v>42712</v>
      </c>
      <c r="B9718" s="1" t="s">
        <v>1740</v>
      </c>
      <c r="C9718" s="1" t="s">
        <v>74</v>
      </c>
      <c r="D9718" s="1" t="s">
        <v>75</v>
      </c>
      <c r="E9718" s="1" t="s">
        <v>31</v>
      </c>
      <c r="F9718" s="2" t="s">
        <v>2933</v>
      </c>
      <c r="G9718" s="1">
        <v>37.311999999999998</v>
      </c>
      <c r="H9718" s="1">
        <v>4</v>
      </c>
      <c r="I9718" s="1">
        <v>2.7984</v>
      </c>
    </row>
    <row r="9719" spans="1:9" x14ac:dyDescent="0.35">
      <c r="A9719" s="3" t="s">
        <v>3633</v>
      </c>
      <c r="B9719" s="1" t="s">
        <v>951</v>
      </c>
      <c r="C9719" s="1" t="s">
        <v>93</v>
      </c>
      <c r="D9719" s="1" t="s">
        <v>52</v>
      </c>
      <c r="E9719" s="1" t="s">
        <v>33</v>
      </c>
      <c r="F9719" s="2" t="s">
        <v>279</v>
      </c>
      <c r="G9719" s="1">
        <v>79.959999999999994</v>
      </c>
      <c r="H9719" s="1">
        <v>5</v>
      </c>
      <c r="I9719" s="1">
        <v>7.9960000000000004</v>
      </c>
    </row>
    <row r="9720" spans="1:9" x14ac:dyDescent="0.35">
      <c r="A9720" s="3" t="s">
        <v>3633</v>
      </c>
      <c r="B9720" s="1" t="s">
        <v>951</v>
      </c>
      <c r="C9720" s="1" t="s">
        <v>93</v>
      </c>
      <c r="D9720" s="1" t="s">
        <v>52</v>
      </c>
      <c r="E9720" s="1" t="s">
        <v>81</v>
      </c>
      <c r="F9720" s="2" t="s">
        <v>418</v>
      </c>
      <c r="G9720" s="1">
        <v>223.96</v>
      </c>
      <c r="H9720" s="1">
        <v>5</v>
      </c>
      <c r="I9720" s="1">
        <v>11.198</v>
      </c>
    </row>
    <row r="9721" spans="1:9" x14ac:dyDescent="0.35">
      <c r="A9721" s="3">
        <v>43080</v>
      </c>
      <c r="B9721" s="1" t="s">
        <v>2113</v>
      </c>
      <c r="C9721" s="1" t="s">
        <v>1114</v>
      </c>
      <c r="D9721" s="1" t="s">
        <v>75</v>
      </c>
      <c r="E9721" s="1" t="s">
        <v>26</v>
      </c>
      <c r="F9721" s="2" t="s">
        <v>1585</v>
      </c>
      <c r="G9721" s="1">
        <v>221.024</v>
      </c>
      <c r="H9721" s="1">
        <v>2</v>
      </c>
      <c r="I9721" s="1">
        <v>-55.256</v>
      </c>
    </row>
    <row r="9722" spans="1:9" x14ac:dyDescent="0.35">
      <c r="A9722" s="3" t="s">
        <v>3423</v>
      </c>
      <c r="B9722" s="1" t="s">
        <v>1092</v>
      </c>
      <c r="C9722" s="1" t="s">
        <v>858</v>
      </c>
      <c r="D9722" s="1" t="s">
        <v>57</v>
      </c>
      <c r="E9722" s="1" t="s">
        <v>29</v>
      </c>
      <c r="F9722" s="2" t="s">
        <v>2427</v>
      </c>
      <c r="G9722" s="1">
        <v>18.96</v>
      </c>
      <c r="H9722" s="1">
        <v>2</v>
      </c>
      <c r="I9722" s="1">
        <v>7.5839999999999996</v>
      </c>
    </row>
    <row r="9723" spans="1:9" x14ac:dyDescent="0.35">
      <c r="A9723" s="3" t="s">
        <v>3812</v>
      </c>
      <c r="B9723" s="1" t="s">
        <v>1893</v>
      </c>
      <c r="C9723" s="1" t="s">
        <v>135</v>
      </c>
      <c r="D9723" s="1" t="s">
        <v>136</v>
      </c>
      <c r="E9723" s="1" t="s">
        <v>14</v>
      </c>
      <c r="F9723" s="2" t="s">
        <v>2844</v>
      </c>
      <c r="G9723" s="1">
        <v>326.64600000000002</v>
      </c>
      <c r="H9723" s="1">
        <v>3</v>
      </c>
      <c r="I9723" s="1">
        <v>39.923400000000001</v>
      </c>
    </row>
    <row r="9724" spans="1:9" x14ac:dyDescent="0.35">
      <c r="A9724" s="3" t="s">
        <v>3812</v>
      </c>
      <c r="B9724" s="1" t="s">
        <v>1893</v>
      </c>
      <c r="C9724" s="1" t="s">
        <v>135</v>
      </c>
      <c r="D9724" s="1" t="s">
        <v>136</v>
      </c>
      <c r="E9724" s="1" t="s">
        <v>81</v>
      </c>
      <c r="F9724" s="2" t="s">
        <v>490</v>
      </c>
      <c r="G9724" s="1">
        <v>89.97</v>
      </c>
      <c r="H9724" s="1">
        <v>3</v>
      </c>
      <c r="I9724" s="1">
        <v>39.586799999999997</v>
      </c>
    </row>
    <row r="9725" spans="1:9" x14ac:dyDescent="0.35">
      <c r="A9725" s="3" t="s">
        <v>3698</v>
      </c>
      <c r="B9725" s="1" t="s">
        <v>310</v>
      </c>
      <c r="C9725" s="1" t="s">
        <v>135</v>
      </c>
      <c r="D9725" s="1" t="s">
        <v>136</v>
      </c>
      <c r="E9725" s="1" t="s">
        <v>35</v>
      </c>
      <c r="F9725" s="2" t="s">
        <v>1210</v>
      </c>
      <c r="G9725" s="1">
        <v>296.71199999999999</v>
      </c>
      <c r="H9725" s="1">
        <v>13</v>
      </c>
      <c r="I9725" s="1">
        <v>100.1403</v>
      </c>
    </row>
    <row r="9726" spans="1:9" x14ac:dyDescent="0.35">
      <c r="A9726" s="3">
        <v>42136</v>
      </c>
      <c r="B9726" s="1" t="s">
        <v>2241</v>
      </c>
      <c r="C9726" s="1" t="s">
        <v>269</v>
      </c>
      <c r="D9726" s="1" t="s">
        <v>106</v>
      </c>
      <c r="E9726" s="1" t="s">
        <v>87</v>
      </c>
      <c r="F9726" s="2" t="s">
        <v>1159</v>
      </c>
      <c r="G9726" s="1">
        <v>12.224</v>
      </c>
      <c r="H9726" s="1">
        <v>2</v>
      </c>
      <c r="I9726" s="1">
        <v>4.4311999999999996</v>
      </c>
    </row>
    <row r="9727" spans="1:9" x14ac:dyDescent="0.35">
      <c r="A9727" s="3" t="s">
        <v>3221</v>
      </c>
      <c r="B9727" s="1" t="s">
        <v>2226</v>
      </c>
      <c r="C9727" s="1" t="s">
        <v>2724</v>
      </c>
      <c r="D9727" s="1" t="s">
        <v>2459</v>
      </c>
      <c r="E9727" s="1" t="s">
        <v>81</v>
      </c>
      <c r="F9727" s="2" t="s">
        <v>1703</v>
      </c>
      <c r="G9727" s="1">
        <v>89.97</v>
      </c>
      <c r="H9727" s="1">
        <v>3</v>
      </c>
      <c r="I9727" s="1">
        <v>37.787399999999998</v>
      </c>
    </row>
    <row r="9728" spans="1:9" x14ac:dyDescent="0.35">
      <c r="A9728" s="3">
        <v>42778</v>
      </c>
      <c r="B9728" s="1" t="s">
        <v>148</v>
      </c>
      <c r="C9728" s="1" t="s">
        <v>591</v>
      </c>
      <c r="D9728" s="1" t="s">
        <v>592</v>
      </c>
      <c r="E9728" s="1" t="s">
        <v>37</v>
      </c>
      <c r="F9728" s="2" t="s">
        <v>2252</v>
      </c>
      <c r="G9728" s="1">
        <v>286.86</v>
      </c>
      <c r="H9728" s="1">
        <v>7</v>
      </c>
      <c r="I9728" s="1">
        <v>80.320800000000006</v>
      </c>
    </row>
    <row r="9729" spans="1:9" x14ac:dyDescent="0.35">
      <c r="A9729" s="3">
        <v>42778</v>
      </c>
      <c r="B9729" s="1" t="s">
        <v>148</v>
      </c>
      <c r="C9729" s="1" t="s">
        <v>591</v>
      </c>
      <c r="D9729" s="1" t="s">
        <v>592</v>
      </c>
      <c r="E9729" s="1" t="s">
        <v>33</v>
      </c>
      <c r="F9729" s="2" t="s">
        <v>97</v>
      </c>
      <c r="G9729" s="1">
        <v>979.95</v>
      </c>
      <c r="H9729" s="1">
        <v>5</v>
      </c>
      <c r="I9729" s="1">
        <v>284.18549999999999</v>
      </c>
    </row>
    <row r="9730" spans="1:9" x14ac:dyDescent="0.35">
      <c r="A9730" s="3">
        <v>42778</v>
      </c>
      <c r="B9730" s="1" t="s">
        <v>148</v>
      </c>
      <c r="C9730" s="1" t="s">
        <v>591</v>
      </c>
      <c r="D9730" s="1" t="s">
        <v>592</v>
      </c>
      <c r="E9730" s="1" t="s">
        <v>289</v>
      </c>
      <c r="F9730" s="2" t="s">
        <v>614</v>
      </c>
      <c r="G9730" s="1">
        <v>4.3600000000000003</v>
      </c>
      <c r="H9730" s="1">
        <v>2</v>
      </c>
      <c r="I9730" s="1">
        <v>0.1744</v>
      </c>
    </row>
    <row r="9731" spans="1:9" x14ac:dyDescent="0.35">
      <c r="A9731" s="3" t="s">
        <v>3494</v>
      </c>
      <c r="B9731" s="1" t="s">
        <v>1573</v>
      </c>
      <c r="C9731" s="1" t="s">
        <v>47</v>
      </c>
      <c r="D9731" s="1" t="s">
        <v>48</v>
      </c>
      <c r="E9731" s="1" t="s">
        <v>35</v>
      </c>
      <c r="F9731" s="2" t="s">
        <v>2276</v>
      </c>
      <c r="G9731" s="1">
        <v>10.048</v>
      </c>
      <c r="H9731" s="1">
        <v>2</v>
      </c>
      <c r="I9731" s="1">
        <v>3.14</v>
      </c>
    </row>
    <row r="9732" spans="1:9" x14ac:dyDescent="0.35">
      <c r="A9732" s="3" t="s">
        <v>3494</v>
      </c>
      <c r="B9732" s="1" t="s">
        <v>1573</v>
      </c>
      <c r="C9732" s="1" t="s">
        <v>47</v>
      </c>
      <c r="D9732" s="1" t="s">
        <v>48</v>
      </c>
      <c r="E9732" s="1" t="s">
        <v>26</v>
      </c>
      <c r="F9732" s="2" t="s">
        <v>1315</v>
      </c>
      <c r="G9732" s="1">
        <v>807.75</v>
      </c>
      <c r="H9732" s="1">
        <v>5</v>
      </c>
      <c r="I9732" s="1">
        <v>153.4725</v>
      </c>
    </row>
    <row r="9733" spans="1:9" x14ac:dyDescent="0.35">
      <c r="A9733" s="3" t="s">
        <v>3621</v>
      </c>
      <c r="B9733" s="1" t="s">
        <v>1981</v>
      </c>
      <c r="C9733" s="1" t="s">
        <v>17</v>
      </c>
      <c r="D9733" s="1" t="s">
        <v>18</v>
      </c>
      <c r="E9733" s="1" t="s">
        <v>31</v>
      </c>
      <c r="F9733" s="2" t="s">
        <v>1762</v>
      </c>
      <c r="G9733" s="1">
        <v>34.24</v>
      </c>
      <c r="H9733" s="1">
        <v>8</v>
      </c>
      <c r="I9733" s="1">
        <v>9.9296000000000006</v>
      </c>
    </row>
    <row r="9734" spans="1:9" x14ac:dyDescent="0.35">
      <c r="A9734" s="3" t="s">
        <v>3678</v>
      </c>
      <c r="B9734" s="1" t="s">
        <v>2596</v>
      </c>
      <c r="C9734" s="1" t="s">
        <v>2782</v>
      </c>
      <c r="D9734" s="1" t="s">
        <v>163</v>
      </c>
      <c r="E9734" s="1" t="s">
        <v>14</v>
      </c>
      <c r="F9734" s="2" t="s">
        <v>2429</v>
      </c>
      <c r="G9734" s="1">
        <v>500.24</v>
      </c>
      <c r="H9734" s="1">
        <v>13</v>
      </c>
      <c r="I9734" s="1">
        <v>145.06960000000001</v>
      </c>
    </row>
    <row r="9735" spans="1:9" x14ac:dyDescent="0.35">
      <c r="A9735" s="3" t="s">
        <v>3678</v>
      </c>
      <c r="B9735" s="1" t="s">
        <v>2596</v>
      </c>
      <c r="C9735" s="1" t="s">
        <v>2782</v>
      </c>
      <c r="D9735" s="1" t="s">
        <v>163</v>
      </c>
      <c r="E9735" s="1" t="s">
        <v>44</v>
      </c>
      <c r="F9735" s="2" t="s">
        <v>2670</v>
      </c>
      <c r="G9735" s="1">
        <v>20.12</v>
      </c>
      <c r="H9735" s="1">
        <v>2</v>
      </c>
      <c r="I9735" s="1">
        <v>9.2552000000000003</v>
      </c>
    </row>
    <row r="9736" spans="1:9" x14ac:dyDescent="0.35">
      <c r="A9736" s="3" t="s">
        <v>3678</v>
      </c>
      <c r="B9736" s="1" t="s">
        <v>2596</v>
      </c>
      <c r="C9736" s="1" t="s">
        <v>2782</v>
      </c>
      <c r="D9736" s="1" t="s">
        <v>163</v>
      </c>
      <c r="E9736" s="1" t="s">
        <v>35</v>
      </c>
      <c r="F9736" s="2" t="s">
        <v>1956</v>
      </c>
      <c r="G9736" s="1">
        <v>896.99</v>
      </c>
      <c r="H9736" s="1">
        <v>1</v>
      </c>
      <c r="I9736" s="1">
        <v>421.58530000000002</v>
      </c>
    </row>
    <row r="9737" spans="1:9" x14ac:dyDescent="0.35">
      <c r="A9737" s="3" t="s">
        <v>3643</v>
      </c>
      <c r="B9737" s="1" t="s">
        <v>266</v>
      </c>
      <c r="C9737" s="1" t="s">
        <v>74</v>
      </c>
      <c r="D9737" s="1" t="s">
        <v>75</v>
      </c>
      <c r="E9737" s="1" t="s">
        <v>44</v>
      </c>
      <c r="F9737" s="2" t="s">
        <v>3104</v>
      </c>
      <c r="G9737" s="1">
        <v>5.88</v>
      </c>
      <c r="H9737" s="1">
        <v>1</v>
      </c>
      <c r="I9737" s="1">
        <v>1.9844999999999999</v>
      </c>
    </row>
    <row r="9738" spans="1:9" x14ac:dyDescent="0.35">
      <c r="A9738" s="3" t="s">
        <v>3591</v>
      </c>
      <c r="B9738" s="1" t="s">
        <v>2734</v>
      </c>
      <c r="C9738" s="1" t="s">
        <v>1138</v>
      </c>
      <c r="D9738" s="1" t="s">
        <v>70</v>
      </c>
      <c r="E9738" s="1" t="s">
        <v>33</v>
      </c>
      <c r="F9738" s="2" t="s">
        <v>934</v>
      </c>
      <c r="G9738" s="1">
        <v>269.98</v>
      </c>
      <c r="H9738" s="1">
        <v>2</v>
      </c>
      <c r="I9738" s="1">
        <v>72.894599999999997</v>
      </c>
    </row>
    <row r="9739" spans="1:9" x14ac:dyDescent="0.35">
      <c r="A9739" s="3" t="s">
        <v>3774</v>
      </c>
      <c r="B9739" s="1" t="s">
        <v>2263</v>
      </c>
      <c r="C9739" s="1" t="s">
        <v>17</v>
      </c>
      <c r="D9739" s="1" t="s">
        <v>18</v>
      </c>
      <c r="E9739" s="1" t="s">
        <v>26</v>
      </c>
      <c r="F9739" s="2" t="s">
        <v>2408</v>
      </c>
      <c r="G9739" s="1">
        <v>310.12</v>
      </c>
      <c r="H9739" s="1">
        <v>2</v>
      </c>
      <c r="I9739" s="1">
        <v>80.631200000000007</v>
      </c>
    </row>
    <row r="9740" spans="1:9" x14ac:dyDescent="0.35">
      <c r="A9740" s="3" t="s">
        <v>3774</v>
      </c>
      <c r="B9740" s="1" t="s">
        <v>2263</v>
      </c>
      <c r="C9740" s="1" t="s">
        <v>17</v>
      </c>
      <c r="D9740" s="1" t="s">
        <v>18</v>
      </c>
      <c r="E9740" s="1" t="s">
        <v>35</v>
      </c>
      <c r="F9740" s="2" t="s">
        <v>1523</v>
      </c>
      <c r="G9740" s="1">
        <v>70.463999999999999</v>
      </c>
      <c r="H9740" s="1">
        <v>6</v>
      </c>
      <c r="I9740" s="1">
        <v>22.9008</v>
      </c>
    </row>
    <row r="9741" spans="1:9" x14ac:dyDescent="0.35">
      <c r="A9741" s="3" t="s">
        <v>3774</v>
      </c>
      <c r="B9741" s="1" t="s">
        <v>2263</v>
      </c>
      <c r="C9741" s="1" t="s">
        <v>17</v>
      </c>
      <c r="D9741" s="1" t="s">
        <v>18</v>
      </c>
      <c r="E9741" s="1" t="s">
        <v>35</v>
      </c>
      <c r="F9741" s="2" t="s">
        <v>1962</v>
      </c>
      <c r="G9741" s="1">
        <v>19.68</v>
      </c>
      <c r="H9741" s="1">
        <v>5</v>
      </c>
      <c r="I9741" s="1">
        <v>6.8879999999999999</v>
      </c>
    </row>
    <row r="9742" spans="1:9" x14ac:dyDescent="0.35">
      <c r="A9742" s="3" t="s">
        <v>3774</v>
      </c>
      <c r="B9742" s="1" t="s">
        <v>2263</v>
      </c>
      <c r="C9742" s="1" t="s">
        <v>17</v>
      </c>
      <c r="D9742" s="1" t="s">
        <v>18</v>
      </c>
      <c r="E9742" s="1" t="s">
        <v>37</v>
      </c>
      <c r="F9742" s="2" t="s">
        <v>1043</v>
      </c>
      <c r="G9742" s="1">
        <v>140.66999999999999</v>
      </c>
      <c r="H9742" s="1">
        <v>3</v>
      </c>
      <c r="I9742" s="1">
        <v>54.8613</v>
      </c>
    </row>
    <row r="9743" spans="1:9" x14ac:dyDescent="0.35">
      <c r="A9743" s="3">
        <v>42227</v>
      </c>
      <c r="B9743" s="1" t="s">
        <v>1554</v>
      </c>
      <c r="C9743" s="1" t="s">
        <v>1011</v>
      </c>
      <c r="D9743" s="1" t="s">
        <v>2122</v>
      </c>
      <c r="E9743" s="1" t="s">
        <v>12</v>
      </c>
      <c r="F9743" s="2" t="s">
        <v>84</v>
      </c>
      <c r="G9743" s="1">
        <v>4404.8999999999996</v>
      </c>
      <c r="H9743" s="1">
        <v>5</v>
      </c>
      <c r="I9743" s="1">
        <v>1013.127</v>
      </c>
    </row>
    <row r="9744" spans="1:9" x14ac:dyDescent="0.35">
      <c r="A9744" s="3" t="s">
        <v>3224</v>
      </c>
      <c r="B9744" s="1" t="s">
        <v>851</v>
      </c>
      <c r="C9744" s="1" t="s">
        <v>461</v>
      </c>
      <c r="D9744" s="1" t="s">
        <v>18</v>
      </c>
      <c r="E9744" s="1" t="s">
        <v>19</v>
      </c>
      <c r="F9744" s="2" t="s">
        <v>571</v>
      </c>
      <c r="G9744" s="1">
        <v>62.65</v>
      </c>
      <c r="H9744" s="1">
        <v>5</v>
      </c>
      <c r="I9744" s="1">
        <v>29.445499999999999</v>
      </c>
    </row>
    <row r="9745" spans="1:9" x14ac:dyDescent="0.35">
      <c r="A9745" s="3" t="s">
        <v>3514</v>
      </c>
      <c r="B9745" s="1" t="s">
        <v>1343</v>
      </c>
      <c r="C9745" s="1" t="s">
        <v>303</v>
      </c>
      <c r="D9745" s="1" t="s">
        <v>124</v>
      </c>
      <c r="E9745" s="1" t="s">
        <v>19</v>
      </c>
      <c r="F9745" s="2" t="s">
        <v>1754</v>
      </c>
      <c r="G9745" s="1">
        <v>9.4499999999999993</v>
      </c>
      <c r="H9745" s="1">
        <v>3</v>
      </c>
      <c r="I9745" s="1">
        <v>4.5359999999999996</v>
      </c>
    </row>
    <row r="9746" spans="1:9" x14ac:dyDescent="0.35">
      <c r="A9746" s="3" t="s">
        <v>3229</v>
      </c>
      <c r="B9746" s="1" t="s">
        <v>2335</v>
      </c>
      <c r="C9746" s="1" t="s">
        <v>228</v>
      </c>
      <c r="D9746" s="1" t="s">
        <v>106</v>
      </c>
      <c r="E9746" s="1" t="s">
        <v>87</v>
      </c>
      <c r="F9746" s="2" t="s">
        <v>986</v>
      </c>
      <c r="G9746" s="1">
        <v>268.57600000000002</v>
      </c>
      <c r="H9746" s="1">
        <v>4</v>
      </c>
      <c r="I9746" s="1">
        <v>90.644400000000005</v>
      </c>
    </row>
    <row r="9747" spans="1:9" x14ac:dyDescent="0.35">
      <c r="A9747" s="3" t="s">
        <v>3207</v>
      </c>
      <c r="B9747" s="1" t="s">
        <v>1600</v>
      </c>
      <c r="C9747" s="1" t="s">
        <v>17</v>
      </c>
      <c r="D9747" s="1" t="s">
        <v>18</v>
      </c>
      <c r="E9747" s="1" t="s">
        <v>24</v>
      </c>
      <c r="F9747" s="2" t="s">
        <v>641</v>
      </c>
      <c r="G9747" s="1">
        <v>364.08</v>
      </c>
      <c r="H9747" s="1">
        <v>2</v>
      </c>
      <c r="I9747" s="1">
        <v>9.1020000000000003</v>
      </c>
    </row>
    <row r="9748" spans="1:9" x14ac:dyDescent="0.35">
      <c r="A9748" s="3" t="s">
        <v>3207</v>
      </c>
      <c r="B9748" s="1" t="s">
        <v>1600</v>
      </c>
      <c r="C9748" s="1" t="s">
        <v>17</v>
      </c>
      <c r="D9748" s="1" t="s">
        <v>18</v>
      </c>
      <c r="E9748" s="1" t="s">
        <v>24</v>
      </c>
      <c r="F9748" s="2" t="s">
        <v>1634</v>
      </c>
      <c r="G9748" s="1">
        <v>71.087999999999994</v>
      </c>
      <c r="H9748" s="1">
        <v>2</v>
      </c>
      <c r="I9748" s="1">
        <v>-1.7771999999999999</v>
      </c>
    </row>
    <row r="9749" spans="1:9" x14ac:dyDescent="0.35">
      <c r="A9749" s="3">
        <v>41954</v>
      </c>
      <c r="B9749" s="1" t="s">
        <v>28</v>
      </c>
      <c r="C9749" s="1" t="s">
        <v>154</v>
      </c>
      <c r="D9749" s="1" t="s">
        <v>106</v>
      </c>
      <c r="E9749" s="1" t="s">
        <v>29</v>
      </c>
      <c r="F9749" s="2" t="s">
        <v>2746</v>
      </c>
      <c r="G9749" s="1">
        <v>10.984</v>
      </c>
      <c r="H9749" s="1">
        <v>2</v>
      </c>
      <c r="I9749" s="1">
        <v>-7.9634</v>
      </c>
    </row>
    <row r="9750" spans="1:9" x14ac:dyDescent="0.35">
      <c r="A9750" s="3">
        <v>41954</v>
      </c>
      <c r="B9750" s="1" t="s">
        <v>28</v>
      </c>
      <c r="C9750" s="1" t="s">
        <v>154</v>
      </c>
      <c r="D9750" s="1" t="s">
        <v>106</v>
      </c>
      <c r="E9750" s="1" t="s">
        <v>14</v>
      </c>
      <c r="F9750" s="2" t="s">
        <v>836</v>
      </c>
      <c r="G9750" s="1">
        <v>797.94399999999996</v>
      </c>
      <c r="H9750" s="1">
        <v>4</v>
      </c>
      <c r="I9750" s="1">
        <v>-56.996000000000002</v>
      </c>
    </row>
    <row r="9751" spans="1:9" x14ac:dyDescent="0.35">
      <c r="A9751" s="3">
        <v>42463</v>
      </c>
      <c r="B9751" s="1" t="s">
        <v>2207</v>
      </c>
      <c r="C9751" s="1" t="s">
        <v>123</v>
      </c>
      <c r="D9751" s="1" t="s">
        <v>1203</v>
      </c>
      <c r="E9751" s="1" t="s">
        <v>81</v>
      </c>
      <c r="F9751" s="2" t="s">
        <v>777</v>
      </c>
      <c r="G9751" s="1">
        <v>159.97999999999999</v>
      </c>
      <c r="H9751" s="1">
        <v>2</v>
      </c>
      <c r="I9751" s="1">
        <v>57.592799999999997</v>
      </c>
    </row>
    <row r="9752" spans="1:9" x14ac:dyDescent="0.35">
      <c r="A9752" s="3">
        <v>42684</v>
      </c>
      <c r="B9752" s="1" t="s">
        <v>851</v>
      </c>
      <c r="C9752" s="1" t="s">
        <v>154</v>
      </c>
      <c r="D9752" s="1" t="s">
        <v>106</v>
      </c>
      <c r="E9752" s="1" t="s">
        <v>31</v>
      </c>
      <c r="F9752" s="2" t="s">
        <v>2338</v>
      </c>
      <c r="G9752" s="1">
        <v>5.3440000000000003</v>
      </c>
      <c r="H9752" s="1">
        <v>2</v>
      </c>
      <c r="I9752" s="1">
        <v>0.66800000000000004</v>
      </c>
    </row>
    <row r="9753" spans="1:9" x14ac:dyDescent="0.35">
      <c r="A9753" s="3">
        <v>42684</v>
      </c>
      <c r="B9753" s="1" t="s">
        <v>851</v>
      </c>
      <c r="C9753" s="1" t="s">
        <v>154</v>
      </c>
      <c r="D9753" s="1" t="s">
        <v>106</v>
      </c>
      <c r="E9753" s="1" t="s">
        <v>31</v>
      </c>
      <c r="F9753" s="2" t="s">
        <v>1954</v>
      </c>
      <c r="G9753" s="1">
        <v>27.72</v>
      </c>
      <c r="H9753" s="1">
        <v>3</v>
      </c>
      <c r="I9753" s="1">
        <v>3.4649999999999999</v>
      </c>
    </row>
    <row r="9754" spans="1:9" x14ac:dyDescent="0.35">
      <c r="A9754" s="3">
        <v>42376</v>
      </c>
      <c r="B9754" s="1" t="s">
        <v>512</v>
      </c>
      <c r="C9754" s="1" t="s">
        <v>47</v>
      </c>
      <c r="D9754" s="1" t="s">
        <v>48</v>
      </c>
      <c r="E9754" s="1" t="s">
        <v>35</v>
      </c>
      <c r="F9754" s="2" t="s">
        <v>1285</v>
      </c>
      <c r="G9754" s="1">
        <v>2.496</v>
      </c>
      <c r="H9754" s="1">
        <v>1</v>
      </c>
      <c r="I9754" s="1">
        <v>0.90480000000000005</v>
      </c>
    </row>
    <row r="9755" spans="1:9" x14ac:dyDescent="0.35">
      <c r="A9755" s="3" t="s">
        <v>3581</v>
      </c>
      <c r="B9755" s="1" t="s">
        <v>227</v>
      </c>
      <c r="C9755" s="1" t="s">
        <v>693</v>
      </c>
      <c r="D9755" s="1" t="s">
        <v>163</v>
      </c>
      <c r="E9755" s="1" t="s">
        <v>19</v>
      </c>
      <c r="F9755" s="2" t="s">
        <v>2614</v>
      </c>
      <c r="G9755" s="1">
        <v>8.26</v>
      </c>
      <c r="H9755" s="1">
        <v>2</v>
      </c>
      <c r="I9755" s="1">
        <v>3.7995999999999999</v>
      </c>
    </row>
    <row r="9756" spans="1:9" x14ac:dyDescent="0.35">
      <c r="A9756" s="3" t="s">
        <v>3581</v>
      </c>
      <c r="B9756" s="1" t="s">
        <v>227</v>
      </c>
      <c r="C9756" s="1" t="s">
        <v>693</v>
      </c>
      <c r="D9756" s="1" t="s">
        <v>163</v>
      </c>
      <c r="E9756" s="1" t="s">
        <v>35</v>
      </c>
      <c r="F9756" s="2" t="s">
        <v>437</v>
      </c>
      <c r="G9756" s="1">
        <v>17.760000000000002</v>
      </c>
      <c r="H9756" s="1">
        <v>2</v>
      </c>
      <c r="I9756" s="1">
        <v>8.8800000000000008</v>
      </c>
    </row>
    <row r="9757" spans="1:9" x14ac:dyDescent="0.35">
      <c r="A9757" s="3" t="s">
        <v>3581</v>
      </c>
      <c r="B9757" s="1" t="s">
        <v>227</v>
      </c>
      <c r="C9757" s="1" t="s">
        <v>693</v>
      </c>
      <c r="D9757" s="1" t="s">
        <v>163</v>
      </c>
      <c r="E9757" s="1" t="s">
        <v>26</v>
      </c>
      <c r="F9757" s="2" t="s">
        <v>2388</v>
      </c>
      <c r="G9757" s="1">
        <v>332.94</v>
      </c>
      <c r="H9757" s="1">
        <v>3</v>
      </c>
      <c r="I9757" s="1">
        <v>9.9882000000000009</v>
      </c>
    </row>
    <row r="9758" spans="1:9" x14ac:dyDescent="0.35">
      <c r="A9758" s="3" t="s">
        <v>3581</v>
      </c>
      <c r="B9758" s="1" t="s">
        <v>227</v>
      </c>
      <c r="C9758" s="1" t="s">
        <v>693</v>
      </c>
      <c r="D9758" s="1" t="s">
        <v>163</v>
      </c>
      <c r="E9758" s="1" t="s">
        <v>24</v>
      </c>
      <c r="F9758" s="2" t="s">
        <v>530</v>
      </c>
      <c r="G9758" s="1">
        <v>292.10000000000002</v>
      </c>
      <c r="H9758" s="1">
        <v>2</v>
      </c>
      <c r="I9758" s="1">
        <v>58.42</v>
      </c>
    </row>
    <row r="9759" spans="1:9" x14ac:dyDescent="0.35">
      <c r="A9759" s="3" t="s">
        <v>3581</v>
      </c>
      <c r="B9759" s="1" t="s">
        <v>227</v>
      </c>
      <c r="C9759" s="1" t="s">
        <v>693</v>
      </c>
      <c r="D9759" s="1" t="s">
        <v>163</v>
      </c>
      <c r="E9759" s="1" t="s">
        <v>33</v>
      </c>
      <c r="F9759" s="2" t="s">
        <v>2995</v>
      </c>
      <c r="G9759" s="1">
        <v>206.1</v>
      </c>
      <c r="H9759" s="1">
        <v>5</v>
      </c>
      <c r="I9759" s="1">
        <v>55.646999999999998</v>
      </c>
    </row>
    <row r="9760" spans="1:9" x14ac:dyDescent="0.35">
      <c r="A9760" s="3" t="s">
        <v>3581</v>
      </c>
      <c r="B9760" s="1" t="s">
        <v>227</v>
      </c>
      <c r="C9760" s="1" t="s">
        <v>693</v>
      </c>
      <c r="D9760" s="1" t="s">
        <v>163</v>
      </c>
      <c r="E9760" s="1" t="s">
        <v>44</v>
      </c>
      <c r="F9760" s="2" t="s">
        <v>495</v>
      </c>
      <c r="G9760" s="1">
        <v>17.64</v>
      </c>
      <c r="H9760" s="1">
        <v>4</v>
      </c>
      <c r="I9760" s="1">
        <v>8.1143999999999998</v>
      </c>
    </row>
    <row r="9761" spans="1:9" x14ac:dyDescent="0.35">
      <c r="A9761" s="3" t="s">
        <v>3452</v>
      </c>
      <c r="B9761" s="1" t="s">
        <v>944</v>
      </c>
      <c r="C9761" s="1" t="s">
        <v>64</v>
      </c>
      <c r="D9761" s="1" t="s">
        <v>18</v>
      </c>
      <c r="E9761" s="1" t="s">
        <v>14</v>
      </c>
      <c r="F9761" s="2" t="s">
        <v>1886</v>
      </c>
      <c r="G9761" s="1">
        <v>1403.92</v>
      </c>
      <c r="H9761" s="1">
        <v>5</v>
      </c>
      <c r="I9761" s="1">
        <v>70.195999999999998</v>
      </c>
    </row>
    <row r="9762" spans="1:9" x14ac:dyDescent="0.35">
      <c r="A9762" s="3">
        <v>42836</v>
      </c>
      <c r="B9762" s="1" t="s">
        <v>1637</v>
      </c>
      <c r="C9762" s="1" t="s">
        <v>3140</v>
      </c>
      <c r="D9762" s="1" t="s">
        <v>797</v>
      </c>
      <c r="E9762" s="1" t="s">
        <v>31</v>
      </c>
      <c r="F9762" s="2" t="s">
        <v>2564</v>
      </c>
      <c r="G9762" s="1">
        <v>4.3</v>
      </c>
      <c r="H9762" s="1">
        <v>2</v>
      </c>
      <c r="I9762" s="1">
        <v>1.419</v>
      </c>
    </row>
    <row r="9763" spans="1:9" x14ac:dyDescent="0.35">
      <c r="A9763" s="3" t="s">
        <v>3654</v>
      </c>
      <c r="B9763" s="1" t="s">
        <v>1787</v>
      </c>
      <c r="C9763" s="1" t="s">
        <v>47</v>
      </c>
      <c r="D9763" s="1" t="s">
        <v>48</v>
      </c>
      <c r="E9763" s="1" t="s">
        <v>81</v>
      </c>
      <c r="F9763" s="2" t="s">
        <v>1850</v>
      </c>
      <c r="G9763" s="1">
        <v>239.97</v>
      </c>
      <c r="H9763" s="1">
        <v>3</v>
      </c>
      <c r="I9763" s="1">
        <v>86.389200000000002</v>
      </c>
    </row>
    <row r="9764" spans="1:9" x14ac:dyDescent="0.35">
      <c r="A9764" s="3" t="s">
        <v>3654</v>
      </c>
      <c r="B9764" s="1" t="s">
        <v>1787</v>
      </c>
      <c r="C9764" s="1" t="s">
        <v>47</v>
      </c>
      <c r="D9764" s="1" t="s">
        <v>48</v>
      </c>
      <c r="E9764" s="1" t="s">
        <v>37</v>
      </c>
      <c r="F9764" s="2" t="s">
        <v>2252</v>
      </c>
      <c r="G9764" s="1">
        <v>81.96</v>
      </c>
      <c r="H9764" s="1">
        <v>2</v>
      </c>
      <c r="I9764" s="1">
        <v>22.948799999999999</v>
      </c>
    </row>
    <row r="9765" spans="1:9" x14ac:dyDescent="0.35">
      <c r="A9765" s="3" t="s">
        <v>3654</v>
      </c>
      <c r="B9765" s="1" t="s">
        <v>1787</v>
      </c>
      <c r="C9765" s="1" t="s">
        <v>47</v>
      </c>
      <c r="D9765" s="1" t="s">
        <v>48</v>
      </c>
      <c r="E9765" s="1" t="s">
        <v>289</v>
      </c>
      <c r="F9765" s="2" t="s">
        <v>2352</v>
      </c>
      <c r="G9765" s="1">
        <v>238.62</v>
      </c>
      <c r="H9765" s="1">
        <v>2</v>
      </c>
      <c r="I9765" s="1">
        <v>4.7724000000000002</v>
      </c>
    </row>
    <row r="9766" spans="1:9" x14ac:dyDescent="0.35">
      <c r="A9766" s="3" t="s">
        <v>3853</v>
      </c>
      <c r="B9766" s="1" t="s">
        <v>1765</v>
      </c>
      <c r="C9766" s="1" t="s">
        <v>17</v>
      </c>
      <c r="D9766" s="1" t="s">
        <v>18</v>
      </c>
      <c r="E9766" s="1" t="s">
        <v>33</v>
      </c>
      <c r="F9766" s="2" t="s">
        <v>307</v>
      </c>
      <c r="G9766" s="1">
        <v>139.80000000000001</v>
      </c>
      <c r="H9766" s="1">
        <v>5</v>
      </c>
      <c r="I9766" s="1">
        <v>12.2325</v>
      </c>
    </row>
    <row r="9767" spans="1:9" x14ac:dyDescent="0.35">
      <c r="A9767" s="3" t="s">
        <v>3854</v>
      </c>
      <c r="B9767" s="1" t="s">
        <v>1964</v>
      </c>
      <c r="C9767" s="1" t="s">
        <v>1584</v>
      </c>
      <c r="D9767" s="1" t="s">
        <v>368</v>
      </c>
      <c r="E9767" s="1" t="s">
        <v>35</v>
      </c>
      <c r="F9767" s="2" t="s">
        <v>1962</v>
      </c>
      <c r="G9767" s="1">
        <v>9.84</v>
      </c>
      <c r="H9767" s="1">
        <v>2</v>
      </c>
      <c r="I9767" s="1">
        <v>4.7232000000000003</v>
      </c>
    </row>
    <row r="9768" spans="1:9" x14ac:dyDescent="0.35">
      <c r="A9768" s="3" t="s">
        <v>3854</v>
      </c>
      <c r="B9768" s="1" t="s">
        <v>1964</v>
      </c>
      <c r="C9768" s="1" t="s">
        <v>1584</v>
      </c>
      <c r="D9768" s="1" t="s">
        <v>368</v>
      </c>
      <c r="E9768" s="1" t="s">
        <v>44</v>
      </c>
      <c r="F9768" s="2" t="s">
        <v>1002</v>
      </c>
      <c r="G9768" s="1">
        <v>7.78</v>
      </c>
      <c r="H9768" s="1">
        <v>1</v>
      </c>
      <c r="I9768" s="1">
        <v>3.5009999999999999</v>
      </c>
    </row>
    <row r="9769" spans="1:9" x14ac:dyDescent="0.35">
      <c r="A9769" s="3">
        <v>42990</v>
      </c>
      <c r="B9769" s="1" t="s">
        <v>2010</v>
      </c>
      <c r="C9769" s="1" t="s">
        <v>2520</v>
      </c>
      <c r="D9769" s="1" t="s">
        <v>120</v>
      </c>
      <c r="E9769" s="1" t="s">
        <v>35</v>
      </c>
      <c r="F9769" s="2" t="s">
        <v>1761</v>
      </c>
      <c r="G9769" s="1">
        <v>54.9</v>
      </c>
      <c r="H9769" s="1">
        <v>5</v>
      </c>
      <c r="I9769" s="1">
        <v>26.901</v>
      </c>
    </row>
    <row r="9770" spans="1:9" x14ac:dyDescent="0.35">
      <c r="A9770" s="3">
        <v>42928</v>
      </c>
      <c r="B9770" s="1" t="s">
        <v>1555</v>
      </c>
      <c r="C9770" s="1" t="s">
        <v>64</v>
      </c>
      <c r="D9770" s="1" t="s">
        <v>18</v>
      </c>
      <c r="E9770" s="1" t="s">
        <v>44</v>
      </c>
      <c r="F9770" s="2" t="s">
        <v>2170</v>
      </c>
      <c r="G9770" s="1">
        <v>50.04</v>
      </c>
      <c r="H9770" s="1">
        <v>6</v>
      </c>
      <c r="I9770" s="1">
        <v>25.02</v>
      </c>
    </row>
    <row r="9771" spans="1:9" x14ac:dyDescent="0.35">
      <c r="A9771" s="3" t="s">
        <v>3410</v>
      </c>
      <c r="B9771" s="1" t="s">
        <v>1242</v>
      </c>
      <c r="C9771" s="1" t="s">
        <v>1055</v>
      </c>
      <c r="D9771" s="1" t="s">
        <v>23</v>
      </c>
      <c r="E9771" s="1" t="s">
        <v>12</v>
      </c>
      <c r="F9771" s="2" t="s">
        <v>1067</v>
      </c>
      <c r="G9771" s="1">
        <v>339.92</v>
      </c>
      <c r="H9771" s="1">
        <v>5</v>
      </c>
      <c r="I9771" s="1">
        <v>8.4979999999999993</v>
      </c>
    </row>
    <row r="9772" spans="1:9" x14ac:dyDescent="0.35">
      <c r="A9772" s="3" t="s">
        <v>3410</v>
      </c>
      <c r="B9772" s="1" t="s">
        <v>1242</v>
      </c>
      <c r="C9772" s="1" t="s">
        <v>1055</v>
      </c>
      <c r="D9772" s="1" t="s">
        <v>23</v>
      </c>
      <c r="E9772" s="1" t="s">
        <v>44</v>
      </c>
      <c r="F9772" s="2" t="s">
        <v>1880</v>
      </c>
      <c r="G9772" s="1">
        <v>10.528</v>
      </c>
      <c r="H9772" s="1">
        <v>4</v>
      </c>
      <c r="I9772" s="1">
        <v>3.4216000000000002</v>
      </c>
    </row>
    <row r="9773" spans="1:9" x14ac:dyDescent="0.35">
      <c r="A9773" s="3" t="s">
        <v>3410</v>
      </c>
      <c r="B9773" s="1" t="s">
        <v>1242</v>
      </c>
      <c r="C9773" s="1" t="s">
        <v>1055</v>
      </c>
      <c r="D9773" s="1" t="s">
        <v>23</v>
      </c>
      <c r="E9773" s="1" t="s">
        <v>37</v>
      </c>
      <c r="F9773" s="2" t="s">
        <v>2118</v>
      </c>
      <c r="G9773" s="1">
        <v>42.384</v>
      </c>
      <c r="H9773" s="1">
        <v>2</v>
      </c>
      <c r="I9773" s="1">
        <v>4.2384000000000004</v>
      </c>
    </row>
    <row r="9774" spans="1:9" x14ac:dyDescent="0.35">
      <c r="A9774" s="3">
        <v>42436</v>
      </c>
      <c r="B9774" s="1" t="s">
        <v>1855</v>
      </c>
      <c r="C9774" s="1" t="s">
        <v>74</v>
      </c>
      <c r="D9774" s="1" t="s">
        <v>75</v>
      </c>
      <c r="E9774" s="1" t="s">
        <v>44</v>
      </c>
      <c r="F9774" s="2" t="s">
        <v>1827</v>
      </c>
      <c r="G9774" s="1">
        <v>123.92</v>
      </c>
      <c r="H9774" s="1">
        <v>5</v>
      </c>
      <c r="I9774" s="1">
        <v>38.725000000000001</v>
      </c>
    </row>
    <row r="9775" spans="1:9" x14ac:dyDescent="0.35">
      <c r="A9775" s="3" t="s">
        <v>3479</v>
      </c>
      <c r="B9775" s="1" t="s">
        <v>1525</v>
      </c>
      <c r="C9775" s="1" t="s">
        <v>811</v>
      </c>
      <c r="D9775" s="1" t="s">
        <v>604</v>
      </c>
      <c r="E9775" s="1" t="s">
        <v>33</v>
      </c>
      <c r="F9775" s="2" t="s">
        <v>2699</v>
      </c>
      <c r="G9775" s="1">
        <v>135.94999999999999</v>
      </c>
      <c r="H9775" s="1">
        <v>1</v>
      </c>
      <c r="I9775" s="1">
        <v>39.4255</v>
      </c>
    </row>
    <row r="9776" spans="1:9" x14ac:dyDescent="0.35">
      <c r="A9776" s="3" t="s">
        <v>3460</v>
      </c>
      <c r="B9776" s="1" t="s">
        <v>671</v>
      </c>
      <c r="C9776" s="1" t="s">
        <v>336</v>
      </c>
      <c r="D9776" s="1" t="s">
        <v>52</v>
      </c>
      <c r="E9776" s="1" t="s">
        <v>35</v>
      </c>
      <c r="F9776" s="2" t="s">
        <v>597</v>
      </c>
      <c r="G9776" s="1">
        <v>2177.5839999999998</v>
      </c>
      <c r="H9776" s="1">
        <v>8</v>
      </c>
      <c r="I9776" s="1">
        <v>-3701.8928000000001</v>
      </c>
    </row>
    <row r="9777" spans="1:9" x14ac:dyDescent="0.35">
      <c r="A9777" s="3" t="s">
        <v>3460</v>
      </c>
      <c r="B9777" s="1" t="s">
        <v>671</v>
      </c>
      <c r="C9777" s="1" t="s">
        <v>336</v>
      </c>
      <c r="D9777" s="1" t="s">
        <v>52</v>
      </c>
      <c r="E9777" s="1" t="s">
        <v>29</v>
      </c>
      <c r="F9777" s="2" t="s">
        <v>2452</v>
      </c>
      <c r="G9777" s="1">
        <v>17.495999999999999</v>
      </c>
      <c r="H9777" s="1">
        <v>3</v>
      </c>
      <c r="I9777" s="1">
        <v>-10.0602</v>
      </c>
    </row>
    <row r="9778" spans="1:9" x14ac:dyDescent="0.35">
      <c r="A9778" s="3" t="s">
        <v>3460</v>
      </c>
      <c r="B9778" s="1" t="s">
        <v>671</v>
      </c>
      <c r="C9778" s="1" t="s">
        <v>336</v>
      </c>
      <c r="D9778" s="1" t="s">
        <v>52</v>
      </c>
      <c r="E9778" s="1" t="s">
        <v>35</v>
      </c>
      <c r="F9778" s="2" t="s">
        <v>572</v>
      </c>
      <c r="G9778" s="1">
        <v>16.783999999999999</v>
      </c>
      <c r="H9778" s="1">
        <v>4</v>
      </c>
      <c r="I9778" s="1">
        <v>-26.854399999999998</v>
      </c>
    </row>
    <row r="9779" spans="1:9" x14ac:dyDescent="0.35">
      <c r="A9779" s="3" t="s">
        <v>3460</v>
      </c>
      <c r="B9779" s="1" t="s">
        <v>671</v>
      </c>
      <c r="C9779" s="1" t="s">
        <v>336</v>
      </c>
      <c r="D9779" s="1" t="s">
        <v>52</v>
      </c>
      <c r="E9779" s="1" t="s">
        <v>81</v>
      </c>
      <c r="F9779" s="2" t="s">
        <v>624</v>
      </c>
      <c r="G9779" s="1">
        <v>431.13600000000002</v>
      </c>
      <c r="H9779" s="1">
        <v>9</v>
      </c>
      <c r="I9779" s="1">
        <v>-26.946000000000002</v>
      </c>
    </row>
    <row r="9780" spans="1:9" x14ac:dyDescent="0.35">
      <c r="A9780" s="3" t="s">
        <v>3460</v>
      </c>
      <c r="B9780" s="1" t="s">
        <v>671</v>
      </c>
      <c r="C9780" s="1" t="s">
        <v>336</v>
      </c>
      <c r="D9780" s="1" t="s">
        <v>52</v>
      </c>
      <c r="E9780" s="1" t="s">
        <v>35</v>
      </c>
      <c r="F9780" s="2" t="s">
        <v>437</v>
      </c>
      <c r="G9780" s="1">
        <v>8.8800000000000008</v>
      </c>
      <c r="H9780" s="1">
        <v>5</v>
      </c>
      <c r="I9780" s="1">
        <v>-13.32</v>
      </c>
    </row>
    <row r="9781" spans="1:9" x14ac:dyDescent="0.35">
      <c r="A9781" s="3" t="s">
        <v>3460</v>
      </c>
      <c r="B9781" s="1" t="s">
        <v>671</v>
      </c>
      <c r="C9781" s="1" t="s">
        <v>336</v>
      </c>
      <c r="D9781" s="1" t="s">
        <v>52</v>
      </c>
      <c r="E9781" s="1" t="s">
        <v>37</v>
      </c>
      <c r="F9781" s="2" t="s">
        <v>1991</v>
      </c>
      <c r="G9781" s="1">
        <v>4.8360000000000003</v>
      </c>
      <c r="H9781" s="1">
        <v>2</v>
      </c>
      <c r="I9781" s="1">
        <v>-12.09</v>
      </c>
    </row>
    <row r="9782" spans="1:9" x14ac:dyDescent="0.35">
      <c r="A9782" s="3" t="s">
        <v>3195</v>
      </c>
      <c r="B9782" s="1" t="s">
        <v>243</v>
      </c>
      <c r="C9782" s="1" t="s">
        <v>559</v>
      </c>
      <c r="D9782" s="1" t="s">
        <v>136</v>
      </c>
      <c r="E9782" s="1" t="s">
        <v>33</v>
      </c>
      <c r="F9782" s="2" t="s">
        <v>2135</v>
      </c>
      <c r="G9782" s="1">
        <v>437.85</v>
      </c>
      <c r="H9782" s="1">
        <v>3</v>
      </c>
      <c r="I9782" s="1">
        <v>131.35499999999999</v>
      </c>
    </row>
    <row r="9783" spans="1:9" x14ac:dyDescent="0.35">
      <c r="A9783" s="3" t="s">
        <v>3195</v>
      </c>
      <c r="B9783" s="1" t="s">
        <v>243</v>
      </c>
      <c r="C9783" s="1" t="s">
        <v>559</v>
      </c>
      <c r="D9783" s="1" t="s">
        <v>136</v>
      </c>
      <c r="E9783" s="1" t="s">
        <v>35</v>
      </c>
      <c r="F9783" s="2" t="s">
        <v>1957</v>
      </c>
      <c r="G9783" s="1">
        <v>673.56799999999998</v>
      </c>
      <c r="H9783" s="1">
        <v>2</v>
      </c>
      <c r="I9783" s="1">
        <v>252.58799999999999</v>
      </c>
    </row>
    <row r="9784" spans="1:9" x14ac:dyDescent="0.35">
      <c r="A9784" s="3" t="s">
        <v>3199</v>
      </c>
      <c r="B9784" s="1" t="s">
        <v>2160</v>
      </c>
      <c r="C9784" s="1" t="s">
        <v>1992</v>
      </c>
      <c r="D9784" s="1" t="s">
        <v>388</v>
      </c>
      <c r="E9784" s="1" t="s">
        <v>44</v>
      </c>
      <c r="F9784" s="2" t="s">
        <v>926</v>
      </c>
      <c r="G9784" s="1">
        <v>274.8</v>
      </c>
      <c r="H9784" s="1">
        <v>5</v>
      </c>
      <c r="I9784" s="1">
        <v>134.65199999999999</v>
      </c>
    </row>
    <row r="9785" spans="1:9" x14ac:dyDescent="0.35">
      <c r="A9785" s="3" t="s">
        <v>3199</v>
      </c>
      <c r="B9785" s="1" t="s">
        <v>2160</v>
      </c>
      <c r="C9785" s="1" t="s">
        <v>1992</v>
      </c>
      <c r="D9785" s="1" t="s">
        <v>388</v>
      </c>
      <c r="E9785" s="1" t="s">
        <v>26</v>
      </c>
      <c r="F9785" s="2" t="s">
        <v>1400</v>
      </c>
      <c r="G9785" s="1">
        <v>62.18</v>
      </c>
      <c r="H9785" s="1">
        <v>1</v>
      </c>
      <c r="I9785" s="1">
        <v>16.788599999999999</v>
      </c>
    </row>
    <row r="9786" spans="1:9" x14ac:dyDescent="0.35">
      <c r="A9786" s="3" t="s">
        <v>3199</v>
      </c>
      <c r="B9786" s="1" t="s">
        <v>2160</v>
      </c>
      <c r="C9786" s="1" t="s">
        <v>1992</v>
      </c>
      <c r="D9786" s="1" t="s">
        <v>388</v>
      </c>
      <c r="E9786" s="1" t="s">
        <v>29</v>
      </c>
      <c r="F9786" s="2" t="s">
        <v>2282</v>
      </c>
      <c r="G9786" s="1">
        <v>8.2799999999999994</v>
      </c>
      <c r="H9786" s="1">
        <v>2</v>
      </c>
      <c r="I9786" s="1">
        <v>2.9807999999999999</v>
      </c>
    </row>
    <row r="9787" spans="1:9" x14ac:dyDescent="0.35">
      <c r="A9787" s="3">
        <v>42252</v>
      </c>
      <c r="B9787" s="1" t="s">
        <v>961</v>
      </c>
      <c r="C9787" s="1" t="s">
        <v>697</v>
      </c>
      <c r="D9787" s="1" t="s">
        <v>11</v>
      </c>
      <c r="E9787" s="1" t="s">
        <v>35</v>
      </c>
      <c r="F9787" s="2" t="s">
        <v>2540</v>
      </c>
      <c r="G9787" s="1">
        <v>48.81</v>
      </c>
      <c r="H9787" s="1">
        <v>3</v>
      </c>
      <c r="I9787" s="1">
        <v>23.916899999999998</v>
      </c>
    </row>
    <row r="9788" spans="1:9" x14ac:dyDescent="0.35">
      <c r="A9788" s="3">
        <v>41770</v>
      </c>
      <c r="B9788" s="1" t="s">
        <v>2927</v>
      </c>
      <c r="C9788" s="1" t="s">
        <v>2782</v>
      </c>
      <c r="D9788" s="1" t="s">
        <v>163</v>
      </c>
      <c r="E9788" s="1" t="s">
        <v>14</v>
      </c>
      <c r="F9788" s="2" t="s">
        <v>1908</v>
      </c>
      <c r="G9788" s="1">
        <v>149.9</v>
      </c>
      <c r="H9788" s="1">
        <v>5</v>
      </c>
      <c r="I9788" s="1">
        <v>40.472999999999999</v>
      </c>
    </row>
    <row r="9789" spans="1:9" x14ac:dyDescent="0.35">
      <c r="A9789" s="3" t="s">
        <v>3581</v>
      </c>
      <c r="B9789" s="1" t="s">
        <v>688</v>
      </c>
      <c r="C9789" s="1" t="s">
        <v>93</v>
      </c>
      <c r="D9789" s="1" t="s">
        <v>52</v>
      </c>
      <c r="E9789" s="1" t="s">
        <v>12</v>
      </c>
      <c r="F9789" s="2" t="s">
        <v>1350</v>
      </c>
      <c r="G9789" s="1">
        <v>1023.332</v>
      </c>
      <c r="H9789" s="1">
        <v>5</v>
      </c>
      <c r="I9789" s="1">
        <v>-30.097999999999999</v>
      </c>
    </row>
    <row r="9790" spans="1:9" x14ac:dyDescent="0.35">
      <c r="A9790" s="3" t="s">
        <v>3581</v>
      </c>
      <c r="B9790" s="1" t="s">
        <v>688</v>
      </c>
      <c r="C9790" s="1" t="s">
        <v>93</v>
      </c>
      <c r="D9790" s="1" t="s">
        <v>52</v>
      </c>
      <c r="E9790" s="1" t="s">
        <v>14</v>
      </c>
      <c r="F9790" s="2" t="s">
        <v>267</v>
      </c>
      <c r="G9790" s="1">
        <v>600.55799999999999</v>
      </c>
      <c r="H9790" s="1">
        <v>3</v>
      </c>
      <c r="I9790" s="1">
        <v>-8.5793999999999997</v>
      </c>
    </row>
    <row r="9791" spans="1:9" x14ac:dyDescent="0.35">
      <c r="A9791" s="3" t="s">
        <v>3581</v>
      </c>
      <c r="B9791" s="1" t="s">
        <v>688</v>
      </c>
      <c r="C9791" s="1" t="s">
        <v>93</v>
      </c>
      <c r="D9791" s="1" t="s">
        <v>52</v>
      </c>
      <c r="E9791" s="1" t="s">
        <v>81</v>
      </c>
      <c r="F9791" s="2" t="s">
        <v>1139</v>
      </c>
      <c r="G9791" s="1">
        <v>39.991999999999997</v>
      </c>
      <c r="H9791" s="1">
        <v>1</v>
      </c>
      <c r="I9791" s="1">
        <v>6.9985999999999997</v>
      </c>
    </row>
    <row r="9792" spans="1:9" x14ac:dyDescent="0.35">
      <c r="A9792" s="3" t="s">
        <v>3581</v>
      </c>
      <c r="B9792" s="1" t="s">
        <v>688</v>
      </c>
      <c r="C9792" s="1" t="s">
        <v>93</v>
      </c>
      <c r="D9792" s="1" t="s">
        <v>52</v>
      </c>
      <c r="E9792" s="1" t="s">
        <v>14</v>
      </c>
      <c r="F9792" s="2" t="s">
        <v>2186</v>
      </c>
      <c r="G9792" s="1">
        <v>211.24600000000001</v>
      </c>
      <c r="H9792" s="1">
        <v>2</v>
      </c>
      <c r="I9792" s="1">
        <v>-66.391599999999997</v>
      </c>
    </row>
    <row r="9793" spans="1:9" x14ac:dyDescent="0.35">
      <c r="A9793" s="3" t="s">
        <v>3332</v>
      </c>
      <c r="B9793" s="1" t="s">
        <v>1275</v>
      </c>
      <c r="C9793" s="1" t="s">
        <v>93</v>
      </c>
      <c r="D9793" s="1" t="s">
        <v>52</v>
      </c>
      <c r="E9793" s="1" t="s">
        <v>87</v>
      </c>
      <c r="F9793" s="2" t="s">
        <v>332</v>
      </c>
      <c r="G9793" s="1">
        <v>56.064</v>
      </c>
      <c r="H9793" s="1">
        <v>6</v>
      </c>
      <c r="I9793" s="1">
        <v>21.024000000000001</v>
      </c>
    </row>
    <row r="9794" spans="1:9" x14ac:dyDescent="0.35">
      <c r="A9794" s="3" t="s">
        <v>3332</v>
      </c>
      <c r="B9794" s="1" t="s">
        <v>1275</v>
      </c>
      <c r="C9794" s="1" t="s">
        <v>93</v>
      </c>
      <c r="D9794" s="1" t="s">
        <v>52</v>
      </c>
      <c r="E9794" s="1" t="s">
        <v>14</v>
      </c>
      <c r="F9794" s="2" t="s">
        <v>724</v>
      </c>
      <c r="G9794" s="1">
        <v>107.77200000000001</v>
      </c>
      <c r="H9794" s="1">
        <v>2</v>
      </c>
      <c r="I9794" s="1">
        <v>-29.252400000000002</v>
      </c>
    </row>
    <row r="9795" spans="1:9" x14ac:dyDescent="0.35">
      <c r="A9795" s="3" t="s">
        <v>3332</v>
      </c>
      <c r="B9795" s="1" t="s">
        <v>1275</v>
      </c>
      <c r="C9795" s="1" t="s">
        <v>93</v>
      </c>
      <c r="D9795" s="1" t="s">
        <v>52</v>
      </c>
      <c r="E9795" s="1" t="s">
        <v>44</v>
      </c>
      <c r="F9795" s="2" t="s">
        <v>1169</v>
      </c>
      <c r="G9795" s="1">
        <v>4.8319999999999999</v>
      </c>
      <c r="H9795" s="1">
        <v>1</v>
      </c>
      <c r="I9795" s="1">
        <v>1.6308</v>
      </c>
    </row>
    <row r="9796" spans="1:9" x14ac:dyDescent="0.35">
      <c r="A9796" s="3" t="s">
        <v>3332</v>
      </c>
      <c r="B9796" s="1" t="s">
        <v>1275</v>
      </c>
      <c r="C9796" s="1" t="s">
        <v>93</v>
      </c>
      <c r="D9796" s="1" t="s">
        <v>52</v>
      </c>
      <c r="E9796" s="1" t="s">
        <v>35</v>
      </c>
      <c r="F9796" s="2" t="s">
        <v>1672</v>
      </c>
      <c r="G9796" s="1">
        <v>18.239999999999998</v>
      </c>
      <c r="H9796" s="1">
        <v>3</v>
      </c>
      <c r="I9796" s="1">
        <v>-31.007999999999999</v>
      </c>
    </row>
    <row r="9797" spans="1:9" x14ac:dyDescent="0.35">
      <c r="A9797" s="3" t="s">
        <v>3540</v>
      </c>
      <c r="B9797" s="1" t="s">
        <v>292</v>
      </c>
      <c r="C9797" s="1" t="s">
        <v>154</v>
      </c>
      <c r="D9797" s="1" t="s">
        <v>106</v>
      </c>
      <c r="E9797" s="1" t="s">
        <v>35</v>
      </c>
      <c r="F9797" s="2" t="s">
        <v>1452</v>
      </c>
      <c r="G9797" s="1">
        <v>3.798</v>
      </c>
      <c r="H9797" s="1">
        <v>3</v>
      </c>
      <c r="I9797" s="1">
        <v>-5.8868999999999998</v>
      </c>
    </row>
    <row r="9798" spans="1:9" x14ac:dyDescent="0.35">
      <c r="A9798" s="3">
        <v>42339</v>
      </c>
      <c r="B9798" s="1" t="s">
        <v>2549</v>
      </c>
      <c r="C9798" s="1" t="s">
        <v>1256</v>
      </c>
      <c r="D9798" s="1" t="s">
        <v>250</v>
      </c>
      <c r="E9798" s="1" t="s">
        <v>31</v>
      </c>
      <c r="F9798" s="2" t="s">
        <v>593</v>
      </c>
      <c r="G9798" s="1">
        <v>10.368</v>
      </c>
      <c r="H9798" s="1">
        <v>2</v>
      </c>
      <c r="I9798" s="1">
        <v>1.5551999999999999</v>
      </c>
    </row>
    <row r="9799" spans="1:9" x14ac:dyDescent="0.35">
      <c r="A9799" s="3">
        <v>42339</v>
      </c>
      <c r="B9799" s="1" t="s">
        <v>2549</v>
      </c>
      <c r="C9799" s="1" t="s">
        <v>1256</v>
      </c>
      <c r="D9799" s="1" t="s">
        <v>250</v>
      </c>
      <c r="E9799" s="1" t="s">
        <v>33</v>
      </c>
      <c r="F9799" s="2" t="s">
        <v>97</v>
      </c>
      <c r="G9799" s="1">
        <v>235.18799999999999</v>
      </c>
      <c r="H9799" s="1">
        <v>2</v>
      </c>
      <c r="I9799" s="1">
        <v>-43.117800000000003</v>
      </c>
    </row>
    <row r="9800" spans="1:9" x14ac:dyDescent="0.35">
      <c r="A9800" s="3">
        <v>42339</v>
      </c>
      <c r="B9800" s="1" t="s">
        <v>2549</v>
      </c>
      <c r="C9800" s="1" t="s">
        <v>1256</v>
      </c>
      <c r="D9800" s="1" t="s">
        <v>250</v>
      </c>
      <c r="E9800" s="1" t="s">
        <v>33</v>
      </c>
      <c r="F9800" s="2" t="s">
        <v>2238</v>
      </c>
      <c r="G9800" s="1">
        <v>26.376000000000001</v>
      </c>
      <c r="H9800" s="1">
        <v>4</v>
      </c>
      <c r="I9800" s="1">
        <v>2.6375999999999999</v>
      </c>
    </row>
    <row r="9801" spans="1:9" x14ac:dyDescent="0.35">
      <c r="A9801" s="3">
        <v>42339</v>
      </c>
      <c r="B9801" s="1" t="s">
        <v>2549</v>
      </c>
      <c r="C9801" s="1" t="s">
        <v>1256</v>
      </c>
      <c r="D9801" s="1" t="s">
        <v>250</v>
      </c>
      <c r="E9801" s="1" t="s">
        <v>81</v>
      </c>
      <c r="F9801" s="2" t="s">
        <v>2818</v>
      </c>
      <c r="G9801" s="1">
        <v>10.384</v>
      </c>
      <c r="H9801" s="1">
        <v>2</v>
      </c>
      <c r="I9801" s="1">
        <v>2.2065999999999999</v>
      </c>
    </row>
    <row r="9802" spans="1:9" x14ac:dyDescent="0.35">
      <c r="A9802" s="3">
        <v>42339</v>
      </c>
      <c r="B9802" s="1" t="s">
        <v>2549</v>
      </c>
      <c r="C9802" s="1" t="s">
        <v>1256</v>
      </c>
      <c r="D9802" s="1" t="s">
        <v>250</v>
      </c>
      <c r="E9802" s="1" t="s">
        <v>33</v>
      </c>
      <c r="F9802" s="2" t="s">
        <v>860</v>
      </c>
      <c r="G9802" s="1">
        <v>107.11799999999999</v>
      </c>
      <c r="H9802" s="1">
        <v>3</v>
      </c>
      <c r="I9802" s="1">
        <v>-21.4236</v>
      </c>
    </row>
    <row r="9803" spans="1:9" x14ac:dyDescent="0.35">
      <c r="A9803" s="3" t="s">
        <v>3555</v>
      </c>
      <c r="B9803" s="1" t="s">
        <v>1120</v>
      </c>
      <c r="C9803" s="1" t="s">
        <v>3141</v>
      </c>
      <c r="D9803" s="1" t="s">
        <v>18</v>
      </c>
      <c r="E9803" s="1" t="s">
        <v>289</v>
      </c>
      <c r="F9803" s="2" t="s">
        <v>1993</v>
      </c>
      <c r="G9803" s="1">
        <v>97.3</v>
      </c>
      <c r="H9803" s="1">
        <v>7</v>
      </c>
      <c r="I9803" s="1">
        <v>28.216999999999999</v>
      </c>
    </row>
    <row r="9804" spans="1:9" x14ac:dyDescent="0.35">
      <c r="A9804" s="3" t="s">
        <v>3680</v>
      </c>
      <c r="B9804" s="1" t="s">
        <v>1143</v>
      </c>
      <c r="C9804" s="1" t="s">
        <v>135</v>
      </c>
      <c r="D9804" s="1" t="s">
        <v>136</v>
      </c>
      <c r="E9804" s="1" t="s">
        <v>35</v>
      </c>
      <c r="F9804" s="2" t="s">
        <v>176</v>
      </c>
      <c r="G9804" s="1">
        <v>3.3279999999999998</v>
      </c>
      <c r="H9804" s="1">
        <v>2</v>
      </c>
      <c r="I9804" s="1">
        <v>1.2063999999999999</v>
      </c>
    </row>
    <row r="9805" spans="1:9" x14ac:dyDescent="0.35">
      <c r="A9805" s="3" t="s">
        <v>3680</v>
      </c>
      <c r="B9805" s="1" t="s">
        <v>1143</v>
      </c>
      <c r="C9805" s="1" t="s">
        <v>135</v>
      </c>
      <c r="D9805" s="1" t="s">
        <v>136</v>
      </c>
      <c r="E9805" s="1" t="s">
        <v>33</v>
      </c>
      <c r="F9805" s="2" t="s">
        <v>2039</v>
      </c>
      <c r="G9805" s="1">
        <v>135.99</v>
      </c>
      <c r="H9805" s="1">
        <v>1</v>
      </c>
      <c r="I9805" s="1">
        <v>36.717300000000002</v>
      </c>
    </row>
    <row r="9806" spans="1:9" x14ac:dyDescent="0.35">
      <c r="A9806" s="3" t="s">
        <v>3680</v>
      </c>
      <c r="B9806" s="1" t="s">
        <v>1143</v>
      </c>
      <c r="C9806" s="1" t="s">
        <v>135</v>
      </c>
      <c r="D9806" s="1" t="s">
        <v>136</v>
      </c>
      <c r="E9806" s="1" t="s">
        <v>29</v>
      </c>
      <c r="F9806" s="2" t="s">
        <v>2074</v>
      </c>
      <c r="G9806" s="1">
        <v>7.38</v>
      </c>
      <c r="H9806" s="1">
        <v>1</v>
      </c>
      <c r="I9806" s="1">
        <v>2.1402000000000001</v>
      </c>
    </row>
    <row r="9807" spans="1:9" x14ac:dyDescent="0.35">
      <c r="A9807" s="3" t="s">
        <v>3252</v>
      </c>
      <c r="B9807" s="1" t="s">
        <v>1450</v>
      </c>
      <c r="C9807" s="1" t="s">
        <v>22</v>
      </c>
      <c r="D9807" s="1" t="s">
        <v>23</v>
      </c>
      <c r="E9807" s="1" t="s">
        <v>29</v>
      </c>
      <c r="F9807" s="2" t="s">
        <v>1911</v>
      </c>
      <c r="G9807" s="1">
        <v>45.567999999999998</v>
      </c>
      <c r="H9807" s="1">
        <v>2</v>
      </c>
      <c r="I9807" s="1">
        <v>9.6831999999999994</v>
      </c>
    </row>
    <row r="9808" spans="1:9" x14ac:dyDescent="0.35">
      <c r="A9808" s="3" t="s">
        <v>3252</v>
      </c>
      <c r="B9808" s="1" t="s">
        <v>1450</v>
      </c>
      <c r="C9808" s="1" t="s">
        <v>22</v>
      </c>
      <c r="D9808" s="1" t="s">
        <v>23</v>
      </c>
      <c r="E9808" s="1" t="s">
        <v>35</v>
      </c>
      <c r="F9808" s="2" t="s">
        <v>2023</v>
      </c>
      <c r="G9808" s="1">
        <v>28.751999999999999</v>
      </c>
      <c r="H9808" s="1">
        <v>8</v>
      </c>
      <c r="I9808" s="1">
        <v>-21.084800000000001</v>
      </c>
    </row>
    <row r="9809" spans="1:9" x14ac:dyDescent="0.35">
      <c r="A9809" s="3" t="s">
        <v>3504</v>
      </c>
      <c r="B9809" s="1" t="s">
        <v>1863</v>
      </c>
      <c r="C9809" s="1" t="s">
        <v>1912</v>
      </c>
      <c r="D9809" s="1" t="s">
        <v>43</v>
      </c>
      <c r="E9809" s="1" t="s">
        <v>14</v>
      </c>
      <c r="F9809" s="2" t="s">
        <v>155</v>
      </c>
      <c r="G9809" s="1">
        <v>194.84800000000001</v>
      </c>
      <c r="H9809" s="1">
        <v>4</v>
      </c>
      <c r="I9809" s="1">
        <v>12.178000000000001</v>
      </c>
    </row>
    <row r="9810" spans="1:9" x14ac:dyDescent="0.35">
      <c r="A9810" s="3" t="s">
        <v>3528</v>
      </c>
      <c r="B9810" s="1" t="s">
        <v>2494</v>
      </c>
      <c r="C9810" s="1" t="s">
        <v>154</v>
      </c>
      <c r="D9810" s="1" t="s">
        <v>106</v>
      </c>
      <c r="E9810" s="1" t="s">
        <v>35</v>
      </c>
      <c r="F9810" s="2" t="s">
        <v>1819</v>
      </c>
      <c r="G9810" s="1">
        <v>2.1120000000000001</v>
      </c>
      <c r="H9810" s="1">
        <v>2</v>
      </c>
      <c r="I9810" s="1">
        <v>-3.3792</v>
      </c>
    </row>
    <row r="9811" spans="1:9" x14ac:dyDescent="0.35">
      <c r="A9811" s="3">
        <v>41831</v>
      </c>
      <c r="B9811" s="1" t="s">
        <v>731</v>
      </c>
      <c r="C9811" s="1" t="s">
        <v>211</v>
      </c>
      <c r="D9811" s="1" t="s">
        <v>212</v>
      </c>
      <c r="E9811" s="1" t="s">
        <v>44</v>
      </c>
      <c r="F9811" s="2" t="s">
        <v>204</v>
      </c>
      <c r="G9811" s="1">
        <v>25.92</v>
      </c>
      <c r="H9811" s="1">
        <v>5</v>
      </c>
      <c r="I9811" s="1">
        <v>9.0719999999999992</v>
      </c>
    </row>
    <row r="9812" spans="1:9" x14ac:dyDescent="0.35">
      <c r="A9812" s="3">
        <v>41831</v>
      </c>
      <c r="B9812" s="1" t="s">
        <v>731</v>
      </c>
      <c r="C9812" s="1" t="s">
        <v>211</v>
      </c>
      <c r="D9812" s="1" t="s">
        <v>212</v>
      </c>
      <c r="E9812" s="1" t="s">
        <v>31</v>
      </c>
      <c r="F9812" s="2" t="s">
        <v>1640</v>
      </c>
      <c r="G9812" s="1">
        <v>120.768</v>
      </c>
      <c r="H9812" s="1">
        <v>4</v>
      </c>
      <c r="I9812" s="1">
        <v>9.0576000000000008</v>
      </c>
    </row>
    <row r="9813" spans="1:9" x14ac:dyDescent="0.35">
      <c r="A9813" s="3" t="s">
        <v>3401</v>
      </c>
      <c r="B9813" s="1" t="s">
        <v>382</v>
      </c>
      <c r="C9813" s="1" t="s">
        <v>3124</v>
      </c>
      <c r="D9813" s="1" t="s">
        <v>388</v>
      </c>
      <c r="E9813" s="1" t="s">
        <v>44</v>
      </c>
      <c r="F9813" s="2" t="s">
        <v>2340</v>
      </c>
      <c r="G9813" s="1">
        <v>25.92</v>
      </c>
      <c r="H9813" s="1">
        <v>4</v>
      </c>
      <c r="I9813" s="1">
        <v>12.441599999999999</v>
      </c>
    </row>
    <row r="9814" spans="1:9" x14ac:dyDescent="0.35">
      <c r="A9814" s="3" t="s">
        <v>3401</v>
      </c>
      <c r="B9814" s="1" t="s">
        <v>382</v>
      </c>
      <c r="C9814" s="1" t="s">
        <v>3124</v>
      </c>
      <c r="D9814" s="1" t="s">
        <v>388</v>
      </c>
      <c r="E9814" s="1" t="s">
        <v>31</v>
      </c>
      <c r="F9814" s="2" t="s">
        <v>623</v>
      </c>
      <c r="G9814" s="1">
        <v>34.65</v>
      </c>
      <c r="H9814" s="1">
        <v>3</v>
      </c>
      <c r="I9814" s="1">
        <v>9.702</v>
      </c>
    </row>
    <row r="9815" spans="1:9" x14ac:dyDescent="0.35">
      <c r="A9815" s="3" t="s">
        <v>3401</v>
      </c>
      <c r="B9815" s="1" t="s">
        <v>382</v>
      </c>
      <c r="C9815" s="1" t="s">
        <v>3124</v>
      </c>
      <c r="D9815" s="1" t="s">
        <v>388</v>
      </c>
      <c r="E9815" s="1" t="s">
        <v>44</v>
      </c>
      <c r="F9815" s="2" t="s">
        <v>1422</v>
      </c>
      <c r="G9815" s="1">
        <v>204.95</v>
      </c>
      <c r="H9815" s="1">
        <v>5</v>
      </c>
      <c r="I9815" s="1">
        <v>100.4255</v>
      </c>
    </row>
    <row r="9816" spans="1:9" x14ac:dyDescent="0.35">
      <c r="A9816" s="3" t="s">
        <v>3401</v>
      </c>
      <c r="B9816" s="1" t="s">
        <v>382</v>
      </c>
      <c r="C9816" s="1" t="s">
        <v>3124</v>
      </c>
      <c r="D9816" s="1" t="s">
        <v>388</v>
      </c>
      <c r="E9816" s="1" t="s">
        <v>35</v>
      </c>
      <c r="F9816" s="2" t="s">
        <v>2317</v>
      </c>
      <c r="G9816" s="1">
        <v>79.95</v>
      </c>
      <c r="H9816" s="1">
        <v>5</v>
      </c>
      <c r="I9816" s="1">
        <v>38.375999999999998</v>
      </c>
    </row>
    <row r="9817" spans="1:9" x14ac:dyDescent="0.35">
      <c r="A9817" s="3">
        <v>42222</v>
      </c>
      <c r="B9817" s="1" t="s">
        <v>497</v>
      </c>
      <c r="C9817" s="1" t="s">
        <v>550</v>
      </c>
      <c r="D9817" s="1" t="s">
        <v>23</v>
      </c>
      <c r="E9817" s="1" t="s">
        <v>44</v>
      </c>
      <c r="F9817" s="2" t="s">
        <v>2192</v>
      </c>
      <c r="G9817" s="1">
        <v>173.488</v>
      </c>
      <c r="H9817" s="1">
        <v>7</v>
      </c>
      <c r="I9817" s="1">
        <v>54.215000000000003</v>
      </c>
    </row>
    <row r="9818" spans="1:9" x14ac:dyDescent="0.35">
      <c r="A9818" s="3">
        <v>42222</v>
      </c>
      <c r="B9818" s="1" t="s">
        <v>497</v>
      </c>
      <c r="C9818" s="1" t="s">
        <v>550</v>
      </c>
      <c r="D9818" s="1" t="s">
        <v>23</v>
      </c>
      <c r="E9818" s="1" t="s">
        <v>26</v>
      </c>
      <c r="F9818" s="2" t="s">
        <v>1315</v>
      </c>
      <c r="G9818" s="1">
        <v>516.96</v>
      </c>
      <c r="H9818" s="1">
        <v>4</v>
      </c>
      <c r="I9818" s="1">
        <v>-6.4619999999999997</v>
      </c>
    </row>
    <row r="9819" spans="1:9" x14ac:dyDescent="0.35">
      <c r="A9819" s="3">
        <v>42222</v>
      </c>
      <c r="B9819" s="1" t="s">
        <v>497</v>
      </c>
      <c r="C9819" s="1" t="s">
        <v>550</v>
      </c>
      <c r="D9819" s="1" t="s">
        <v>23</v>
      </c>
      <c r="E9819" s="1" t="s">
        <v>29</v>
      </c>
      <c r="F9819" s="2" t="s">
        <v>2382</v>
      </c>
      <c r="G9819" s="1">
        <v>173.208</v>
      </c>
      <c r="H9819" s="1">
        <v>7</v>
      </c>
      <c r="I9819" s="1">
        <v>45.467100000000002</v>
      </c>
    </row>
    <row r="9820" spans="1:9" x14ac:dyDescent="0.35">
      <c r="A9820" s="3">
        <v>42222</v>
      </c>
      <c r="B9820" s="1" t="s">
        <v>497</v>
      </c>
      <c r="C9820" s="1" t="s">
        <v>550</v>
      </c>
      <c r="D9820" s="1" t="s">
        <v>23</v>
      </c>
      <c r="E9820" s="1" t="s">
        <v>31</v>
      </c>
      <c r="F9820" s="2" t="s">
        <v>813</v>
      </c>
      <c r="G9820" s="1">
        <v>4.4480000000000004</v>
      </c>
      <c r="H9820" s="1">
        <v>2</v>
      </c>
      <c r="I9820" s="1">
        <v>0.33360000000000001</v>
      </c>
    </row>
    <row r="9821" spans="1:9" x14ac:dyDescent="0.35">
      <c r="A9821" s="3">
        <v>42222</v>
      </c>
      <c r="B9821" s="1" t="s">
        <v>497</v>
      </c>
      <c r="C9821" s="1" t="s">
        <v>550</v>
      </c>
      <c r="D9821" s="1" t="s">
        <v>23</v>
      </c>
      <c r="E9821" s="1" t="s">
        <v>19</v>
      </c>
      <c r="F9821" s="2" t="s">
        <v>2585</v>
      </c>
      <c r="G9821" s="1">
        <v>9</v>
      </c>
      <c r="H9821" s="1">
        <v>3</v>
      </c>
      <c r="I9821" s="1">
        <v>3.15</v>
      </c>
    </row>
    <row r="9822" spans="1:9" x14ac:dyDescent="0.35">
      <c r="A9822" s="3">
        <v>42222</v>
      </c>
      <c r="B9822" s="1" t="s">
        <v>497</v>
      </c>
      <c r="C9822" s="1" t="s">
        <v>550</v>
      </c>
      <c r="D9822" s="1" t="s">
        <v>23</v>
      </c>
      <c r="E9822" s="1" t="s">
        <v>44</v>
      </c>
      <c r="F9822" s="2" t="s">
        <v>2898</v>
      </c>
      <c r="G9822" s="1">
        <v>42.24</v>
      </c>
      <c r="H9822" s="1">
        <v>10</v>
      </c>
      <c r="I9822" s="1">
        <v>13.2</v>
      </c>
    </row>
    <row r="9823" spans="1:9" x14ac:dyDescent="0.35">
      <c r="A9823" s="3">
        <v>42222</v>
      </c>
      <c r="B9823" s="1" t="s">
        <v>497</v>
      </c>
      <c r="C9823" s="1" t="s">
        <v>550</v>
      </c>
      <c r="D9823" s="1" t="s">
        <v>23</v>
      </c>
      <c r="E9823" s="1" t="s">
        <v>35</v>
      </c>
      <c r="F9823" s="2" t="s">
        <v>852</v>
      </c>
      <c r="G9823" s="1">
        <v>18.263999999999999</v>
      </c>
      <c r="H9823" s="1">
        <v>2</v>
      </c>
      <c r="I9823" s="1">
        <v>-13.393599999999999</v>
      </c>
    </row>
    <row r="9824" spans="1:9" x14ac:dyDescent="0.35">
      <c r="A9824" s="3" t="s">
        <v>3366</v>
      </c>
      <c r="B9824" s="1" t="s">
        <v>834</v>
      </c>
      <c r="C9824" s="1" t="s">
        <v>64</v>
      </c>
      <c r="D9824" s="1" t="s">
        <v>18</v>
      </c>
      <c r="E9824" s="1" t="s">
        <v>37</v>
      </c>
      <c r="F9824" s="2" t="s">
        <v>963</v>
      </c>
      <c r="G9824" s="1">
        <v>152.91</v>
      </c>
      <c r="H9824" s="1">
        <v>3</v>
      </c>
      <c r="I9824" s="1">
        <v>42.814799999999998</v>
      </c>
    </row>
    <row r="9825" spans="1:9" x14ac:dyDescent="0.35">
      <c r="A9825" s="3" t="s">
        <v>3366</v>
      </c>
      <c r="B9825" s="1" t="s">
        <v>834</v>
      </c>
      <c r="C9825" s="1" t="s">
        <v>64</v>
      </c>
      <c r="D9825" s="1" t="s">
        <v>18</v>
      </c>
      <c r="E9825" s="1" t="s">
        <v>44</v>
      </c>
      <c r="F9825" s="2" t="s">
        <v>1827</v>
      </c>
      <c r="G9825" s="1">
        <v>92.94</v>
      </c>
      <c r="H9825" s="1">
        <v>3</v>
      </c>
      <c r="I9825" s="1">
        <v>41.823</v>
      </c>
    </row>
    <row r="9826" spans="1:9" x14ac:dyDescent="0.35">
      <c r="A9826" s="3" t="s">
        <v>3366</v>
      </c>
      <c r="B9826" s="1" t="s">
        <v>834</v>
      </c>
      <c r="C9826" s="1" t="s">
        <v>64</v>
      </c>
      <c r="D9826" s="1" t="s">
        <v>18</v>
      </c>
      <c r="E9826" s="1" t="s">
        <v>35</v>
      </c>
      <c r="F9826" s="2" t="s">
        <v>184</v>
      </c>
      <c r="G9826" s="1">
        <v>17.856000000000002</v>
      </c>
      <c r="H9826" s="1">
        <v>4</v>
      </c>
      <c r="I9826" s="1">
        <v>6.2496</v>
      </c>
    </row>
    <row r="9827" spans="1:9" x14ac:dyDescent="0.35">
      <c r="A9827" s="3" t="s">
        <v>3366</v>
      </c>
      <c r="B9827" s="1" t="s">
        <v>834</v>
      </c>
      <c r="C9827" s="1" t="s">
        <v>64</v>
      </c>
      <c r="D9827" s="1" t="s">
        <v>18</v>
      </c>
      <c r="E9827" s="1" t="s">
        <v>35</v>
      </c>
      <c r="F9827" s="2" t="s">
        <v>1081</v>
      </c>
      <c r="G9827" s="1">
        <v>46.44</v>
      </c>
      <c r="H9827" s="1">
        <v>3</v>
      </c>
      <c r="I9827" s="1">
        <v>15.093</v>
      </c>
    </row>
    <row r="9828" spans="1:9" x14ac:dyDescent="0.35">
      <c r="A9828" s="3" t="s">
        <v>3366</v>
      </c>
      <c r="B9828" s="1" t="s">
        <v>834</v>
      </c>
      <c r="C9828" s="1" t="s">
        <v>64</v>
      </c>
      <c r="D9828" s="1" t="s">
        <v>18</v>
      </c>
      <c r="E9828" s="1" t="s">
        <v>14</v>
      </c>
      <c r="F9828" s="2" t="s">
        <v>2026</v>
      </c>
      <c r="G9828" s="1">
        <v>195.136</v>
      </c>
      <c r="H9828" s="1">
        <v>4</v>
      </c>
      <c r="I9828" s="1">
        <v>-12.196</v>
      </c>
    </row>
    <row r="9829" spans="1:9" x14ac:dyDescent="0.35">
      <c r="A9829" s="3" t="s">
        <v>3502</v>
      </c>
      <c r="B9829" s="1" t="s">
        <v>202</v>
      </c>
      <c r="C9829" s="1" t="s">
        <v>135</v>
      </c>
      <c r="D9829" s="1" t="s">
        <v>136</v>
      </c>
      <c r="E9829" s="1" t="s">
        <v>26</v>
      </c>
      <c r="F9829" s="2" t="s">
        <v>988</v>
      </c>
      <c r="G9829" s="1">
        <v>129.30000000000001</v>
      </c>
      <c r="H9829" s="1">
        <v>2</v>
      </c>
      <c r="I9829" s="1">
        <v>6.4649999999999999</v>
      </c>
    </row>
    <row r="9830" spans="1:9" x14ac:dyDescent="0.35">
      <c r="A9830" s="3" t="s">
        <v>3502</v>
      </c>
      <c r="B9830" s="1" t="s">
        <v>202</v>
      </c>
      <c r="C9830" s="1" t="s">
        <v>135</v>
      </c>
      <c r="D9830" s="1" t="s">
        <v>136</v>
      </c>
      <c r="E9830" s="1" t="s">
        <v>35</v>
      </c>
      <c r="F9830" s="2" t="s">
        <v>965</v>
      </c>
      <c r="G9830" s="1">
        <v>11.568</v>
      </c>
      <c r="H9830" s="1">
        <v>3</v>
      </c>
      <c r="I9830" s="1">
        <v>3.7595999999999998</v>
      </c>
    </row>
    <row r="9831" spans="1:9" x14ac:dyDescent="0.35">
      <c r="A9831" s="3" t="s">
        <v>3148</v>
      </c>
      <c r="B9831" s="1" t="s">
        <v>703</v>
      </c>
      <c r="C9831" s="1" t="s">
        <v>234</v>
      </c>
      <c r="D9831" s="1" t="s">
        <v>43</v>
      </c>
      <c r="E9831" s="1" t="s">
        <v>14</v>
      </c>
      <c r="F9831" s="2" t="s">
        <v>102</v>
      </c>
      <c r="G9831" s="1">
        <v>242.352</v>
      </c>
      <c r="H9831" s="1">
        <v>3</v>
      </c>
      <c r="I9831" s="1">
        <v>15.147</v>
      </c>
    </row>
    <row r="9832" spans="1:9" x14ac:dyDescent="0.35">
      <c r="A9832" s="3" t="s">
        <v>3210</v>
      </c>
      <c r="B9832" s="1" t="s">
        <v>972</v>
      </c>
      <c r="C9832" s="1" t="s">
        <v>3029</v>
      </c>
      <c r="D9832" s="1" t="s">
        <v>52</v>
      </c>
      <c r="E9832" s="1" t="s">
        <v>81</v>
      </c>
      <c r="F9832" s="2" t="s">
        <v>2211</v>
      </c>
      <c r="G9832" s="1">
        <v>319.96800000000002</v>
      </c>
      <c r="H9832" s="1">
        <v>4</v>
      </c>
      <c r="I9832" s="1">
        <v>95.990399999999994</v>
      </c>
    </row>
    <row r="9833" spans="1:9" x14ac:dyDescent="0.35">
      <c r="A9833" s="3" t="s">
        <v>3210</v>
      </c>
      <c r="B9833" s="1" t="s">
        <v>972</v>
      </c>
      <c r="C9833" s="1" t="s">
        <v>3029</v>
      </c>
      <c r="D9833" s="1" t="s">
        <v>52</v>
      </c>
      <c r="E9833" s="1" t="s">
        <v>29</v>
      </c>
      <c r="F9833" s="2" t="s">
        <v>132</v>
      </c>
      <c r="G9833" s="1">
        <v>8.6240000000000006</v>
      </c>
      <c r="H9833" s="1">
        <v>7</v>
      </c>
      <c r="I9833" s="1">
        <v>-2.5872000000000002</v>
      </c>
    </row>
    <row r="9834" spans="1:9" x14ac:dyDescent="0.35">
      <c r="A9834" s="3" t="s">
        <v>3350</v>
      </c>
      <c r="B9834" s="1" t="s">
        <v>2361</v>
      </c>
      <c r="C9834" s="1" t="s">
        <v>399</v>
      </c>
      <c r="D9834" s="1" t="s">
        <v>52</v>
      </c>
      <c r="E9834" s="1" t="s">
        <v>44</v>
      </c>
      <c r="F9834" s="2" t="s">
        <v>1769</v>
      </c>
      <c r="G9834" s="1">
        <v>3.984</v>
      </c>
      <c r="H9834" s="1">
        <v>1</v>
      </c>
      <c r="I9834" s="1">
        <v>1.4441999999999999</v>
      </c>
    </row>
    <row r="9835" spans="1:9" x14ac:dyDescent="0.35">
      <c r="A9835" s="3" t="s">
        <v>3162</v>
      </c>
      <c r="B9835" s="1" t="s">
        <v>1390</v>
      </c>
      <c r="C9835" s="1" t="s">
        <v>162</v>
      </c>
      <c r="D9835" s="1" t="s">
        <v>250</v>
      </c>
      <c r="E9835" s="1" t="s">
        <v>81</v>
      </c>
      <c r="F9835" s="2" t="s">
        <v>515</v>
      </c>
      <c r="G9835" s="1">
        <v>895.94399999999996</v>
      </c>
      <c r="H9835" s="1">
        <v>7</v>
      </c>
      <c r="I9835" s="1">
        <v>190.38810000000001</v>
      </c>
    </row>
    <row r="9836" spans="1:9" x14ac:dyDescent="0.35">
      <c r="A9836" s="3">
        <v>42653</v>
      </c>
      <c r="B9836" s="1" t="s">
        <v>2071</v>
      </c>
      <c r="C9836" s="1" t="s">
        <v>1427</v>
      </c>
      <c r="D9836" s="1" t="s">
        <v>52</v>
      </c>
      <c r="E9836" s="1" t="s">
        <v>29</v>
      </c>
      <c r="F9836" s="2" t="s">
        <v>2419</v>
      </c>
      <c r="G9836" s="1">
        <v>14</v>
      </c>
      <c r="H9836" s="1">
        <v>4</v>
      </c>
      <c r="I9836" s="1">
        <v>-6.3</v>
      </c>
    </row>
    <row r="9837" spans="1:9" x14ac:dyDescent="0.35">
      <c r="A9837" s="3">
        <v>42653</v>
      </c>
      <c r="B9837" s="1" t="s">
        <v>2071</v>
      </c>
      <c r="C9837" s="1" t="s">
        <v>1427</v>
      </c>
      <c r="D9837" s="1" t="s">
        <v>52</v>
      </c>
      <c r="E9837" s="1" t="s">
        <v>35</v>
      </c>
      <c r="F9837" s="2" t="s">
        <v>1364</v>
      </c>
      <c r="G9837" s="1">
        <v>16.391999999999999</v>
      </c>
      <c r="H9837" s="1">
        <v>2</v>
      </c>
      <c r="I9837" s="1">
        <v>-26.2272</v>
      </c>
    </row>
    <row r="9838" spans="1:9" x14ac:dyDescent="0.35">
      <c r="A9838" s="3" t="s">
        <v>3499</v>
      </c>
      <c r="B9838" s="1" t="s">
        <v>1106</v>
      </c>
      <c r="C9838" s="1" t="s">
        <v>559</v>
      </c>
      <c r="D9838" s="1" t="s">
        <v>18</v>
      </c>
      <c r="E9838" s="1" t="s">
        <v>44</v>
      </c>
      <c r="F9838" s="2" t="s">
        <v>1417</v>
      </c>
      <c r="G9838" s="1">
        <v>10.9</v>
      </c>
      <c r="H9838" s="1">
        <v>5</v>
      </c>
      <c r="I9838" s="1">
        <v>5.1230000000000002</v>
      </c>
    </row>
    <row r="9839" spans="1:9" x14ac:dyDescent="0.35">
      <c r="A9839" s="3" t="s">
        <v>3499</v>
      </c>
      <c r="B9839" s="1" t="s">
        <v>1106</v>
      </c>
      <c r="C9839" s="1" t="s">
        <v>559</v>
      </c>
      <c r="D9839" s="1" t="s">
        <v>18</v>
      </c>
      <c r="E9839" s="1" t="s">
        <v>19</v>
      </c>
      <c r="F9839" s="2" t="s">
        <v>779</v>
      </c>
      <c r="G9839" s="1">
        <v>29.6</v>
      </c>
      <c r="H9839" s="1">
        <v>2</v>
      </c>
      <c r="I9839" s="1">
        <v>14.8</v>
      </c>
    </row>
    <row r="9840" spans="1:9" x14ac:dyDescent="0.35">
      <c r="A9840" s="3" t="s">
        <v>3499</v>
      </c>
      <c r="B9840" s="1" t="s">
        <v>1106</v>
      </c>
      <c r="C9840" s="1" t="s">
        <v>559</v>
      </c>
      <c r="D9840" s="1" t="s">
        <v>18</v>
      </c>
      <c r="E9840" s="1" t="s">
        <v>19</v>
      </c>
      <c r="F9840" s="2" t="s">
        <v>1903</v>
      </c>
      <c r="G9840" s="1">
        <v>4.9800000000000004</v>
      </c>
      <c r="H9840" s="1">
        <v>1</v>
      </c>
      <c r="I9840" s="1">
        <v>2.2907999999999999</v>
      </c>
    </row>
    <row r="9841" spans="1:9" x14ac:dyDescent="0.35">
      <c r="A9841" s="3" t="s">
        <v>3499</v>
      </c>
      <c r="B9841" s="1" t="s">
        <v>1106</v>
      </c>
      <c r="C9841" s="1" t="s">
        <v>559</v>
      </c>
      <c r="D9841" s="1" t="s">
        <v>18</v>
      </c>
      <c r="E9841" s="1" t="s">
        <v>579</v>
      </c>
      <c r="F9841" s="2" t="s">
        <v>2806</v>
      </c>
      <c r="G9841" s="1">
        <v>479.976</v>
      </c>
      <c r="H9841" s="1">
        <v>3</v>
      </c>
      <c r="I9841" s="1">
        <v>161.99189999999999</v>
      </c>
    </row>
    <row r="9842" spans="1:9" x14ac:dyDescent="0.35">
      <c r="A9842" s="3" t="s">
        <v>3499</v>
      </c>
      <c r="B9842" s="1" t="s">
        <v>1106</v>
      </c>
      <c r="C9842" s="1" t="s">
        <v>559</v>
      </c>
      <c r="D9842" s="1" t="s">
        <v>18</v>
      </c>
      <c r="E9842" s="1" t="s">
        <v>33</v>
      </c>
      <c r="F9842" s="2" t="s">
        <v>2849</v>
      </c>
      <c r="G9842" s="1">
        <v>44.735999999999997</v>
      </c>
      <c r="H9842" s="1">
        <v>8</v>
      </c>
      <c r="I9842" s="1">
        <v>4.4736000000000002</v>
      </c>
    </row>
    <row r="9843" spans="1:9" x14ac:dyDescent="0.35">
      <c r="A9843" s="3" t="s">
        <v>3499</v>
      </c>
      <c r="B9843" s="1" t="s">
        <v>1106</v>
      </c>
      <c r="C9843" s="1" t="s">
        <v>559</v>
      </c>
      <c r="D9843" s="1" t="s">
        <v>18</v>
      </c>
      <c r="E9843" s="1" t="s">
        <v>31</v>
      </c>
      <c r="F9843" s="2" t="s">
        <v>1406</v>
      </c>
      <c r="G9843" s="1">
        <v>5.76</v>
      </c>
      <c r="H9843" s="1">
        <v>2</v>
      </c>
      <c r="I9843" s="1">
        <v>1.6704000000000001</v>
      </c>
    </row>
    <row r="9844" spans="1:9" x14ac:dyDescent="0.35">
      <c r="A9844" s="3" t="s">
        <v>3499</v>
      </c>
      <c r="B9844" s="1" t="s">
        <v>1106</v>
      </c>
      <c r="C9844" s="1" t="s">
        <v>559</v>
      </c>
      <c r="D9844" s="1" t="s">
        <v>18</v>
      </c>
      <c r="E9844" s="1" t="s">
        <v>14</v>
      </c>
      <c r="F9844" s="2" t="s">
        <v>1161</v>
      </c>
      <c r="G9844" s="1">
        <v>483.13600000000002</v>
      </c>
      <c r="H9844" s="1">
        <v>4</v>
      </c>
      <c r="I9844" s="1">
        <v>60.392000000000003</v>
      </c>
    </row>
    <row r="9845" spans="1:9" x14ac:dyDescent="0.35">
      <c r="A9845" s="3">
        <v>41704</v>
      </c>
      <c r="B9845" s="1" t="s">
        <v>2463</v>
      </c>
      <c r="C9845" s="1" t="s">
        <v>181</v>
      </c>
      <c r="D9845" s="1" t="s">
        <v>106</v>
      </c>
      <c r="E9845" s="1" t="s">
        <v>19</v>
      </c>
      <c r="F9845" s="2" t="s">
        <v>1903</v>
      </c>
      <c r="G9845" s="1">
        <v>15.936</v>
      </c>
      <c r="H9845" s="1">
        <v>4</v>
      </c>
      <c r="I9845" s="1">
        <v>5.1791999999999998</v>
      </c>
    </row>
    <row r="9846" spans="1:9" x14ac:dyDescent="0.35">
      <c r="A9846" s="3">
        <v>41704</v>
      </c>
      <c r="B9846" s="1" t="s">
        <v>2463</v>
      </c>
      <c r="C9846" s="1" t="s">
        <v>181</v>
      </c>
      <c r="D9846" s="1" t="s">
        <v>106</v>
      </c>
      <c r="E9846" s="1" t="s">
        <v>29</v>
      </c>
      <c r="F9846" s="2" t="s">
        <v>900</v>
      </c>
      <c r="G9846" s="1">
        <v>61.543999999999997</v>
      </c>
      <c r="H9846" s="1">
        <v>7</v>
      </c>
      <c r="I9846" s="1">
        <v>-40.003599999999999</v>
      </c>
    </row>
    <row r="9847" spans="1:9" x14ac:dyDescent="0.35">
      <c r="A9847" s="3">
        <v>41704</v>
      </c>
      <c r="B9847" s="1" t="s">
        <v>2463</v>
      </c>
      <c r="C9847" s="1" t="s">
        <v>181</v>
      </c>
      <c r="D9847" s="1" t="s">
        <v>106</v>
      </c>
      <c r="E9847" s="1" t="s">
        <v>26</v>
      </c>
      <c r="F9847" s="2" t="s">
        <v>1877</v>
      </c>
      <c r="G9847" s="1">
        <v>132.696</v>
      </c>
      <c r="H9847" s="1">
        <v>3</v>
      </c>
      <c r="I9847" s="1">
        <v>9.9521999999999995</v>
      </c>
    </row>
    <row r="9848" spans="1:9" x14ac:dyDescent="0.35">
      <c r="A9848" s="3">
        <v>42775</v>
      </c>
      <c r="B9848" s="1" t="s">
        <v>2900</v>
      </c>
      <c r="C9848" s="1" t="s">
        <v>17</v>
      </c>
      <c r="D9848" s="1" t="s">
        <v>18</v>
      </c>
      <c r="E9848" s="1" t="s">
        <v>37</v>
      </c>
      <c r="F9848" s="2" t="s">
        <v>72</v>
      </c>
      <c r="G9848" s="1">
        <v>43.1</v>
      </c>
      <c r="H9848" s="1">
        <v>5</v>
      </c>
      <c r="I9848" s="1">
        <v>11.206</v>
      </c>
    </row>
    <row r="9849" spans="1:9" x14ac:dyDescent="0.35">
      <c r="A9849" s="3">
        <v>42775</v>
      </c>
      <c r="B9849" s="1" t="s">
        <v>2900</v>
      </c>
      <c r="C9849" s="1" t="s">
        <v>17</v>
      </c>
      <c r="D9849" s="1" t="s">
        <v>18</v>
      </c>
      <c r="E9849" s="1" t="s">
        <v>29</v>
      </c>
      <c r="F9849" s="2" t="s">
        <v>1282</v>
      </c>
      <c r="G9849" s="1">
        <v>511.5</v>
      </c>
      <c r="H9849" s="1">
        <v>5</v>
      </c>
      <c r="I9849" s="1">
        <v>132.99</v>
      </c>
    </row>
    <row r="9850" spans="1:9" x14ac:dyDescent="0.35">
      <c r="A9850" s="3">
        <v>42775</v>
      </c>
      <c r="B9850" s="1" t="s">
        <v>2900</v>
      </c>
      <c r="C9850" s="1" t="s">
        <v>17</v>
      </c>
      <c r="D9850" s="1" t="s">
        <v>18</v>
      </c>
      <c r="E9850" s="1" t="s">
        <v>35</v>
      </c>
      <c r="F9850" s="2" t="s">
        <v>1370</v>
      </c>
      <c r="G9850" s="1">
        <v>147.91999999999999</v>
      </c>
      <c r="H9850" s="1">
        <v>5</v>
      </c>
      <c r="I9850" s="1">
        <v>46.225000000000001</v>
      </c>
    </row>
    <row r="9851" spans="1:9" x14ac:dyDescent="0.35">
      <c r="A9851" s="3">
        <v>41977</v>
      </c>
      <c r="B9851" s="1" t="s">
        <v>1970</v>
      </c>
      <c r="C9851" s="1" t="s">
        <v>3141</v>
      </c>
      <c r="D9851" s="1" t="s">
        <v>18</v>
      </c>
      <c r="E9851" s="1" t="s">
        <v>31</v>
      </c>
      <c r="F9851" s="2" t="s">
        <v>2615</v>
      </c>
      <c r="G9851" s="1">
        <v>39.68</v>
      </c>
      <c r="H9851" s="1">
        <v>2</v>
      </c>
      <c r="I9851" s="1">
        <v>16.268799999999999</v>
      </c>
    </row>
    <row r="9852" spans="1:9" x14ac:dyDescent="0.35">
      <c r="A9852" s="3">
        <v>42405</v>
      </c>
      <c r="B9852" s="1" t="s">
        <v>1970</v>
      </c>
      <c r="C9852" s="1" t="s">
        <v>135</v>
      </c>
      <c r="D9852" s="1" t="s">
        <v>136</v>
      </c>
      <c r="E9852" s="1" t="s">
        <v>29</v>
      </c>
      <c r="F9852" s="2" t="s">
        <v>967</v>
      </c>
      <c r="G9852" s="1">
        <v>12.56</v>
      </c>
      <c r="H9852" s="1">
        <v>2</v>
      </c>
      <c r="I9852" s="1">
        <v>4.0191999999999997</v>
      </c>
    </row>
    <row r="9853" spans="1:9" x14ac:dyDescent="0.35">
      <c r="A9853" s="3">
        <v>42405</v>
      </c>
      <c r="B9853" s="1" t="s">
        <v>1970</v>
      </c>
      <c r="C9853" s="1" t="s">
        <v>135</v>
      </c>
      <c r="D9853" s="1" t="s">
        <v>136</v>
      </c>
      <c r="E9853" s="1" t="s">
        <v>35</v>
      </c>
      <c r="F9853" s="2" t="s">
        <v>805</v>
      </c>
      <c r="G9853" s="1">
        <v>90.48</v>
      </c>
      <c r="H9853" s="1">
        <v>3</v>
      </c>
      <c r="I9853" s="1">
        <v>33.93</v>
      </c>
    </row>
    <row r="9854" spans="1:9" x14ac:dyDescent="0.35">
      <c r="A9854" s="3">
        <v>42405</v>
      </c>
      <c r="B9854" s="1" t="s">
        <v>1970</v>
      </c>
      <c r="C9854" s="1" t="s">
        <v>135</v>
      </c>
      <c r="D9854" s="1" t="s">
        <v>136</v>
      </c>
      <c r="E9854" s="1" t="s">
        <v>44</v>
      </c>
      <c r="F9854" s="2" t="s">
        <v>2017</v>
      </c>
      <c r="G9854" s="1">
        <v>13.08</v>
      </c>
      <c r="H9854" s="1">
        <v>2</v>
      </c>
      <c r="I9854" s="1">
        <v>6.0167999999999999</v>
      </c>
    </row>
    <row r="9855" spans="1:9" x14ac:dyDescent="0.35">
      <c r="A9855" s="3">
        <v>42405</v>
      </c>
      <c r="B9855" s="1" t="s">
        <v>1970</v>
      </c>
      <c r="C9855" s="1" t="s">
        <v>135</v>
      </c>
      <c r="D9855" s="1" t="s">
        <v>136</v>
      </c>
      <c r="E9855" s="1" t="s">
        <v>29</v>
      </c>
      <c r="F9855" s="2" t="s">
        <v>1047</v>
      </c>
      <c r="G9855" s="1">
        <v>214.7</v>
      </c>
      <c r="H9855" s="1">
        <v>5</v>
      </c>
      <c r="I9855" s="1">
        <v>83.733000000000004</v>
      </c>
    </row>
    <row r="9856" spans="1:9" x14ac:dyDescent="0.35">
      <c r="A9856" s="3" t="s">
        <v>3502</v>
      </c>
      <c r="B9856" s="1" t="s">
        <v>2361</v>
      </c>
      <c r="C9856" s="1" t="s">
        <v>64</v>
      </c>
      <c r="D9856" s="1" t="s">
        <v>18</v>
      </c>
      <c r="E9856" s="1" t="s">
        <v>29</v>
      </c>
      <c r="F9856" s="2" t="s">
        <v>2661</v>
      </c>
      <c r="G9856" s="1">
        <v>50.32</v>
      </c>
      <c r="H9856" s="1">
        <v>4</v>
      </c>
      <c r="I9856" s="1">
        <v>21.134399999999999</v>
      </c>
    </row>
    <row r="9857" spans="1:9" x14ac:dyDescent="0.35">
      <c r="A9857" s="3" t="s">
        <v>3502</v>
      </c>
      <c r="B9857" s="1" t="s">
        <v>2361</v>
      </c>
      <c r="C9857" s="1" t="s">
        <v>64</v>
      </c>
      <c r="D9857" s="1" t="s">
        <v>18</v>
      </c>
      <c r="E9857" s="1" t="s">
        <v>44</v>
      </c>
      <c r="F9857" s="2" t="s">
        <v>2484</v>
      </c>
      <c r="G9857" s="1">
        <v>24.56</v>
      </c>
      <c r="H9857" s="1">
        <v>2</v>
      </c>
      <c r="I9857" s="1">
        <v>11.543200000000001</v>
      </c>
    </row>
    <row r="9858" spans="1:9" x14ac:dyDescent="0.35">
      <c r="A9858" s="3">
        <v>41801</v>
      </c>
      <c r="B9858" s="1" t="s">
        <v>2361</v>
      </c>
      <c r="C9858" s="1" t="s">
        <v>249</v>
      </c>
      <c r="D9858" s="1" t="s">
        <v>604</v>
      </c>
      <c r="E9858" s="1" t="s">
        <v>44</v>
      </c>
      <c r="F9858" s="2" t="s">
        <v>145</v>
      </c>
      <c r="G9858" s="1">
        <v>43.68</v>
      </c>
      <c r="H9858" s="1">
        <v>6</v>
      </c>
      <c r="I9858" s="1">
        <v>20.9664</v>
      </c>
    </row>
    <row r="9859" spans="1:9" x14ac:dyDescent="0.35">
      <c r="A9859" s="3" t="s">
        <v>3609</v>
      </c>
      <c r="B9859" s="1" t="s">
        <v>887</v>
      </c>
      <c r="C9859" s="1" t="s">
        <v>47</v>
      </c>
      <c r="D9859" s="1" t="s">
        <v>48</v>
      </c>
      <c r="E9859" s="1" t="s">
        <v>24</v>
      </c>
      <c r="F9859" s="2" t="s">
        <v>751</v>
      </c>
      <c r="G9859" s="1">
        <v>3393.68</v>
      </c>
      <c r="H9859" s="1">
        <v>8</v>
      </c>
      <c r="I9859" s="1">
        <v>610.86239999999998</v>
      </c>
    </row>
    <row r="9860" spans="1:9" x14ac:dyDescent="0.35">
      <c r="A9860" s="3" t="s">
        <v>3512</v>
      </c>
      <c r="B9860" s="1" t="s">
        <v>1332</v>
      </c>
      <c r="C9860" s="1" t="s">
        <v>693</v>
      </c>
      <c r="D9860" s="1" t="s">
        <v>129</v>
      </c>
      <c r="E9860" s="1" t="s">
        <v>26</v>
      </c>
      <c r="F9860" s="2" t="s">
        <v>317</v>
      </c>
      <c r="G9860" s="1">
        <v>67.400000000000006</v>
      </c>
      <c r="H9860" s="1">
        <v>5</v>
      </c>
      <c r="I9860" s="1">
        <v>17.524000000000001</v>
      </c>
    </row>
    <row r="9861" spans="1:9" x14ac:dyDescent="0.35">
      <c r="A9861" s="3" t="s">
        <v>3512</v>
      </c>
      <c r="B9861" s="1" t="s">
        <v>1332</v>
      </c>
      <c r="C9861" s="1" t="s">
        <v>693</v>
      </c>
      <c r="D9861" s="1" t="s">
        <v>129</v>
      </c>
      <c r="E9861" s="1" t="s">
        <v>137</v>
      </c>
      <c r="F9861" s="2" t="s">
        <v>483</v>
      </c>
      <c r="G9861" s="1">
        <v>2.52</v>
      </c>
      <c r="H9861" s="1">
        <v>2</v>
      </c>
      <c r="I9861" s="1">
        <v>0.1008</v>
      </c>
    </row>
    <row r="9862" spans="1:9" x14ac:dyDescent="0.35">
      <c r="A9862" s="3" t="s">
        <v>3512</v>
      </c>
      <c r="B9862" s="1" t="s">
        <v>1332</v>
      </c>
      <c r="C9862" s="1" t="s">
        <v>693</v>
      </c>
      <c r="D9862" s="1" t="s">
        <v>129</v>
      </c>
      <c r="E9862" s="1" t="s">
        <v>33</v>
      </c>
      <c r="F9862" s="2" t="s">
        <v>1767</v>
      </c>
      <c r="G9862" s="1">
        <v>67.8</v>
      </c>
      <c r="H9862" s="1">
        <v>4</v>
      </c>
      <c r="I9862" s="1">
        <v>1.3560000000000001</v>
      </c>
    </row>
    <row r="9863" spans="1:9" x14ac:dyDescent="0.35">
      <c r="A9863" s="3" t="s">
        <v>3512</v>
      </c>
      <c r="B9863" s="1" t="s">
        <v>1332</v>
      </c>
      <c r="C9863" s="1" t="s">
        <v>693</v>
      </c>
      <c r="D9863" s="1" t="s">
        <v>129</v>
      </c>
      <c r="E9863" s="1" t="s">
        <v>26</v>
      </c>
      <c r="F9863" s="2" t="s">
        <v>1191</v>
      </c>
      <c r="G9863" s="1">
        <v>18.760000000000002</v>
      </c>
      <c r="H9863" s="1">
        <v>2</v>
      </c>
      <c r="I9863" s="1">
        <v>5.2527999999999997</v>
      </c>
    </row>
    <row r="9864" spans="1:9" x14ac:dyDescent="0.35">
      <c r="A9864" s="3" t="s">
        <v>3512</v>
      </c>
      <c r="B9864" s="1" t="s">
        <v>1332</v>
      </c>
      <c r="C9864" s="1" t="s">
        <v>693</v>
      </c>
      <c r="D9864" s="1" t="s">
        <v>129</v>
      </c>
      <c r="E9864" s="1" t="s">
        <v>81</v>
      </c>
      <c r="F9864" s="2" t="s">
        <v>775</v>
      </c>
      <c r="G9864" s="1">
        <v>12.12</v>
      </c>
      <c r="H9864" s="1">
        <v>4</v>
      </c>
      <c r="I9864" s="1">
        <v>2.5451999999999999</v>
      </c>
    </row>
    <row r="9865" spans="1:9" x14ac:dyDescent="0.35">
      <c r="A9865" s="3" t="s">
        <v>3512</v>
      </c>
      <c r="B9865" s="1" t="s">
        <v>1332</v>
      </c>
      <c r="C9865" s="1" t="s">
        <v>693</v>
      </c>
      <c r="D9865" s="1" t="s">
        <v>129</v>
      </c>
      <c r="E9865" s="1" t="s">
        <v>44</v>
      </c>
      <c r="F9865" s="2" t="s">
        <v>1294</v>
      </c>
      <c r="G9865" s="1">
        <v>11.34</v>
      </c>
      <c r="H9865" s="1">
        <v>1</v>
      </c>
      <c r="I9865" s="1">
        <v>5.5566000000000004</v>
      </c>
    </row>
    <row r="9866" spans="1:9" x14ac:dyDescent="0.35">
      <c r="A9866" s="3" t="s">
        <v>3512</v>
      </c>
      <c r="B9866" s="1" t="s">
        <v>1332</v>
      </c>
      <c r="C9866" s="1" t="s">
        <v>693</v>
      </c>
      <c r="D9866" s="1" t="s">
        <v>129</v>
      </c>
      <c r="E9866" s="1" t="s">
        <v>81</v>
      </c>
      <c r="F9866" s="2" t="s">
        <v>479</v>
      </c>
      <c r="G9866" s="1">
        <v>159.80000000000001</v>
      </c>
      <c r="H9866" s="1">
        <v>4</v>
      </c>
      <c r="I9866" s="1">
        <v>70.311999999999998</v>
      </c>
    </row>
    <row r="9867" spans="1:9" x14ac:dyDescent="0.35">
      <c r="A9867" s="3" t="s">
        <v>3512</v>
      </c>
      <c r="B9867" s="1" t="s">
        <v>1332</v>
      </c>
      <c r="C9867" s="1" t="s">
        <v>693</v>
      </c>
      <c r="D9867" s="1" t="s">
        <v>129</v>
      </c>
      <c r="E9867" s="1" t="s">
        <v>29</v>
      </c>
      <c r="F9867" s="2" t="s">
        <v>1965</v>
      </c>
      <c r="G9867" s="1">
        <v>18.96</v>
      </c>
      <c r="H9867" s="1">
        <v>2</v>
      </c>
      <c r="I9867" s="1">
        <v>8.532</v>
      </c>
    </row>
    <row r="9868" spans="1:9" x14ac:dyDescent="0.35">
      <c r="A9868" s="3" t="s">
        <v>3609</v>
      </c>
      <c r="B9868" s="1" t="s">
        <v>1521</v>
      </c>
      <c r="C9868" s="1" t="s">
        <v>135</v>
      </c>
      <c r="D9868" s="1" t="s">
        <v>136</v>
      </c>
      <c r="E9868" s="1" t="s">
        <v>26</v>
      </c>
      <c r="F9868" s="2" t="s">
        <v>2408</v>
      </c>
      <c r="G9868" s="1">
        <v>1085.42</v>
      </c>
      <c r="H9868" s="1">
        <v>7</v>
      </c>
      <c r="I9868" s="1">
        <v>282.20920000000001</v>
      </c>
    </row>
    <row r="9869" spans="1:9" x14ac:dyDescent="0.35">
      <c r="A9869" s="3" t="s">
        <v>3609</v>
      </c>
      <c r="B9869" s="1" t="s">
        <v>1521</v>
      </c>
      <c r="C9869" s="1" t="s">
        <v>135</v>
      </c>
      <c r="D9869" s="1" t="s">
        <v>136</v>
      </c>
      <c r="E9869" s="1" t="s">
        <v>37</v>
      </c>
      <c r="F9869" s="2" t="s">
        <v>2529</v>
      </c>
      <c r="G9869" s="1">
        <v>13.11</v>
      </c>
      <c r="H9869" s="1">
        <v>3</v>
      </c>
      <c r="I9869" s="1">
        <v>3.4085999999999999</v>
      </c>
    </row>
    <row r="9870" spans="1:9" x14ac:dyDescent="0.35">
      <c r="A9870" s="3">
        <v>41650</v>
      </c>
      <c r="B9870" s="1" t="s">
        <v>436</v>
      </c>
      <c r="C9870" s="1" t="s">
        <v>3142</v>
      </c>
      <c r="D9870" s="1" t="s">
        <v>250</v>
      </c>
      <c r="E9870" s="1" t="s">
        <v>29</v>
      </c>
      <c r="F9870" s="2" t="s">
        <v>1047</v>
      </c>
      <c r="G9870" s="1">
        <v>68.703999999999994</v>
      </c>
      <c r="H9870" s="1">
        <v>2</v>
      </c>
      <c r="I9870" s="1">
        <v>16.3172</v>
      </c>
    </row>
    <row r="9871" spans="1:9" x14ac:dyDescent="0.35">
      <c r="A9871" s="3">
        <v>41650</v>
      </c>
      <c r="B9871" s="1" t="s">
        <v>436</v>
      </c>
      <c r="C9871" s="1" t="s">
        <v>3142</v>
      </c>
      <c r="D9871" s="1" t="s">
        <v>250</v>
      </c>
      <c r="E9871" s="1" t="s">
        <v>35</v>
      </c>
      <c r="F9871" s="2" t="s">
        <v>2634</v>
      </c>
      <c r="G9871" s="1">
        <v>3.1320000000000001</v>
      </c>
      <c r="H9871" s="1">
        <v>2</v>
      </c>
      <c r="I9871" s="1">
        <v>-2.61</v>
      </c>
    </row>
    <row r="9872" spans="1:9" x14ac:dyDescent="0.35">
      <c r="A9872" s="3">
        <v>41650</v>
      </c>
      <c r="B9872" s="1" t="s">
        <v>436</v>
      </c>
      <c r="C9872" s="1" t="s">
        <v>3142</v>
      </c>
      <c r="D9872" s="1" t="s">
        <v>250</v>
      </c>
      <c r="E9872" s="1" t="s">
        <v>35</v>
      </c>
      <c r="F9872" s="2" t="s">
        <v>806</v>
      </c>
      <c r="G9872" s="1">
        <v>22.428000000000001</v>
      </c>
      <c r="H9872" s="1">
        <v>3</v>
      </c>
      <c r="I9872" s="1">
        <v>-17.942399999999999</v>
      </c>
    </row>
    <row r="9873" spans="1:9" x14ac:dyDescent="0.35">
      <c r="A9873" s="3">
        <v>42896</v>
      </c>
      <c r="B9873" s="1" t="s">
        <v>2567</v>
      </c>
      <c r="C9873" s="1" t="s">
        <v>154</v>
      </c>
      <c r="D9873" s="1" t="s">
        <v>106</v>
      </c>
      <c r="E9873" s="1" t="s">
        <v>26</v>
      </c>
      <c r="F9873" s="2" t="s">
        <v>489</v>
      </c>
      <c r="G9873" s="1">
        <v>290.33600000000001</v>
      </c>
      <c r="H9873" s="1">
        <v>2</v>
      </c>
      <c r="I9873" s="1">
        <v>32.662799999999997</v>
      </c>
    </row>
    <row r="9874" spans="1:9" x14ac:dyDescent="0.35">
      <c r="A9874" s="3">
        <v>42896</v>
      </c>
      <c r="B9874" s="1" t="s">
        <v>2567</v>
      </c>
      <c r="C9874" s="1" t="s">
        <v>154</v>
      </c>
      <c r="D9874" s="1" t="s">
        <v>106</v>
      </c>
      <c r="E9874" s="1" t="s">
        <v>31</v>
      </c>
      <c r="F9874" s="2" t="s">
        <v>1329</v>
      </c>
      <c r="G9874" s="1">
        <v>19.152000000000001</v>
      </c>
      <c r="H9874" s="1">
        <v>2</v>
      </c>
      <c r="I9874" s="1">
        <v>1.1970000000000001</v>
      </c>
    </row>
    <row r="9875" spans="1:9" x14ac:dyDescent="0.35">
      <c r="A9875" s="3">
        <v>42655</v>
      </c>
      <c r="B9875" s="1" t="s">
        <v>1303</v>
      </c>
      <c r="C9875" s="1" t="s">
        <v>135</v>
      </c>
      <c r="D9875" s="1" t="s">
        <v>136</v>
      </c>
      <c r="E9875" s="1" t="s">
        <v>44</v>
      </c>
      <c r="F9875" s="2" t="s">
        <v>2524</v>
      </c>
      <c r="G9875" s="1">
        <v>6.48</v>
      </c>
      <c r="H9875" s="1">
        <v>1</v>
      </c>
      <c r="I9875" s="1">
        <v>3.1103999999999998</v>
      </c>
    </row>
    <row r="9876" spans="1:9" x14ac:dyDescent="0.35">
      <c r="A9876" s="3" t="s">
        <v>3423</v>
      </c>
      <c r="B9876" s="1" t="s">
        <v>1688</v>
      </c>
      <c r="C9876" s="1" t="s">
        <v>1657</v>
      </c>
      <c r="D9876" s="1" t="s">
        <v>250</v>
      </c>
      <c r="E9876" s="1" t="s">
        <v>87</v>
      </c>
      <c r="F9876" s="2" t="s">
        <v>1495</v>
      </c>
      <c r="G9876" s="1">
        <v>63.968000000000004</v>
      </c>
      <c r="H9876" s="1">
        <v>2</v>
      </c>
      <c r="I9876" s="1">
        <v>19.989999999999998</v>
      </c>
    </row>
    <row r="9877" spans="1:9" x14ac:dyDescent="0.35">
      <c r="A9877" s="3" t="s">
        <v>3855</v>
      </c>
      <c r="B9877" s="1" t="s">
        <v>675</v>
      </c>
      <c r="C9877" s="1" t="s">
        <v>135</v>
      </c>
      <c r="D9877" s="1" t="s">
        <v>136</v>
      </c>
      <c r="E9877" s="1" t="s">
        <v>289</v>
      </c>
      <c r="F9877" s="2" t="s">
        <v>3109</v>
      </c>
      <c r="G9877" s="1">
        <v>6.36</v>
      </c>
      <c r="H9877" s="1">
        <v>2</v>
      </c>
      <c r="I9877" s="1">
        <v>6.3600000000000004E-2</v>
      </c>
    </row>
    <row r="9878" spans="1:9" x14ac:dyDescent="0.35">
      <c r="A9878" s="3" t="s">
        <v>3699</v>
      </c>
      <c r="B9878" s="1" t="s">
        <v>1889</v>
      </c>
      <c r="C9878" s="1" t="s">
        <v>994</v>
      </c>
      <c r="D9878" s="1" t="s">
        <v>250</v>
      </c>
      <c r="E9878" s="1" t="s">
        <v>26</v>
      </c>
      <c r="F9878" s="2" t="s">
        <v>2051</v>
      </c>
      <c r="G9878" s="1">
        <v>848.54399999999998</v>
      </c>
      <c r="H9878" s="1">
        <v>4</v>
      </c>
      <c r="I9878" s="1">
        <v>-21.2136</v>
      </c>
    </row>
    <row r="9879" spans="1:9" x14ac:dyDescent="0.35">
      <c r="A9879" s="3" t="s">
        <v>3699</v>
      </c>
      <c r="B9879" s="1" t="s">
        <v>1889</v>
      </c>
      <c r="C9879" s="1" t="s">
        <v>994</v>
      </c>
      <c r="D9879" s="1" t="s">
        <v>250</v>
      </c>
      <c r="E9879" s="1" t="s">
        <v>35</v>
      </c>
      <c r="F9879" s="2" t="s">
        <v>2420</v>
      </c>
      <c r="G9879" s="1">
        <v>8.6999999999999993</v>
      </c>
      <c r="H9879" s="1">
        <v>5</v>
      </c>
      <c r="I9879" s="1">
        <v>-6.38</v>
      </c>
    </row>
    <row r="9880" spans="1:9" x14ac:dyDescent="0.35">
      <c r="A9880" s="3" t="s">
        <v>3699</v>
      </c>
      <c r="B9880" s="1" t="s">
        <v>1889</v>
      </c>
      <c r="C9880" s="1" t="s">
        <v>994</v>
      </c>
      <c r="D9880" s="1" t="s">
        <v>250</v>
      </c>
      <c r="E9880" s="1" t="s">
        <v>33</v>
      </c>
      <c r="F9880" s="2" t="s">
        <v>2999</v>
      </c>
      <c r="G9880" s="1">
        <v>122.38200000000001</v>
      </c>
      <c r="H9880" s="1">
        <v>3</v>
      </c>
      <c r="I9880" s="1">
        <v>-24.476400000000002</v>
      </c>
    </row>
    <row r="9881" spans="1:9" x14ac:dyDescent="0.35">
      <c r="A9881" s="3" t="s">
        <v>3634</v>
      </c>
      <c r="B9881" s="1" t="s">
        <v>1029</v>
      </c>
      <c r="C9881" s="1" t="s">
        <v>135</v>
      </c>
      <c r="D9881" s="1" t="s">
        <v>136</v>
      </c>
      <c r="E9881" s="1" t="s">
        <v>14</v>
      </c>
      <c r="F9881" s="2" t="s">
        <v>1606</v>
      </c>
      <c r="G9881" s="1">
        <v>573.17399999999998</v>
      </c>
      <c r="H9881" s="1">
        <v>7</v>
      </c>
      <c r="I9881" s="1">
        <v>63.686</v>
      </c>
    </row>
    <row r="9882" spans="1:9" x14ac:dyDescent="0.35">
      <c r="A9882" s="3" t="s">
        <v>3839</v>
      </c>
      <c r="B9882" s="1" t="s">
        <v>1381</v>
      </c>
      <c r="C9882" s="1" t="s">
        <v>994</v>
      </c>
      <c r="D9882" s="1" t="s">
        <v>250</v>
      </c>
      <c r="E9882" s="1" t="s">
        <v>44</v>
      </c>
      <c r="F9882" s="2" t="s">
        <v>94</v>
      </c>
      <c r="G9882" s="1">
        <v>85.055999999999997</v>
      </c>
      <c r="H9882" s="1">
        <v>3</v>
      </c>
      <c r="I9882" s="1">
        <v>28.706399999999999</v>
      </c>
    </row>
    <row r="9883" spans="1:9" x14ac:dyDescent="0.35">
      <c r="A9883" s="3">
        <v>41981</v>
      </c>
      <c r="B9883" s="1" t="s">
        <v>1212</v>
      </c>
      <c r="C9883" s="1" t="s">
        <v>2277</v>
      </c>
      <c r="D9883" s="1" t="s">
        <v>604</v>
      </c>
      <c r="E9883" s="1" t="s">
        <v>35</v>
      </c>
      <c r="F9883" s="2" t="s">
        <v>1068</v>
      </c>
      <c r="G9883" s="1">
        <v>14.04</v>
      </c>
      <c r="H9883" s="1">
        <v>3</v>
      </c>
      <c r="I9883" s="1">
        <v>6.7392000000000003</v>
      </c>
    </row>
    <row r="9884" spans="1:9" x14ac:dyDescent="0.35">
      <c r="A9884" s="3">
        <v>41981</v>
      </c>
      <c r="B9884" s="1" t="s">
        <v>1212</v>
      </c>
      <c r="C9884" s="1" t="s">
        <v>2277</v>
      </c>
      <c r="D9884" s="1" t="s">
        <v>604</v>
      </c>
      <c r="E9884" s="1" t="s">
        <v>81</v>
      </c>
      <c r="F9884" s="2" t="s">
        <v>1537</v>
      </c>
      <c r="G9884" s="1">
        <v>272.61</v>
      </c>
      <c r="H9884" s="1">
        <v>13</v>
      </c>
      <c r="I9884" s="1">
        <v>98.139600000000002</v>
      </c>
    </row>
    <row r="9885" spans="1:9" x14ac:dyDescent="0.35">
      <c r="A9885" s="3">
        <v>41702</v>
      </c>
      <c r="B9885" s="1" t="s">
        <v>2648</v>
      </c>
      <c r="C9885" s="1" t="s">
        <v>17</v>
      </c>
      <c r="D9885" s="1" t="s">
        <v>18</v>
      </c>
      <c r="E9885" s="1" t="s">
        <v>87</v>
      </c>
      <c r="F9885" s="2" t="s">
        <v>332</v>
      </c>
      <c r="G9885" s="1">
        <v>11.16</v>
      </c>
      <c r="H9885" s="1">
        <v>2</v>
      </c>
      <c r="I9885" s="1">
        <v>5.58</v>
      </c>
    </row>
    <row r="9886" spans="1:9" x14ac:dyDescent="0.35">
      <c r="A9886" s="3">
        <v>41702</v>
      </c>
      <c r="B9886" s="1" t="s">
        <v>2648</v>
      </c>
      <c r="C9886" s="1" t="s">
        <v>17</v>
      </c>
      <c r="D9886" s="1" t="s">
        <v>18</v>
      </c>
      <c r="E9886" s="1" t="s">
        <v>81</v>
      </c>
      <c r="F9886" s="2" t="s">
        <v>1980</v>
      </c>
      <c r="G9886" s="1">
        <v>62.31</v>
      </c>
      <c r="H9886" s="1">
        <v>3</v>
      </c>
      <c r="I9886" s="1">
        <v>22.4316</v>
      </c>
    </row>
    <row r="9887" spans="1:9" x14ac:dyDescent="0.35">
      <c r="A9887" s="3">
        <v>41702</v>
      </c>
      <c r="B9887" s="1" t="s">
        <v>2648</v>
      </c>
      <c r="C9887" s="1" t="s">
        <v>17</v>
      </c>
      <c r="D9887" s="1" t="s">
        <v>18</v>
      </c>
      <c r="E9887" s="1" t="s">
        <v>81</v>
      </c>
      <c r="F9887" s="2" t="s">
        <v>1850</v>
      </c>
      <c r="G9887" s="1">
        <v>159.97999999999999</v>
      </c>
      <c r="H9887" s="1">
        <v>2</v>
      </c>
      <c r="I9887" s="1">
        <v>57.592799999999997</v>
      </c>
    </row>
    <row r="9888" spans="1:9" x14ac:dyDescent="0.35">
      <c r="A9888" s="3" t="s">
        <v>3835</v>
      </c>
      <c r="B9888" s="1" t="s">
        <v>2199</v>
      </c>
      <c r="C9888" s="1" t="s">
        <v>1799</v>
      </c>
      <c r="D9888" s="1" t="s">
        <v>129</v>
      </c>
      <c r="E9888" s="1" t="s">
        <v>137</v>
      </c>
      <c r="F9888" s="2" t="s">
        <v>884</v>
      </c>
      <c r="G9888" s="1">
        <v>5.94</v>
      </c>
      <c r="H9888" s="1">
        <v>3</v>
      </c>
      <c r="I9888" s="1">
        <v>0</v>
      </c>
    </row>
    <row r="9889" spans="1:9" x14ac:dyDescent="0.35">
      <c r="A9889" s="3">
        <v>43079</v>
      </c>
      <c r="B9889" s="1" t="s">
        <v>942</v>
      </c>
      <c r="C9889" s="1" t="s">
        <v>135</v>
      </c>
      <c r="D9889" s="1" t="s">
        <v>136</v>
      </c>
      <c r="E9889" s="1" t="s">
        <v>44</v>
      </c>
      <c r="F9889" s="2" t="s">
        <v>2031</v>
      </c>
      <c r="G9889" s="1">
        <v>9.9600000000000009</v>
      </c>
      <c r="H9889" s="1">
        <v>2</v>
      </c>
      <c r="I9889" s="1">
        <v>4.6811999999999996</v>
      </c>
    </row>
    <row r="9890" spans="1:9" x14ac:dyDescent="0.35">
      <c r="A9890" s="3">
        <v>42224</v>
      </c>
      <c r="B9890" s="1" t="s">
        <v>1309</v>
      </c>
      <c r="C9890" s="1" t="s">
        <v>2946</v>
      </c>
      <c r="D9890" s="1" t="s">
        <v>136</v>
      </c>
      <c r="E9890" s="1" t="s">
        <v>81</v>
      </c>
      <c r="F9890" s="2" t="s">
        <v>1850</v>
      </c>
      <c r="G9890" s="1">
        <v>79.989999999999995</v>
      </c>
      <c r="H9890" s="1">
        <v>1</v>
      </c>
      <c r="I9890" s="1">
        <v>28.796399999999998</v>
      </c>
    </row>
    <row r="9891" spans="1:9" x14ac:dyDescent="0.35">
      <c r="A9891" s="3" t="s">
        <v>3539</v>
      </c>
      <c r="B9891" s="1" t="s">
        <v>1773</v>
      </c>
      <c r="C9891" s="1" t="s">
        <v>536</v>
      </c>
      <c r="D9891" s="1" t="s">
        <v>388</v>
      </c>
      <c r="E9891" s="1" t="s">
        <v>31</v>
      </c>
      <c r="F9891" s="2" t="s">
        <v>2830</v>
      </c>
      <c r="G9891" s="1">
        <v>8.94</v>
      </c>
      <c r="H9891" s="1">
        <v>3</v>
      </c>
      <c r="I9891" s="1">
        <v>2.4138000000000002</v>
      </c>
    </row>
    <row r="9892" spans="1:9" x14ac:dyDescent="0.35">
      <c r="A9892" s="3" t="s">
        <v>3317</v>
      </c>
      <c r="B9892" s="1" t="s">
        <v>292</v>
      </c>
      <c r="C9892" s="1" t="s">
        <v>1147</v>
      </c>
      <c r="D9892" s="1" t="s">
        <v>57</v>
      </c>
      <c r="E9892" s="1" t="s">
        <v>44</v>
      </c>
      <c r="F9892" s="2" t="s">
        <v>2565</v>
      </c>
      <c r="G9892" s="1">
        <v>20.62</v>
      </c>
      <c r="H9892" s="1">
        <v>2</v>
      </c>
      <c r="I9892" s="1">
        <v>9.6913999999999998</v>
      </c>
    </row>
    <row r="9893" spans="1:9" x14ac:dyDescent="0.35">
      <c r="A9893" s="3" t="s">
        <v>3317</v>
      </c>
      <c r="B9893" s="1" t="s">
        <v>292</v>
      </c>
      <c r="C9893" s="1" t="s">
        <v>1147</v>
      </c>
      <c r="D9893" s="1" t="s">
        <v>57</v>
      </c>
      <c r="E9893" s="1" t="s">
        <v>81</v>
      </c>
      <c r="F9893" s="2" t="s">
        <v>1566</v>
      </c>
      <c r="G9893" s="1">
        <v>124.25</v>
      </c>
      <c r="H9893" s="1">
        <v>7</v>
      </c>
      <c r="I9893" s="1">
        <v>48.457500000000003</v>
      </c>
    </row>
    <row r="9894" spans="1:9" x14ac:dyDescent="0.35">
      <c r="A9894" s="3" t="s">
        <v>3317</v>
      </c>
      <c r="B9894" s="1" t="s">
        <v>292</v>
      </c>
      <c r="C9894" s="1" t="s">
        <v>1147</v>
      </c>
      <c r="D9894" s="1" t="s">
        <v>57</v>
      </c>
      <c r="E9894" s="1" t="s">
        <v>33</v>
      </c>
      <c r="F9894" s="2" t="s">
        <v>860</v>
      </c>
      <c r="G9894" s="1">
        <v>297.55</v>
      </c>
      <c r="H9894" s="1">
        <v>5</v>
      </c>
      <c r="I9894" s="1">
        <v>83.313999999999993</v>
      </c>
    </row>
    <row r="9895" spans="1:9" x14ac:dyDescent="0.35">
      <c r="A9895" s="3" t="s">
        <v>3317</v>
      </c>
      <c r="B9895" s="1" t="s">
        <v>292</v>
      </c>
      <c r="C9895" s="1" t="s">
        <v>1147</v>
      </c>
      <c r="D9895" s="1" t="s">
        <v>57</v>
      </c>
      <c r="E9895" s="1" t="s">
        <v>14</v>
      </c>
      <c r="F9895" s="2" t="s">
        <v>2861</v>
      </c>
      <c r="G9895" s="1">
        <v>403.56</v>
      </c>
      <c r="H9895" s="1">
        <v>4</v>
      </c>
      <c r="I9895" s="1">
        <v>96.854399999999998</v>
      </c>
    </row>
    <row r="9896" spans="1:9" x14ac:dyDescent="0.35">
      <c r="A9896" s="3" t="s">
        <v>3317</v>
      </c>
      <c r="B9896" s="1" t="s">
        <v>292</v>
      </c>
      <c r="C9896" s="1" t="s">
        <v>1147</v>
      </c>
      <c r="D9896" s="1" t="s">
        <v>57</v>
      </c>
      <c r="E9896" s="1" t="s">
        <v>29</v>
      </c>
      <c r="F9896" s="2" t="s">
        <v>545</v>
      </c>
      <c r="G9896" s="1">
        <v>95.2</v>
      </c>
      <c r="H9896" s="1">
        <v>5</v>
      </c>
      <c r="I9896" s="1">
        <v>27.608000000000001</v>
      </c>
    </row>
    <row r="9897" spans="1:9" x14ac:dyDescent="0.35">
      <c r="A9897" s="3" t="s">
        <v>3191</v>
      </c>
      <c r="B9897" s="1" t="s">
        <v>1661</v>
      </c>
      <c r="C9897" s="1" t="s">
        <v>154</v>
      </c>
      <c r="D9897" s="1" t="s">
        <v>106</v>
      </c>
      <c r="E9897" s="1" t="s">
        <v>81</v>
      </c>
      <c r="F9897" s="2" t="s">
        <v>2606</v>
      </c>
      <c r="G9897" s="1">
        <v>153.82400000000001</v>
      </c>
      <c r="H9897" s="1">
        <v>11</v>
      </c>
      <c r="I9897" s="1">
        <v>38.456000000000003</v>
      </c>
    </row>
    <row r="9898" spans="1:9" x14ac:dyDescent="0.35">
      <c r="A9898" s="3" t="s">
        <v>3714</v>
      </c>
      <c r="B9898" s="1" t="s">
        <v>892</v>
      </c>
      <c r="C9898" s="1" t="s">
        <v>154</v>
      </c>
      <c r="D9898" s="1" t="s">
        <v>106</v>
      </c>
      <c r="E9898" s="1" t="s">
        <v>44</v>
      </c>
      <c r="F9898" s="2" t="s">
        <v>2778</v>
      </c>
      <c r="G9898" s="1">
        <v>62.015999999999998</v>
      </c>
      <c r="H9898" s="1">
        <v>2</v>
      </c>
      <c r="I9898" s="1">
        <v>22.480799999999999</v>
      </c>
    </row>
    <row r="9899" spans="1:9" x14ac:dyDescent="0.35">
      <c r="A9899" s="3">
        <v>42527</v>
      </c>
      <c r="B9899" s="1" t="s">
        <v>1570</v>
      </c>
      <c r="C9899" s="1" t="s">
        <v>367</v>
      </c>
      <c r="D9899" s="1" t="s">
        <v>250</v>
      </c>
      <c r="E9899" s="1" t="s">
        <v>29</v>
      </c>
      <c r="F9899" s="2" t="s">
        <v>1099</v>
      </c>
      <c r="G9899" s="1">
        <v>466.32</v>
      </c>
      <c r="H9899" s="1">
        <v>3</v>
      </c>
      <c r="I9899" s="1">
        <v>34.973999999999997</v>
      </c>
    </row>
    <row r="9900" spans="1:9" x14ac:dyDescent="0.35">
      <c r="A9900" s="3">
        <v>42527</v>
      </c>
      <c r="B9900" s="1" t="s">
        <v>1570</v>
      </c>
      <c r="C9900" s="1" t="s">
        <v>367</v>
      </c>
      <c r="D9900" s="1" t="s">
        <v>250</v>
      </c>
      <c r="E9900" s="1" t="s">
        <v>29</v>
      </c>
      <c r="F9900" s="2" t="s">
        <v>2837</v>
      </c>
      <c r="G9900" s="1">
        <v>82.64</v>
      </c>
      <c r="H9900" s="1">
        <v>2</v>
      </c>
      <c r="I9900" s="1">
        <v>0</v>
      </c>
    </row>
    <row r="9901" spans="1:9" x14ac:dyDescent="0.35">
      <c r="A9901" s="3" t="s">
        <v>3797</v>
      </c>
      <c r="B9901" s="1" t="s">
        <v>1733</v>
      </c>
      <c r="C9901" s="1" t="s">
        <v>162</v>
      </c>
      <c r="D9901" s="1" t="s">
        <v>250</v>
      </c>
      <c r="E9901" s="1" t="s">
        <v>24</v>
      </c>
      <c r="F9901" s="2" t="s">
        <v>1050</v>
      </c>
      <c r="G9901" s="1">
        <v>330.58800000000002</v>
      </c>
      <c r="H9901" s="1">
        <v>1</v>
      </c>
      <c r="I9901" s="1">
        <v>-143.25479999999999</v>
      </c>
    </row>
    <row r="9902" spans="1:9" x14ac:dyDescent="0.35">
      <c r="A9902" s="3" t="s">
        <v>3374</v>
      </c>
      <c r="B9902" s="1" t="s">
        <v>3126</v>
      </c>
      <c r="C9902" s="1" t="s">
        <v>697</v>
      </c>
      <c r="D9902" s="1" t="s">
        <v>229</v>
      </c>
      <c r="E9902" s="1" t="s">
        <v>26</v>
      </c>
      <c r="F9902" s="2" t="s">
        <v>1051</v>
      </c>
      <c r="G9902" s="1">
        <v>237.096</v>
      </c>
      <c r="H9902" s="1">
        <v>3</v>
      </c>
      <c r="I9902" s="1">
        <v>20.745899999999999</v>
      </c>
    </row>
    <row r="9903" spans="1:9" x14ac:dyDescent="0.35">
      <c r="A9903" s="3" t="s">
        <v>3374</v>
      </c>
      <c r="B9903" s="1" t="s">
        <v>3126</v>
      </c>
      <c r="C9903" s="1" t="s">
        <v>697</v>
      </c>
      <c r="D9903" s="1" t="s">
        <v>229</v>
      </c>
      <c r="E9903" s="1" t="s">
        <v>29</v>
      </c>
      <c r="F9903" s="2" t="s">
        <v>1965</v>
      </c>
      <c r="G9903" s="1">
        <v>22.751999999999999</v>
      </c>
      <c r="H9903" s="1">
        <v>3</v>
      </c>
      <c r="I9903" s="1">
        <v>7.11</v>
      </c>
    </row>
    <row r="9904" spans="1:9" x14ac:dyDescent="0.35">
      <c r="A9904" s="3" t="s">
        <v>3374</v>
      </c>
      <c r="B9904" s="1" t="s">
        <v>3126</v>
      </c>
      <c r="C9904" s="1" t="s">
        <v>697</v>
      </c>
      <c r="D9904" s="1" t="s">
        <v>229</v>
      </c>
      <c r="E9904" s="1" t="s">
        <v>44</v>
      </c>
      <c r="F9904" s="2" t="s">
        <v>315</v>
      </c>
      <c r="G9904" s="1">
        <v>6.6719999999999997</v>
      </c>
      <c r="H9904" s="1">
        <v>1</v>
      </c>
      <c r="I9904" s="1">
        <v>2.085</v>
      </c>
    </row>
    <row r="9905" spans="1:9" x14ac:dyDescent="0.35">
      <c r="A9905" s="3">
        <v>41984</v>
      </c>
      <c r="B9905" s="1" t="s">
        <v>127</v>
      </c>
      <c r="C9905" s="1" t="s">
        <v>1779</v>
      </c>
      <c r="D9905" s="1" t="s">
        <v>52</v>
      </c>
      <c r="E9905" s="1" t="s">
        <v>29</v>
      </c>
      <c r="F9905" s="2" t="s">
        <v>2280</v>
      </c>
      <c r="G9905" s="1">
        <v>25.128</v>
      </c>
      <c r="H9905" s="1">
        <v>3</v>
      </c>
      <c r="I9905" s="1">
        <v>-6.9101999999999997</v>
      </c>
    </row>
    <row r="9906" spans="1:9" x14ac:dyDescent="0.35">
      <c r="A9906" s="3">
        <v>41984</v>
      </c>
      <c r="B9906" s="1" t="s">
        <v>127</v>
      </c>
      <c r="C9906" s="1" t="s">
        <v>1779</v>
      </c>
      <c r="D9906" s="1" t="s">
        <v>52</v>
      </c>
      <c r="E9906" s="1" t="s">
        <v>81</v>
      </c>
      <c r="F9906" s="2" t="s">
        <v>777</v>
      </c>
      <c r="G9906" s="1">
        <v>127.98399999999999</v>
      </c>
      <c r="H9906" s="1">
        <v>2</v>
      </c>
      <c r="I9906" s="1">
        <v>25.596800000000002</v>
      </c>
    </row>
    <row r="9907" spans="1:9" x14ac:dyDescent="0.35">
      <c r="A9907" s="3" t="s">
        <v>3620</v>
      </c>
      <c r="B9907" s="1" t="s">
        <v>2263</v>
      </c>
      <c r="C9907" s="1" t="s">
        <v>871</v>
      </c>
      <c r="D9907" s="1" t="s">
        <v>18</v>
      </c>
      <c r="E9907" s="1" t="s">
        <v>29</v>
      </c>
      <c r="F9907" s="2" t="s">
        <v>1928</v>
      </c>
      <c r="G9907" s="1">
        <v>131.88</v>
      </c>
      <c r="H9907" s="1">
        <v>7</v>
      </c>
      <c r="I9907" s="1">
        <v>55.389600000000002</v>
      </c>
    </row>
    <row r="9908" spans="1:9" x14ac:dyDescent="0.35">
      <c r="A9908" s="3" t="s">
        <v>3620</v>
      </c>
      <c r="B9908" s="1" t="s">
        <v>2263</v>
      </c>
      <c r="C9908" s="1" t="s">
        <v>871</v>
      </c>
      <c r="D9908" s="1" t="s">
        <v>18</v>
      </c>
      <c r="E9908" s="1" t="s">
        <v>35</v>
      </c>
      <c r="F9908" s="2" t="s">
        <v>1876</v>
      </c>
      <c r="G9908" s="1">
        <v>25.032</v>
      </c>
      <c r="H9908" s="1">
        <v>3</v>
      </c>
      <c r="I9908" s="1">
        <v>7.8224999999999998</v>
      </c>
    </row>
    <row r="9909" spans="1:9" x14ac:dyDescent="0.35">
      <c r="A9909" s="3" t="s">
        <v>3620</v>
      </c>
      <c r="B9909" s="1" t="s">
        <v>2263</v>
      </c>
      <c r="C9909" s="1" t="s">
        <v>871</v>
      </c>
      <c r="D9909" s="1" t="s">
        <v>18</v>
      </c>
      <c r="E9909" s="1" t="s">
        <v>14</v>
      </c>
      <c r="F9909" s="2" t="s">
        <v>1959</v>
      </c>
      <c r="G9909" s="1">
        <v>717.72</v>
      </c>
      <c r="H9909" s="1">
        <v>3</v>
      </c>
      <c r="I9909" s="1">
        <v>71.772000000000006</v>
      </c>
    </row>
    <row r="9910" spans="1:9" x14ac:dyDescent="0.35">
      <c r="A9910" s="3" t="s">
        <v>3620</v>
      </c>
      <c r="B9910" s="1" t="s">
        <v>2263</v>
      </c>
      <c r="C9910" s="1" t="s">
        <v>871</v>
      </c>
      <c r="D9910" s="1" t="s">
        <v>18</v>
      </c>
      <c r="E9910" s="1" t="s">
        <v>29</v>
      </c>
      <c r="F9910" s="2" t="s">
        <v>2469</v>
      </c>
      <c r="G9910" s="1">
        <v>207.35</v>
      </c>
      <c r="H9910" s="1">
        <v>5</v>
      </c>
      <c r="I9910" s="1">
        <v>24.882000000000001</v>
      </c>
    </row>
    <row r="9911" spans="1:9" x14ac:dyDescent="0.35">
      <c r="A9911" s="3" t="s">
        <v>3620</v>
      </c>
      <c r="B9911" s="1" t="s">
        <v>2263</v>
      </c>
      <c r="C9911" s="1" t="s">
        <v>871</v>
      </c>
      <c r="D9911" s="1" t="s">
        <v>18</v>
      </c>
      <c r="E9911" s="1" t="s">
        <v>29</v>
      </c>
      <c r="F9911" s="2" t="s">
        <v>1588</v>
      </c>
      <c r="G9911" s="1">
        <v>44.67</v>
      </c>
      <c r="H9911" s="1">
        <v>3</v>
      </c>
      <c r="I9911" s="1">
        <v>12.0609</v>
      </c>
    </row>
    <row r="9912" spans="1:9" x14ac:dyDescent="0.35">
      <c r="A9912" s="3" t="s">
        <v>3620</v>
      </c>
      <c r="B9912" s="1" t="s">
        <v>2263</v>
      </c>
      <c r="C9912" s="1" t="s">
        <v>871</v>
      </c>
      <c r="D9912" s="1" t="s">
        <v>18</v>
      </c>
      <c r="E9912" s="1" t="s">
        <v>44</v>
      </c>
      <c r="F9912" s="2" t="s">
        <v>1541</v>
      </c>
      <c r="G9912" s="1">
        <v>209.7</v>
      </c>
      <c r="H9912" s="1">
        <v>2</v>
      </c>
      <c r="I9912" s="1">
        <v>100.65600000000001</v>
      </c>
    </row>
    <row r="9913" spans="1:9" x14ac:dyDescent="0.35">
      <c r="A9913" s="3">
        <v>41763</v>
      </c>
      <c r="B9913" s="1" t="s">
        <v>1883</v>
      </c>
      <c r="C9913" s="1" t="s">
        <v>693</v>
      </c>
      <c r="D9913" s="1" t="s">
        <v>11</v>
      </c>
      <c r="E9913" s="1" t="s">
        <v>35</v>
      </c>
      <c r="F9913" s="2" t="s">
        <v>209</v>
      </c>
      <c r="G9913" s="1">
        <v>115.36</v>
      </c>
      <c r="H9913" s="1">
        <v>7</v>
      </c>
      <c r="I9913" s="1">
        <v>56.526400000000002</v>
      </c>
    </row>
    <row r="9914" spans="1:9" x14ac:dyDescent="0.35">
      <c r="A9914" s="3">
        <v>42287</v>
      </c>
      <c r="B9914" s="1" t="s">
        <v>1686</v>
      </c>
      <c r="C9914" s="1" t="s">
        <v>2912</v>
      </c>
      <c r="D9914" s="1" t="s">
        <v>18</v>
      </c>
      <c r="E9914" s="1" t="s">
        <v>14</v>
      </c>
      <c r="F9914" s="2" t="s">
        <v>2186</v>
      </c>
      <c r="G9914" s="1">
        <v>362.13600000000002</v>
      </c>
      <c r="H9914" s="1">
        <v>3</v>
      </c>
      <c r="I9914" s="1">
        <v>-54.320399999999999</v>
      </c>
    </row>
    <row r="9915" spans="1:9" x14ac:dyDescent="0.35">
      <c r="A9915" s="3">
        <v>42287</v>
      </c>
      <c r="B9915" s="1" t="s">
        <v>1686</v>
      </c>
      <c r="C9915" s="1" t="s">
        <v>2912</v>
      </c>
      <c r="D9915" s="1" t="s">
        <v>18</v>
      </c>
      <c r="E9915" s="1" t="s">
        <v>19</v>
      </c>
      <c r="F9915" s="2" t="s">
        <v>2758</v>
      </c>
      <c r="G9915" s="1">
        <v>31.05</v>
      </c>
      <c r="H9915" s="1">
        <v>3</v>
      </c>
      <c r="I9915" s="1">
        <v>14.904</v>
      </c>
    </row>
    <row r="9916" spans="1:9" x14ac:dyDescent="0.35">
      <c r="A9916" s="3" t="s">
        <v>3470</v>
      </c>
      <c r="B9916" s="1" t="s">
        <v>2205</v>
      </c>
      <c r="C9916" s="1" t="s">
        <v>2114</v>
      </c>
      <c r="D9916" s="1" t="s">
        <v>245</v>
      </c>
      <c r="E9916" s="1" t="s">
        <v>44</v>
      </c>
      <c r="F9916" s="2" t="s">
        <v>2432</v>
      </c>
      <c r="G9916" s="1">
        <v>12.96</v>
      </c>
      <c r="H9916" s="1">
        <v>2</v>
      </c>
      <c r="I9916" s="1">
        <v>6.2207999999999997</v>
      </c>
    </row>
    <row r="9917" spans="1:9" x14ac:dyDescent="0.35">
      <c r="A9917" s="3" t="s">
        <v>3470</v>
      </c>
      <c r="B9917" s="1" t="s">
        <v>2205</v>
      </c>
      <c r="C9917" s="1" t="s">
        <v>2114</v>
      </c>
      <c r="D9917" s="1" t="s">
        <v>245</v>
      </c>
      <c r="E9917" s="1" t="s">
        <v>44</v>
      </c>
      <c r="F9917" s="2" t="s">
        <v>1126</v>
      </c>
      <c r="G9917" s="1">
        <v>94.85</v>
      </c>
      <c r="H9917" s="1">
        <v>5</v>
      </c>
      <c r="I9917" s="1">
        <v>45.527999999999999</v>
      </c>
    </row>
    <row r="9918" spans="1:9" x14ac:dyDescent="0.35">
      <c r="A9918" s="3" t="s">
        <v>3470</v>
      </c>
      <c r="B9918" s="1" t="s">
        <v>2205</v>
      </c>
      <c r="C9918" s="1" t="s">
        <v>2114</v>
      </c>
      <c r="D9918" s="1" t="s">
        <v>245</v>
      </c>
      <c r="E9918" s="1" t="s">
        <v>26</v>
      </c>
      <c r="F9918" s="2" t="s">
        <v>317</v>
      </c>
      <c r="G9918" s="1">
        <v>13.48</v>
      </c>
      <c r="H9918" s="1">
        <v>1</v>
      </c>
      <c r="I9918" s="1">
        <v>3.5047999999999999</v>
      </c>
    </row>
    <row r="9919" spans="1:9" x14ac:dyDescent="0.35">
      <c r="A9919" s="3" t="s">
        <v>3470</v>
      </c>
      <c r="B9919" s="1" t="s">
        <v>2205</v>
      </c>
      <c r="C9919" s="1" t="s">
        <v>2114</v>
      </c>
      <c r="D9919" s="1" t="s">
        <v>245</v>
      </c>
      <c r="E9919" s="1" t="s">
        <v>29</v>
      </c>
      <c r="F9919" s="2" t="s">
        <v>939</v>
      </c>
      <c r="G9919" s="1">
        <v>14.91</v>
      </c>
      <c r="H9919" s="1">
        <v>3</v>
      </c>
      <c r="I9919" s="1">
        <v>4.6220999999999997</v>
      </c>
    </row>
    <row r="9920" spans="1:9" x14ac:dyDescent="0.35">
      <c r="A9920" s="3" t="s">
        <v>3392</v>
      </c>
      <c r="B9920" s="1" t="s">
        <v>1586</v>
      </c>
      <c r="C9920" s="1" t="s">
        <v>135</v>
      </c>
      <c r="D9920" s="1" t="s">
        <v>136</v>
      </c>
      <c r="E9920" s="1" t="s">
        <v>87</v>
      </c>
      <c r="F9920" s="2" t="s">
        <v>1495</v>
      </c>
      <c r="G9920" s="1">
        <v>39.979999999999997</v>
      </c>
      <c r="H9920" s="1">
        <v>1</v>
      </c>
      <c r="I9920" s="1">
        <v>17.991</v>
      </c>
    </row>
    <row r="9921" spans="1:9" x14ac:dyDescent="0.35">
      <c r="A9921" s="3" t="s">
        <v>3785</v>
      </c>
      <c r="B9921" s="1" t="s">
        <v>1774</v>
      </c>
      <c r="C9921" s="1" t="s">
        <v>3119</v>
      </c>
      <c r="D9921" s="1" t="s">
        <v>52</v>
      </c>
      <c r="E9921" s="1" t="s">
        <v>14</v>
      </c>
      <c r="F9921" s="2" t="s">
        <v>195</v>
      </c>
      <c r="G9921" s="1">
        <v>528.42999999999995</v>
      </c>
      <c r="H9921" s="1">
        <v>5</v>
      </c>
      <c r="I9921" s="1">
        <v>-143.43100000000001</v>
      </c>
    </row>
    <row r="9922" spans="1:9" x14ac:dyDescent="0.35">
      <c r="A9922" s="3" t="s">
        <v>3785</v>
      </c>
      <c r="B9922" s="1" t="s">
        <v>1774</v>
      </c>
      <c r="C9922" s="1" t="s">
        <v>3119</v>
      </c>
      <c r="D9922" s="1" t="s">
        <v>52</v>
      </c>
      <c r="E9922" s="1" t="s">
        <v>35</v>
      </c>
      <c r="F9922" s="2" t="s">
        <v>2317</v>
      </c>
      <c r="G9922" s="1">
        <v>22.385999999999999</v>
      </c>
      <c r="H9922" s="1">
        <v>7</v>
      </c>
      <c r="I9922" s="1">
        <v>-35.817599999999999</v>
      </c>
    </row>
    <row r="9923" spans="1:9" x14ac:dyDescent="0.35">
      <c r="A9923" s="3" t="s">
        <v>3459</v>
      </c>
      <c r="B9923" s="1" t="s">
        <v>1461</v>
      </c>
      <c r="C9923" s="1" t="s">
        <v>392</v>
      </c>
      <c r="D9923" s="1" t="s">
        <v>250</v>
      </c>
      <c r="E9923" s="1" t="s">
        <v>35</v>
      </c>
      <c r="F9923" s="2" t="s">
        <v>1435</v>
      </c>
      <c r="G9923" s="1">
        <v>5.742</v>
      </c>
      <c r="H9923" s="1">
        <v>3</v>
      </c>
      <c r="I9923" s="1">
        <v>-4.5936000000000003</v>
      </c>
    </row>
    <row r="9924" spans="1:9" x14ac:dyDescent="0.35">
      <c r="A9924" s="3">
        <v>42891</v>
      </c>
      <c r="B9924" s="1" t="s">
        <v>883</v>
      </c>
      <c r="C9924" s="1" t="s">
        <v>154</v>
      </c>
      <c r="D9924" s="1" t="s">
        <v>106</v>
      </c>
      <c r="E9924" s="1" t="s">
        <v>81</v>
      </c>
      <c r="F9924" s="2" t="s">
        <v>1478</v>
      </c>
      <c r="G9924" s="1">
        <v>191.96799999999999</v>
      </c>
      <c r="H9924" s="1">
        <v>4</v>
      </c>
      <c r="I9924" s="1">
        <v>28.795200000000001</v>
      </c>
    </row>
    <row r="9925" spans="1:9" x14ac:dyDescent="0.35">
      <c r="A9925" s="3" t="s">
        <v>3601</v>
      </c>
      <c r="B9925" s="1" t="s">
        <v>2555</v>
      </c>
      <c r="C9925" s="1" t="s">
        <v>135</v>
      </c>
      <c r="D9925" s="1" t="s">
        <v>136</v>
      </c>
      <c r="E9925" s="1" t="s">
        <v>35</v>
      </c>
      <c r="F9925" s="2" t="s">
        <v>656</v>
      </c>
      <c r="G9925" s="1">
        <v>49.847999999999999</v>
      </c>
      <c r="H9925" s="1">
        <v>3</v>
      </c>
      <c r="I9925" s="1">
        <v>16.823699999999999</v>
      </c>
    </row>
    <row r="9926" spans="1:9" x14ac:dyDescent="0.35">
      <c r="A9926" s="3" t="s">
        <v>3601</v>
      </c>
      <c r="B9926" s="1" t="s">
        <v>2555</v>
      </c>
      <c r="C9926" s="1" t="s">
        <v>135</v>
      </c>
      <c r="D9926" s="1" t="s">
        <v>136</v>
      </c>
      <c r="E9926" s="1" t="s">
        <v>87</v>
      </c>
      <c r="F9926" s="2" t="s">
        <v>487</v>
      </c>
      <c r="G9926" s="1">
        <v>23.99</v>
      </c>
      <c r="H9926" s="1">
        <v>1</v>
      </c>
      <c r="I9926" s="1">
        <v>11.994999999999999</v>
      </c>
    </row>
    <row r="9927" spans="1:9" x14ac:dyDescent="0.35">
      <c r="A9927" s="3" t="s">
        <v>3601</v>
      </c>
      <c r="B9927" s="1" t="s">
        <v>2555</v>
      </c>
      <c r="C9927" s="1" t="s">
        <v>135</v>
      </c>
      <c r="D9927" s="1" t="s">
        <v>136</v>
      </c>
      <c r="E9927" s="1" t="s">
        <v>35</v>
      </c>
      <c r="F9927" s="2" t="s">
        <v>49</v>
      </c>
      <c r="G9927" s="1">
        <v>1087.9359999999999</v>
      </c>
      <c r="H9927" s="1">
        <v>8</v>
      </c>
      <c r="I9927" s="1">
        <v>353.57920000000001</v>
      </c>
    </row>
    <row r="9928" spans="1:9" x14ac:dyDescent="0.35">
      <c r="A9928" s="3" t="s">
        <v>3601</v>
      </c>
      <c r="B9928" s="1" t="s">
        <v>2555</v>
      </c>
      <c r="C9928" s="1" t="s">
        <v>135</v>
      </c>
      <c r="D9928" s="1" t="s">
        <v>136</v>
      </c>
      <c r="E9928" s="1" t="s">
        <v>33</v>
      </c>
      <c r="F9928" s="2" t="s">
        <v>1623</v>
      </c>
      <c r="G9928" s="1">
        <v>199.98</v>
      </c>
      <c r="H9928" s="1">
        <v>2</v>
      </c>
      <c r="I9928" s="1">
        <v>53.994599999999998</v>
      </c>
    </row>
    <row r="9929" spans="1:9" x14ac:dyDescent="0.35">
      <c r="A9929" s="3" t="s">
        <v>3601</v>
      </c>
      <c r="B9929" s="1" t="s">
        <v>2555</v>
      </c>
      <c r="C9929" s="1" t="s">
        <v>135</v>
      </c>
      <c r="D9929" s="1" t="s">
        <v>136</v>
      </c>
      <c r="E9929" s="1" t="s">
        <v>26</v>
      </c>
      <c r="F9929" s="2" t="s">
        <v>2021</v>
      </c>
      <c r="G9929" s="1">
        <v>83.92</v>
      </c>
      <c r="H9929" s="1">
        <v>4</v>
      </c>
      <c r="I9929" s="1">
        <v>20.140799999999999</v>
      </c>
    </row>
    <row r="9930" spans="1:9" x14ac:dyDescent="0.35">
      <c r="A9930" s="3">
        <v>42469</v>
      </c>
      <c r="B9930" s="1" t="s">
        <v>3023</v>
      </c>
      <c r="C9930" s="1" t="s">
        <v>64</v>
      </c>
      <c r="D9930" s="1" t="s">
        <v>18</v>
      </c>
      <c r="E9930" s="1" t="s">
        <v>29</v>
      </c>
      <c r="F9930" s="2" t="s">
        <v>177</v>
      </c>
      <c r="G9930" s="1">
        <v>24.27</v>
      </c>
      <c r="H9930" s="1">
        <v>3</v>
      </c>
      <c r="I9930" s="1">
        <v>8.7371999999999996</v>
      </c>
    </row>
    <row r="9931" spans="1:9" x14ac:dyDescent="0.35">
      <c r="A9931" s="3">
        <v>42469</v>
      </c>
      <c r="B9931" s="1" t="s">
        <v>3023</v>
      </c>
      <c r="C9931" s="1" t="s">
        <v>64</v>
      </c>
      <c r="D9931" s="1" t="s">
        <v>18</v>
      </c>
      <c r="E9931" s="1" t="s">
        <v>579</v>
      </c>
      <c r="F9931" s="2" t="s">
        <v>2146</v>
      </c>
      <c r="G9931" s="1">
        <v>2799.96</v>
      </c>
      <c r="H9931" s="1">
        <v>5</v>
      </c>
      <c r="I9931" s="1">
        <v>944.98649999999998</v>
      </c>
    </row>
    <row r="9932" spans="1:9" x14ac:dyDescent="0.35">
      <c r="A9932" s="3" t="s">
        <v>3171</v>
      </c>
      <c r="B9932" s="1" t="s">
        <v>677</v>
      </c>
      <c r="C9932" s="1" t="s">
        <v>2018</v>
      </c>
      <c r="D9932" s="1" t="s">
        <v>18</v>
      </c>
      <c r="E9932" s="1" t="s">
        <v>35</v>
      </c>
      <c r="F9932" s="2" t="s">
        <v>2476</v>
      </c>
      <c r="G9932" s="1">
        <v>9.8719999999999999</v>
      </c>
      <c r="H9932" s="1">
        <v>2</v>
      </c>
      <c r="I9932" s="1">
        <v>3.4552</v>
      </c>
    </row>
    <row r="9933" spans="1:9" x14ac:dyDescent="0.35">
      <c r="A9933" s="3" t="s">
        <v>3171</v>
      </c>
      <c r="B9933" s="1" t="s">
        <v>677</v>
      </c>
      <c r="C9933" s="1" t="s">
        <v>2018</v>
      </c>
      <c r="D9933" s="1" t="s">
        <v>18</v>
      </c>
      <c r="E9933" s="1" t="s">
        <v>12</v>
      </c>
      <c r="F9933" s="2" t="s">
        <v>2271</v>
      </c>
      <c r="G9933" s="1">
        <v>683.33199999999999</v>
      </c>
      <c r="H9933" s="1">
        <v>4</v>
      </c>
      <c r="I9933" s="1">
        <v>-40.195999999999998</v>
      </c>
    </row>
    <row r="9934" spans="1:9" x14ac:dyDescent="0.35">
      <c r="A9934" s="3" t="s">
        <v>3171</v>
      </c>
      <c r="B9934" s="1" t="s">
        <v>677</v>
      </c>
      <c r="C9934" s="1" t="s">
        <v>2018</v>
      </c>
      <c r="D9934" s="1" t="s">
        <v>18</v>
      </c>
      <c r="E9934" s="1" t="s">
        <v>44</v>
      </c>
      <c r="F9934" s="2" t="s">
        <v>2552</v>
      </c>
      <c r="G9934" s="1">
        <v>29.96</v>
      </c>
      <c r="H9934" s="1">
        <v>7</v>
      </c>
      <c r="I9934" s="1">
        <v>13.481999999999999</v>
      </c>
    </row>
    <row r="9935" spans="1:9" x14ac:dyDescent="0.35">
      <c r="A9935" s="3">
        <v>41950</v>
      </c>
      <c r="B9935" s="1" t="s">
        <v>1845</v>
      </c>
      <c r="C9935" s="1" t="s">
        <v>1689</v>
      </c>
      <c r="D9935" s="1" t="s">
        <v>136</v>
      </c>
      <c r="E9935" s="1" t="s">
        <v>33</v>
      </c>
      <c r="F9935" s="2" t="s">
        <v>2518</v>
      </c>
      <c r="G9935" s="1">
        <v>164.85</v>
      </c>
      <c r="H9935" s="1">
        <v>3</v>
      </c>
      <c r="I9935" s="1">
        <v>47.8065</v>
      </c>
    </row>
    <row r="9936" spans="1:9" x14ac:dyDescent="0.35">
      <c r="A9936" s="3">
        <v>42555</v>
      </c>
      <c r="B9936" s="1" t="s">
        <v>924</v>
      </c>
      <c r="C9936" s="1" t="s">
        <v>74</v>
      </c>
      <c r="D9936" s="1" t="s">
        <v>75</v>
      </c>
      <c r="E9936" s="1" t="s">
        <v>37</v>
      </c>
      <c r="F9936" s="2" t="s">
        <v>3030</v>
      </c>
      <c r="G9936" s="1">
        <v>33.527999999999999</v>
      </c>
      <c r="H9936" s="1">
        <v>3</v>
      </c>
      <c r="I9936" s="1">
        <v>2.5146000000000002</v>
      </c>
    </row>
    <row r="9937" spans="1:9" x14ac:dyDescent="0.35">
      <c r="A9937" s="3">
        <v>42555</v>
      </c>
      <c r="B9937" s="1" t="s">
        <v>924</v>
      </c>
      <c r="C9937" s="1" t="s">
        <v>74</v>
      </c>
      <c r="D9937" s="1" t="s">
        <v>75</v>
      </c>
      <c r="E9937" s="1" t="s">
        <v>26</v>
      </c>
      <c r="F9937" s="2" t="s">
        <v>3143</v>
      </c>
      <c r="G9937" s="1">
        <v>36.744</v>
      </c>
      <c r="H9937" s="1">
        <v>3</v>
      </c>
      <c r="I9937" s="1">
        <v>3.6743999999999999</v>
      </c>
    </row>
    <row r="9938" spans="1:9" x14ac:dyDescent="0.35">
      <c r="A9938" s="3" t="s">
        <v>3493</v>
      </c>
      <c r="B9938" s="1" t="s">
        <v>2246</v>
      </c>
      <c r="C9938" s="1" t="s">
        <v>2725</v>
      </c>
      <c r="D9938" s="1" t="s">
        <v>663</v>
      </c>
      <c r="E9938" s="1" t="s">
        <v>35</v>
      </c>
      <c r="F9938" s="2" t="s">
        <v>309</v>
      </c>
      <c r="G9938" s="1">
        <v>102.93</v>
      </c>
      <c r="H9938" s="1">
        <v>3</v>
      </c>
      <c r="I9938" s="1">
        <v>48.377099999999999</v>
      </c>
    </row>
    <row r="9939" spans="1:9" x14ac:dyDescent="0.35">
      <c r="A9939" s="3">
        <v>42435</v>
      </c>
      <c r="B9939" s="1" t="s">
        <v>1088</v>
      </c>
      <c r="C9939" s="1" t="s">
        <v>17</v>
      </c>
      <c r="D9939" s="1" t="s">
        <v>18</v>
      </c>
      <c r="E9939" s="1" t="s">
        <v>24</v>
      </c>
      <c r="F9939" s="2" t="s">
        <v>1634</v>
      </c>
      <c r="G9939" s="1">
        <v>71.087999999999994</v>
      </c>
      <c r="H9939" s="1">
        <v>2</v>
      </c>
      <c r="I9939" s="1">
        <v>-1.7771999999999999</v>
      </c>
    </row>
    <row r="9940" spans="1:9" x14ac:dyDescent="0.35">
      <c r="A9940" s="3">
        <v>42716</v>
      </c>
      <c r="B9940" s="1" t="s">
        <v>1351</v>
      </c>
      <c r="C9940" s="1" t="s">
        <v>135</v>
      </c>
      <c r="D9940" s="1" t="s">
        <v>136</v>
      </c>
      <c r="E9940" s="1" t="s">
        <v>29</v>
      </c>
      <c r="F9940" s="2" t="s">
        <v>2884</v>
      </c>
      <c r="G9940" s="1">
        <v>60.35</v>
      </c>
      <c r="H9940" s="1">
        <v>5</v>
      </c>
      <c r="I9940" s="1">
        <v>19.915500000000002</v>
      </c>
    </row>
    <row r="9941" spans="1:9" x14ac:dyDescent="0.35">
      <c r="A9941" s="3">
        <v>42716</v>
      </c>
      <c r="B9941" s="1" t="s">
        <v>1351</v>
      </c>
      <c r="C9941" s="1" t="s">
        <v>135</v>
      </c>
      <c r="D9941" s="1" t="s">
        <v>136</v>
      </c>
      <c r="E9941" s="1" t="s">
        <v>289</v>
      </c>
      <c r="F9941" s="2" t="s">
        <v>2124</v>
      </c>
      <c r="G9941" s="1">
        <v>35.520000000000003</v>
      </c>
      <c r="H9941" s="1">
        <v>4</v>
      </c>
      <c r="I9941" s="1">
        <v>9.9456000000000007</v>
      </c>
    </row>
    <row r="9942" spans="1:9" x14ac:dyDescent="0.35">
      <c r="A9942" s="3">
        <v>42716</v>
      </c>
      <c r="B9942" s="1" t="s">
        <v>1351</v>
      </c>
      <c r="C9942" s="1" t="s">
        <v>135</v>
      </c>
      <c r="D9942" s="1" t="s">
        <v>136</v>
      </c>
      <c r="E9942" s="1" t="s">
        <v>31</v>
      </c>
      <c r="F9942" s="2" t="s">
        <v>1514</v>
      </c>
      <c r="G9942" s="1">
        <v>11.2</v>
      </c>
      <c r="H9942" s="1">
        <v>7</v>
      </c>
      <c r="I9942" s="1">
        <v>4.8159999999999998</v>
      </c>
    </row>
    <row r="9943" spans="1:9" x14ac:dyDescent="0.35">
      <c r="A9943" s="3" t="s">
        <v>3207</v>
      </c>
      <c r="B9943" s="1" t="s">
        <v>968</v>
      </c>
      <c r="C9943" s="1" t="s">
        <v>64</v>
      </c>
      <c r="D9943" s="1" t="s">
        <v>18</v>
      </c>
      <c r="E9943" s="1" t="s">
        <v>81</v>
      </c>
      <c r="F9943" s="2" t="s">
        <v>743</v>
      </c>
      <c r="G9943" s="1">
        <v>223.58</v>
      </c>
      <c r="H9943" s="1">
        <v>14</v>
      </c>
      <c r="I9943" s="1">
        <v>87.196200000000005</v>
      </c>
    </row>
    <row r="9944" spans="1:9" x14ac:dyDescent="0.35">
      <c r="A9944" s="3" t="s">
        <v>3712</v>
      </c>
      <c r="B9944" s="1" t="s">
        <v>795</v>
      </c>
      <c r="C9944" s="1" t="s">
        <v>871</v>
      </c>
      <c r="D9944" s="1" t="s">
        <v>18</v>
      </c>
      <c r="E9944" s="1" t="s">
        <v>26</v>
      </c>
      <c r="F9944" s="2" t="s">
        <v>2388</v>
      </c>
      <c r="G9944" s="1">
        <v>998.82</v>
      </c>
      <c r="H9944" s="1">
        <v>9</v>
      </c>
      <c r="I9944" s="1">
        <v>29.964600000000001</v>
      </c>
    </row>
    <row r="9945" spans="1:9" x14ac:dyDescent="0.35">
      <c r="A9945" s="3" t="s">
        <v>3712</v>
      </c>
      <c r="B9945" s="1" t="s">
        <v>795</v>
      </c>
      <c r="C9945" s="1" t="s">
        <v>871</v>
      </c>
      <c r="D9945" s="1" t="s">
        <v>18</v>
      </c>
      <c r="E9945" s="1" t="s">
        <v>289</v>
      </c>
      <c r="F9945" s="2" t="s">
        <v>1190</v>
      </c>
      <c r="G9945" s="1">
        <v>51.15</v>
      </c>
      <c r="H9945" s="1">
        <v>5</v>
      </c>
      <c r="I9945" s="1">
        <v>13.298999999999999</v>
      </c>
    </row>
    <row r="9946" spans="1:9" x14ac:dyDescent="0.35">
      <c r="A9946" s="3">
        <v>42342</v>
      </c>
      <c r="B9946" s="1" t="s">
        <v>1347</v>
      </c>
      <c r="C9946" s="1" t="s">
        <v>47</v>
      </c>
      <c r="D9946" s="1" t="s">
        <v>48</v>
      </c>
      <c r="E9946" s="1" t="s">
        <v>26</v>
      </c>
      <c r="F9946" s="2" t="s">
        <v>1736</v>
      </c>
      <c r="G9946" s="1">
        <v>40.74</v>
      </c>
      <c r="H9946" s="1">
        <v>3</v>
      </c>
      <c r="I9946" s="1">
        <v>0.40739999999999998</v>
      </c>
    </row>
    <row r="9947" spans="1:9" x14ac:dyDescent="0.35">
      <c r="A9947" s="3">
        <v>41673</v>
      </c>
      <c r="B9947" s="1" t="s">
        <v>1675</v>
      </c>
      <c r="C9947" s="1" t="s">
        <v>74</v>
      </c>
      <c r="D9947" s="1" t="s">
        <v>75</v>
      </c>
      <c r="E9947" s="1" t="s">
        <v>44</v>
      </c>
      <c r="F9947" s="2" t="s">
        <v>2409</v>
      </c>
      <c r="G9947" s="1">
        <v>3.4239999999999999</v>
      </c>
      <c r="H9947" s="1">
        <v>1</v>
      </c>
      <c r="I9947" s="1">
        <v>1.07</v>
      </c>
    </row>
    <row r="9948" spans="1:9" x14ac:dyDescent="0.35">
      <c r="A9948" s="3">
        <v>41673</v>
      </c>
      <c r="B9948" s="1" t="s">
        <v>1675</v>
      </c>
      <c r="C9948" s="1" t="s">
        <v>74</v>
      </c>
      <c r="D9948" s="1" t="s">
        <v>75</v>
      </c>
      <c r="E9948" s="1" t="s">
        <v>81</v>
      </c>
      <c r="F9948" s="2" t="s">
        <v>1254</v>
      </c>
      <c r="G9948" s="1">
        <v>151.19999999999999</v>
      </c>
      <c r="H9948" s="1">
        <v>3</v>
      </c>
      <c r="I9948" s="1">
        <v>32.130000000000003</v>
      </c>
    </row>
    <row r="9949" spans="1:9" x14ac:dyDescent="0.35">
      <c r="A9949" s="3">
        <v>42741</v>
      </c>
      <c r="B9949" s="1" t="s">
        <v>1129</v>
      </c>
      <c r="C9949" s="1" t="s">
        <v>1840</v>
      </c>
      <c r="D9949" s="1" t="s">
        <v>129</v>
      </c>
      <c r="E9949" s="1" t="s">
        <v>14</v>
      </c>
      <c r="F9949" s="2" t="s">
        <v>1100</v>
      </c>
      <c r="G9949" s="1">
        <v>1925.88</v>
      </c>
      <c r="H9949" s="1">
        <v>6</v>
      </c>
      <c r="I9949" s="1">
        <v>539.24639999999999</v>
      </c>
    </row>
    <row r="9950" spans="1:9" x14ac:dyDescent="0.35">
      <c r="A9950" s="3">
        <v>42741</v>
      </c>
      <c r="B9950" s="1" t="s">
        <v>1129</v>
      </c>
      <c r="C9950" s="1" t="s">
        <v>1840</v>
      </c>
      <c r="D9950" s="1" t="s">
        <v>129</v>
      </c>
      <c r="E9950" s="1" t="s">
        <v>37</v>
      </c>
      <c r="F9950" s="2" t="s">
        <v>457</v>
      </c>
      <c r="G9950" s="1">
        <v>2405.1999999999998</v>
      </c>
      <c r="H9950" s="1">
        <v>8</v>
      </c>
      <c r="I9950" s="1">
        <v>793.71600000000001</v>
      </c>
    </row>
    <row r="9951" spans="1:9" x14ac:dyDescent="0.35">
      <c r="A9951" s="3">
        <v>42741</v>
      </c>
      <c r="B9951" s="1" t="s">
        <v>1129</v>
      </c>
      <c r="C9951" s="1" t="s">
        <v>1840</v>
      </c>
      <c r="D9951" s="1" t="s">
        <v>129</v>
      </c>
      <c r="E9951" s="1" t="s">
        <v>81</v>
      </c>
      <c r="F9951" s="2" t="s">
        <v>1885</v>
      </c>
      <c r="G9951" s="1">
        <v>83.97</v>
      </c>
      <c r="H9951" s="1">
        <v>3</v>
      </c>
      <c r="I9951" s="1">
        <v>15.9543</v>
      </c>
    </row>
    <row r="9952" spans="1:9" x14ac:dyDescent="0.35">
      <c r="A9952" s="3">
        <v>42741</v>
      </c>
      <c r="B9952" s="1" t="s">
        <v>1129</v>
      </c>
      <c r="C9952" s="1" t="s">
        <v>1840</v>
      </c>
      <c r="D9952" s="1" t="s">
        <v>129</v>
      </c>
      <c r="E9952" s="1" t="s">
        <v>81</v>
      </c>
      <c r="F9952" s="2" t="s">
        <v>1195</v>
      </c>
      <c r="G9952" s="1">
        <v>39.89</v>
      </c>
      <c r="H9952" s="1">
        <v>1</v>
      </c>
      <c r="I9952" s="1">
        <v>14.7593</v>
      </c>
    </row>
    <row r="9953" spans="1:9" x14ac:dyDescent="0.35">
      <c r="A9953" s="3">
        <v>42741</v>
      </c>
      <c r="B9953" s="1" t="s">
        <v>1129</v>
      </c>
      <c r="C9953" s="1" t="s">
        <v>1840</v>
      </c>
      <c r="D9953" s="1" t="s">
        <v>129</v>
      </c>
      <c r="E9953" s="1" t="s">
        <v>35</v>
      </c>
      <c r="F9953" s="2" t="s">
        <v>1429</v>
      </c>
      <c r="G9953" s="1">
        <v>17.38</v>
      </c>
      <c r="H9953" s="1">
        <v>2</v>
      </c>
      <c r="I9953" s="1">
        <v>8.69</v>
      </c>
    </row>
    <row r="9954" spans="1:9" x14ac:dyDescent="0.35">
      <c r="A9954" s="3" t="s">
        <v>3616</v>
      </c>
      <c r="B9954" s="1" t="s">
        <v>2598</v>
      </c>
      <c r="C9954" s="1" t="s">
        <v>17</v>
      </c>
      <c r="D9954" s="1" t="s">
        <v>18</v>
      </c>
      <c r="E9954" s="1" t="s">
        <v>35</v>
      </c>
      <c r="F9954" s="2" t="s">
        <v>575</v>
      </c>
      <c r="G9954" s="1">
        <v>55.264000000000003</v>
      </c>
      <c r="H9954" s="1">
        <v>2</v>
      </c>
      <c r="I9954" s="1">
        <v>20.724</v>
      </c>
    </row>
    <row r="9955" spans="1:9" x14ac:dyDescent="0.35">
      <c r="A9955" s="3" t="s">
        <v>3616</v>
      </c>
      <c r="B9955" s="1" t="s">
        <v>2598</v>
      </c>
      <c r="C9955" s="1" t="s">
        <v>17</v>
      </c>
      <c r="D9955" s="1" t="s">
        <v>18</v>
      </c>
      <c r="E9955" s="1" t="s">
        <v>44</v>
      </c>
      <c r="F9955" s="2" t="s">
        <v>2229</v>
      </c>
      <c r="G9955" s="1">
        <v>6.48</v>
      </c>
      <c r="H9955" s="1">
        <v>1</v>
      </c>
      <c r="I9955" s="1">
        <v>3.1103999999999998</v>
      </c>
    </row>
    <row r="9956" spans="1:9" x14ac:dyDescent="0.35">
      <c r="A9956" s="3" t="s">
        <v>3616</v>
      </c>
      <c r="B9956" s="1" t="s">
        <v>2598</v>
      </c>
      <c r="C9956" s="1" t="s">
        <v>17</v>
      </c>
      <c r="D9956" s="1" t="s">
        <v>18</v>
      </c>
      <c r="E9956" s="1" t="s">
        <v>35</v>
      </c>
      <c r="F9956" s="2" t="s">
        <v>2313</v>
      </c>
      <c r="G9956" s="1">
        <v>34.247999999999998</v>
      </c>
      <c r="H9956" s="1">
        <v>3</v>
      </c>
      <c r="I9956" s="1">
        <v>11.5587</v>
      </c>
    </row>
    <row r="9957" spans="1:9" x14ac:dyDescent="0.35">
      <c r="A9957" s="3" t="s">
        <v>3616</v>
      </c>
      <c r="B9957" s="1" t="s">
        <v>2598</v>
      </c>
      <c r="C9957" s="1" t="s">
        <v>17</v>
      </c>
      <c r="D9957" s="1" t="s">
        <v>18</v>
      </c>
      <c r="E9957" s="1" t="s">
        <v>24</v>
      </c>
      <c r="F9957" s="2" t="s">
        <v>1638</v>
      </c>
      <c r="G9957" s="1">
        <v>273.56799999999998</v>
      </c>
      <c r="H9957" s="1">
        <v>2</v>
      </c>
      <c r="I9957" s="1">
        <v>10.258800000000001</v>
      </c>
    </row>
    <row r="9958" spans="1:9" x14ac:dyDescent="0.35">
      <c r="A9958" s="3">
        <v>41954</v>
      </c>
      <c r="B9958" s="1" t="s">
        <v>2166</v>
      </c>
      <c r="C9958" s="1" t="s">
        <v>710</v>
      </c>
      <c r="D9958" s="1" t="s">
        <v>136</v>
      </c>
      <c r="E9958" s="1" t="s">
        <v>44</v>
      </c>
      <c r="F9958" s="2" t="s">
        <v>2136</v>
      </c>
      <c r="G9958" s="1">
        <v>46.35</v>
      </c>
      <c r="H9958" s="1">
        <v>5</v>
      </c>
      <c r="I9958" s="1">
        <v>21.784500000000001</v>
      </c>
    </row>
    <row r="9959" spans="1:9" x14ac:dyDescent="0.35">
      <c r="A9959" s="3">
        <v>41954</v>
      </c>
      <c r="B9959" s="1" t="s">
        <v>2166</v>
      </c>
      <c r="C9959" s="1" t="s">
        <v>710</v>
      </c>
      <c r="D9959" s="1" t="s">
        <v>136</v>
      </c>
      <c r="E9959" s="1" t="s">
        <v>44</v>
      </c>
      <c r="F9959" s="2" t="s">
        <v>2599</v>
      </c>
      <c r="G9959" s="1">
        <v>223.92</v>
      </c>
      <c r="H9959" s="1">
        <v>4</v>
      </c>
      <c r="I9959" s="1">
        <v>109.7208</v>
      </c>
    </row>
    <row r="9960" spans="1:9" x14ac:dyDescent="0.35">
      <c r="A9960" s="3">
        <v>41954</v>
      </c>
      <c r="B9960" s="1" t="s">
        <v>2166</v>
      </c>
      <c r="C9960" s="1" t="s">
        <v>710</v>
      </c>
      <c r="D9960" s="1" t="s">
        <v>136</v>
      </c>
      <c r="E9960" s="1" t="s">
        <v>289</v>
      </c>
      <c r="F9960" s="2" t="s">
        <v>898</v>
      </c>
      <c r="G9960" s="1">
        <v>7.3</v>
      </c>
      <c r="H9960" s="1">
        <v>2</v>
      </c>
      <c r="I9960" s="1">
        <v>2.19</v>
      </c>
    </row>
    <row r="9961" spans="1:9" x14ac:dyDescent="0.35">
      <c r="A9961" s="3">
        <v>42896</v>
      </c>
      <c r="B9961" s="1" t="s">
        <v>873</v>
      </c>
      <c r="C9961" s="1" t="s">
        <v>2870</v>
      </c>
      <c r="D9961" s="1" t="s">
        <v>158</v>
      </c>
      <c r="E9961" s="1" t="s">
        <v>31</v>
      </c>
      <c r="F9961" s="2" t="s">
        <v>2770</v>
      </c>
      <c r="G9961" s="1">
        <v>9.3439999999999994</v>
      </c>
      <c r="H9961" s="1">
        <v>2</v>
      </c>
      <c r="I9961" s="1">
        <v>1.8688</v>
      </c>
    </row>
    <row r="9962" spans="1:9" x14ac:dyDescent="0.35">
      <c r="A9962" s="3" t="s">
        <v>3324</v>
      </c>
      <c r="B9962" s="1" t="s">
        <v>2319</v>
      </c>
      <c r="C9962" s="1" t="s">
        <v>1160</v>
      </c>
      <c r="D9962" s="1" t="s">
        <v>11</v>
      </c>
      <c r="E9962" s="1" t="s">
        <v>81</v>
      </c>
      <c r="F9962" s="2" t="s">
        <v>2574</v>
      </c>
      <c r="G9962" s="1">
        <v>18</v>
      </c>
      <c r="H9962" s="1">
        <v>1</v>
      </c>
      <c r="I9962" s="1">
        <v>3.24</v>
      </c>
    </row>
    <row r="9963" spans="1:9" x14ac:dyDescent="0.35">
      <c r="A9963" s="3" t="s">
        <v>3417</v>
      </c>
      <c r="B9963" s="1" t="s">
        <v>1701</v>
      </c>
      <c r="C9963" s="1" t="s">
        <v>93</v>
      </c>
      <c r="D9963" s="1" t="s">
        <v>52</v>
      </c>
      <c r="E9963" s="1" t="s">
        <v>44</v>
      </c>
      <c r="F9963" s="2" t="s">
        <v>1879</v>
      </c>
      <c r="G9963" s="1">
        <v>65.584000000000003</v>
      </c>
      <c r="H9963" s="1">
        <v>2</v>
      </c>
      <c r="I9963" s="1">
        <v>23.7742</v>
      </c>
    </row>
    <row r="9964" spans="1:9" x14ac:dyDescent="0.35">
      <c r="A9964" s="3" t="s">
        <v>3417</v>
      </c>
      <c r="B9964" s="1" t="s">
        <v>1701</v>
      </c>
      <c r="C9964" s="1" t="s">
        <v>93</v>
      </c>
      <c r="D9964" s="1" t="s">
        <v>52</v>
      </c>
      <c r="E9964" s="1" t="s">
        <v>12</v>
      </c>
      <c r="F9964" s="2" t="s">
        <v>2668</v>
      </c>
      <c r="G9964" s="1">
        <v>383.46559999999999</v>
      </c>
      <c r="H9964" s="1">
        <v>4</v>
      </c>
      <c r="I9964" s="1">
        <v>-67.670400000000001</v>
      </c>
    </row>
    <row r="9965" spans="1:9" x14ac:dyDescent="0.35">
      <c r="A9965" s="3" t="s">
        <v>3535</v>
      </c>
      <c r="B9965" s="1" t="s">
        <v>924</v>
      </c>
      <c r="C9965" s="1" t="s">
        <v>74</v>
      </c>
      <c r="D9965" s="1" t="s">
        <v>75</v>
      </c>
      <c r="E9965" s="1" t="s">
        <v>44</v>
      </c>
      <c r="F9965" s="2" t="s">
        <v>1564</v>
      </c>
      <c r="G9965" s="1">
        <v>10.368</v>
      </c>
      <c r="H9965" s="1">
        <v>2</v>
      </c>
      <c r="I9965" s="1">
        <v>3.6288</v>
      </c>
    </row>
    <row r="9966" spans="1:9" x14ac:dyDescent="0.35">
      <c r="A9966" s="3">
        <v>42502</v>
      </c>
      <c r="B9966" s="1" t="s">
        <v>3081</v>
      </c>
      <c r="C9966" s="1" t="s">
        <v>303</v>
      </c>
      <c r="D9966" s="1" t="s">
        <v>124</v>
      </c>
      <c r="E9966" s="1" t="s">
        <v>29</v>
      </c>
      <c r="F9966" s="2" t="s">
        <v>532</v>
      </c>
      <c r="G9966" s="1">
        <v>13.4</v>
      </c>
      <c r="H9966" s="1">
        <v>1</v>
      </c>
      <c r="I9966" s="1">
        <v>6.4320000000000004</v>
      </c>
    </row>
    <row r="9967" spans="1:9" x14ac:dyDescent="0.35">
      <c r="A9967" s="3">
        <v>42502</v>
      </c>
      <c r="B9967" s="1" t="s">
        <v>3081</v>
      </c>
      <c r="C9967" s="1" t="s">
        <v>303</v>
      </c>
      <c r="D9967" s="1" t="s">
        <v>124</v>
      </c>
      <c r="E9967" s="1" t="s">
        <v>44</v>
      </c>
      <c r="F9967" s="2" t="s">
        <v>94</v>
      </c>
      <c r="G9967" s="1">
        <v>4.9800000000000004</v>
      </c>
      <c r="H9967" s="1">
        <v>1</v>
      </c>
      <c r="I9967" s="1">
        <v>2.3405999999999998</v>
      </c>
    </row>
    <row r="9968" spans="1:9" x14ac:dyDescent="0.35">
      <c r="A9968" s="3">
        <v>42502</v>
      </c>
      <c r="B9968" s="1" t="s">
        <v>3081</v>
      </c>
      <c r="C9968" s="1" t="s">
        <v>303</v>
      </c>
      <c r="D9968" s="1" t="s">
        <v>124</v>
      </c>
      <c r="E9968" s="1" t="s">
        <v>87</v>
      </c>
      <c r="F9968" s="2" t="s">
        <v>2248</v>
      </c>
      <c r="G9968" s="1">
        <v>109.69</v>
      </c>
      <c r="H9968" s="1">
        <v>7</v>
      </c>
      <c r="I9968" s="1">
        <v>51.554299999999998</v>
      </c>
    </row>
    <row r="9969" spans="1:9" x14ac:dyDescent="0.35">
      <c r="A9969" s="3">
        <v>43051</v>
      </c>
      <c r="B9969" s="1" t="s">
        <v>2081</v>
      </c>
      <c r="C9969" s="1" t="s">
        <v>973</v>
      </c>
      <c r="D9969" s="1" t="s">
        <v>388</v>
      </c>
      <c r="E9969" s="1" t="s">
        <v>35</v>
      </c>
      <c r="F9969" s="2" t="s">
        <v>2032</v>
      </c>
      <c r="G9969" s="1">
        <v>40.200000000000003</v>
      </c>
      <c r="H9969" s="1">
        <v>5</v>
      </c>
      <c r="I9969" s="1">
        <v>18.09</v>
      </c>
    </row>
    <row r="9970" spans="1:9" x14ac:dyDescent="0.35">
      <c r="A9970" s="3">
        <v>43051</v>
      </c>
      <c r="B9970" s="1" t="s">
        <v>2081</v>
      </c>
      <c r="C9970" s="1" t="s">
        <v>973</v>
      </c>
      <c r="D9970" s="1" t="s">
        <v>388</v>
      </c>
      <c r="E9970" s="1" t="s">
        <v>35</v>
      </c>
      <c r="F9970" s="2" t="s">
        <v>2492</v>
      </c>
      <c r="G9970" s="1">
        <v>735.98</v>
      </c>
      <c r="H9970" s="1">
        <v>2</v>
      </c>
      <c r="I9970" s="1">
        <v>331.19099999999997</v>
      </c>
    </row>
    <row r="9971" spans="1:9" x14ac:dyDescent="0.35">
      <c r="A9971" s="3">
        <v>43051</v>
      </c>
      <c r="B9971" s="1" t="s">
        <v>2081</v>
      </c>
      <c r="C9971" s="1" t="s">
        <v>973</v>
      </c>
      <c r="D9971" s="1" t="s">
        <v>388</v>
      </c>
      <c r="E9971" s="1" t="s">
        <v>37</v>
      </c>
      <c r="F9971" s="2" t="s">
        <v>397</v>
      </c>
      <c r="G9971" s="1">
        <v>22.75</v>
      </c>
      <c r="H9971" s="1">
        <v>7</v>
      </c>
      <c r="I9971" s="1">
        <v>6.5975000000000001</v>
      </c>
    </row>
    <row r="9972" spans="1:9" x14ac:dyDescent="0.35">
      <c r="A9972" s="3" t="s">
        <v>3755</v>
      </c>
      <c r="B9972" s="1" t="s">
        <v>375</v>
      </c>
      <c r="C9972" s="1" t="s">
        <v>1627</v>
      </c>
      <c r="D9972" s="1" t="s">
        <v>604</v>
      </c>
      <c r="E9972" s="1" t="s">
        <v>35</v>
      </c>
      <c r="F9972" s="2" t="s">
        <v>1643</v>
      </c>
      <c r="G9972" s="1">
        <v>119.56</v>
      </c>
      <c r="H9972" s="1">
        <v>2</v>
      </c>
      <c r="I9972" s="1">
        <v>54.997599999999998</v>
      </c>
    </row>
    <row r="9973" spans="1:9" x14ac:dyDescent="0.35">
      <c r="A9973" s="3" t="s">
        <v>3755</v>
      </c>
      <c r="B9973" s="1" t="s">
        <v>375</v>
      </c>
      <c r="C9973" s="1" t="s">
        <v>1627</v>
      </c>
      <c r="D9973" s="1" t="s">
        <v>604</v>
      </c>
      <c r="E9973" s="1" t="s">
        <v>31</v>
      </c>
      <c r="F9973" s="2" t="s">
        <v>2103</v>
      </c>
      <c r="G9973" s="1">
        <v>140.75</v>
      </c>
      <c r="H9973" s="1">
        <v>5</v>
      </c>
      <c r="I9973" s="1">
        <v>42.225000000000001</v>
      </c>
    </row>
    <row r="9974" spans="1:9" x14ac:dyDescent="0.35">
      <c r="A9974" s="3">
        <v>42683</v>
      </c>
      <c r="B9974" s="1" t="s">
        <v>248</v>
      </c>
      <c r="C9974" s="1" t="s">
        <v>93</v>
      </c>
      <c r="D9974" s="1" t="s">
        <v>52</v>
      </c>
      <c r="E9974" s="1" t="s">
        <v>87</v>
      </c>
      <c r="F9974" s="2" t="s">
        <v>1113</v>
      </c>
      <c r="G9974" s="1">
        <v>99.567999999999998</v>
      </c>
      <c r="H9974" s="1">
        <v>2</v>
      </c>
      <c r="I9974" s="1">
        <v>33.604199999999999</v>
      </c>
    </row>
    <row r="9975" spans="1:9" x14ac:dyDescent="0.35">
      <c r="A9975" s="3">
        <v>42533</v>
      </c>
      <c r="B9975" s="1" t="s">
        <v>1450</v>
      </c>
      <c r="C9975" s="1" t="s">
        <v>17</v>
      </c>
      <c r="D9975" s="1" t="s">
        <v>18</v>
      </c>
      <c r="E9975" s="1" t="s">
        <v>33</v>
      </c>
      <c r="F9975" s="2" t="s">
        <v>2999</v>
      </c>
      <c r="G9975" s="1">
        <v>271.95999999999998</v>
      </c>
      <c r="H9975" s="1">
        <v>5</v>
      </c>
      <c r="I9975" s="1">
        <v>27.196000000000002</v>
      </c>
    </row>
    <row r="9976" spans="1:9" x14ac:dyDescent="0.35">
      <c r="A9976" s="3">
        <v>42533</v>
      </c>
      <c r="B9976" s="1" t="s">
        <v>1450</v>
      </c>
      <c r="C9976" s="1" t="s">
        <v>17</v>
      </c>
      <c r="D9976" s="1" t="s">
        <v>18</v>
      </c>
      <c r="E9976" s="1" t="s">
        <v>31</v>
      </c>
      <c r="F9976" s="2" t="s">
        <v>1878</v>
      </c>
      <c r="G9976" s="1">
        <v>18.690000000000001</v>
      </c>
      <c r="H9976" s="1">
        <v>7</v>
      </c>
      <c r="I9976" s="1">
        <v>5.2332000000000001</v>
      </c>
    </row>
    <row r="9977" spans="1:9" x14ac:dyDescent="0.35">
      <c r="A9977" s="3">
        <v>42533</v>
      </c>
      <c r="B9977" s="1" t="s">
        <v>1450</v>
      </c>
      <c r="C9977" s="1" t="s">
        <v>17</v>
      </c>
      <c r="D9977" s="1" t="s">
        <v>18</v>
      </c>
      <c r="E9977" s="1" t="s">
        <v>44</v>
      </c>
      <c r="F9977" s="2" t="s">
        <v>1022</v>
      </c>
      <c r="G9977" s="1">
        <v>13.36</v>
      </c>
      <c r="H9977" s="1">
        <v>2</v>
      </c>
      <c r="I9977" s="1">
        <v>6.4127999999999998</v>
      </c>
    </row>
    <row r="9978" spans="1:9" x14ac:dyDescent="0.35">
      <c r="A9978" s="3">
        <v>42533</v>
      </c>
      <c r="B9978" s="1" t="s">
        <v>1450</v>
      </c>
      <c r="C9978" s="1" t="s">
        <v>17</v>
      </c>
      <c r="D9978" s="1" t="s">
        <v>18</v>
      </c>
      <c r="E9978" s="1" t="s">
        <v>33</v>
      </c>
      <c r="F9978" s="2" t="s">
        <v>886</v>
      </c>
      <c r="G9978" s="1">
        <v>249.584</v>
      </c>
      <c r="H9978" s="1">
        <v>2</v>
      </c>
      <c r="I9978" s="1">
        <v>31.198</v>
      </c>
    </row>
    <row r="9979" spans="1:9" x14ac:dyDescent="0.35">
      <c r="A9979" s="3">
        <v>42533</v>
      </c>
      <c r="B9979" s="1" t="s">
        <v>1450</v>
      </c>
      <c r="C9979" s="1" t="s">
        <v>17</v>
      </c>
      <c r="D9979" s="1" t="s">
        <v>18</v>
      </c>
      <c r="E9979" s="1" t="s">
        <v>137</v>
      </c>
      <c r="F9979" s="2" t="s">
        <v>884</v>
      </c>
      <c r="G9979" s="1">
        <v>13.86</v>
      </c>
      <c r="H9979" s="1">
        <v>7</v>
      </c>
      <c r="I9979" s="1">
        <v>0</v>
      </c>
    </row>
    <row r="9980" spans="1:9" x14ac:dyDescent="0.35">
      <c r="A9980" s="3">
        <v>42533</v>
      </c>
      <c r="B9980" s="1" t="s">
        <v>1450</v>
      </c>
      <c r="C9980" s="1" t="s">
        <v>17</v>
      </c>
      <c r="D9980" s="1" t="s">
        <v>18</v>
      </c>
      <c r="E9980" s="1" t="s">
        <v>35</v>
      </c>
      <c r="F9980" s="2" t="s">
        <v>1379</v>
      </c>
      <c r="G9980" s="1">
        <v>13.375999999999999</v>
      </c>
      <c r="H9980" s="1">
        <v>4</v>
      </c>
      <c r="I9980" s="1">
        <v>4.6816000000000004</v>
      </c>
    </row>
    <row r="9981" spans="1:9" x14ac:dyDescent="0.35">
      <c r="A9981" s="3">
        <v>42533</v>
      </c>
      <c r="B9981" s="1" t="s">
        <v>1450</v>
      </c>
      <c r="C9981" s="1" t="s">
        <v>17</v>
      </c>
      <c r="D9981" s="1" t="s">
        <v>18</v>
      </c>
      <c r="E9981" s="1" t="s">
        <v>35</v>
      </c>
      <c r="F9981" s="2" t="s">
        <v>2959</v>
      </c>
      <c r="G9981" s="1">
        <v>437.47199999999998</v>
      </c>
      <c r="H9981" s="1">
        <v>14</v>
      </c>
      <c r="I9981" s="1">
        <v>153.11519999999999</v>
      </c>
    </row>
    <row r="9982" spans="1:9" x14ac:dyDescent="0.35">
      <c r="A9982" s="3">
        <v>42164</v>
      </c>
      <c r="B9982" s="1" t="s">
        <v>1831</v>
      </c>
      <c r="C9982" s="1" t="s">
        <v>1799</v>
      </c>
      <c r="D9982" s="1" t="s">
        <v>362</v>
      </c>
      <c r="E9982" s="1" t="s">
        <v>24</v>
      </c>
      <c r="F9982" s="2" t="s">
        <v>1421</v>
      </c>
      <c r="G9982" s="1">
        <v>85.98</v>
      </c>
      <c r="H9982" s="1">
        <v>1</v>
      </c>
      <c r="I9982" s="1">
        <v>22.354800000000001</v>
      </c>
    </row>
    <row r="9983" spans="1:9" x14ac:dyDescent="0.35">
      <c r="A9983" s="3">
        <v>42802</v>
      </c>
      <c r="B9983" s="1" t="s">
        <v>140</v>
      </c>
      <c r="C9983" s="1" t="s">
        <v>367</v>
      </c>
      <c r="D9983" s="1" t="s">
        <v>250</v>
      </c>
      <c r="E9983" s="1" t="s">
        <v>19</v>
      </c>
      <c r="F9983" s="2" t="s">
        <v>1090</v>
      </c>
      <c r="G9983" s="1">
        <v>16.52</v>
      </c>
      <c r="H9983" s="1">
        <v>5</v>
      </c>
      <c r="I9983" s="1">
        <v>5.3689999999999998</v>
      </c>
    </row>
    <row r="9984" spans="1:9" x14ac:dyDescent="0.35">
      <c r="A9984" s="3" t="s">
        <v>3423</v>
      </c>
      <c r="B9984" s="1" t="s">
        <v>248</v>
      </c>
      <c r="C9984" s="1" t="s">
        <v>2520</v>
      </c>
      <c r="D9984" s="1" t="s">
        <v>120</v>
      </c>
      <c r="E9984" s="1" t="s">
        <v>44</v>
      </c>
      <c r="F9984" s="2" t="s">
        <v>1258</v>
      </c>
      <c r="G9984" s="1">
        <v>35.56</v>
      </c>
      <c r="H9984" s="1">
        <v>7</v>
      </c>
      <c r="I9984" s="1">
        <v>16.713200000000001</v>
      </c>
    </row>
    <row r="9985" spans="1:9" x14ac:dyDescent="0.35">
      <c r="A9985" s="3" t="s">
        <v>3423</v>
      </c>
      <c r="B9985" s="1" t="s">
        <v>248</v>
      </c>
      <c r="C9985" s="1" t="s">
        <v>2520</v>
      </c>
      <c r="D9985" s="1" t="s">
        <v>120</v>
      </c>
      <c r="E9985" s="1" t="s">
        <v>33</v>
      </c>
      <c r="F9985" s="2" t="s">
        <v>2813</v>
      </c>
      <c r="G9985" s="1">
        <v>97.98</v>
      </c>
      <c r="H9985" s="1">
        <v>2</v>
      </c>
      <c r="I9985" s="1">
        <v>27.4344</v>
      </c>
    </row>
    <row r="9986" spans="1:9" x14ac:dyDescent="0.35">
      <c r="A9986" s="3" t="s">
        <v>3531</v>
      </c>
      <c r="B9986" s="1" t="s">
        <v>903</v>
      </c>
      <c r="C9986" s="1" t="s">
        <v>559</v>
      </c>
      <c r="D9986" s="1" t="s">
        <v>136</v>
      </c>
      <c r="E9986" s="1" t="s">
        <v>19</v>
      </c>
      <c r="F9986" s="2" t="s">
        <v>682</v>
      </c>
      <c r="G9986" s="1">
        <v>31.5</v>
      </c>
      <c r="H9986" s="1">
        <v>10</v>
      </c>
      <c r="I9986" s="1">
        <v>15.12</v>
      </c>
    </row>
    <row r="9987" spans="1:9" x14ac:dyDescent="0.35">
      <c r="A9987" s="3" t="s">
        <v>3531</v>
      </c>
      <c r="B9987" s="1" t="s">
        <v>903</v>
      </c>
      <c r="C9987" s="1" t="s">
        <v>559</v>
      </c>
      <c r="D9987" s="1" t="s">
        <v>136</v>
      </c>
      <c r="E9987" s="1" t="s">
        <v>289</v>
      </c>
      <c r="F9987" s="2" t="s">
        <v>1993</v>
      </c>
      <c r="G9987" s="1">
        <v>55.6</v>
      </c>
      <c r="H9987" s="1">
        <v>4</v>
      </c>
      <c r="I9987" s="1">
        <v>16.123999999999999</v>
      </c>
    </row>
    <row r="9988" spans="1:9" x14ac:dyDescent="0.35">
      <c r="A9988" s="3" t="s">
        <v>3405</v>
      </c>
      <c r="B9988" s="1" t="s">
        <v>2105</v>
      </c>
      <c r="C9988" s="1" t="s">
        <v>17</v>
      </c>
      <c r="D9988" s="1" t="s">
        <v>18</v>
      </c>
      <c r="E9988" s="1" t="s">
        <v>81</v>
      </c>
      <c r="F9988" s="2" t="s">
        <v>2531</v>
      </c>
      <c r="G9988" s="1">
        <v>36.24</v>
      </c>
      <c r="H9988" s="1">
        <v>1</v>
      </c>
      <c r="I9988" s="1">
        <v>15.220800000000001</v>
      </c>
    </row>
    <row r="9989" spans="1:9" x14ac:dyDescent="0.35">
      <c r="A9989" s="3" t="s">
        <v>3272</v>
      </c>
      <c r="B9989" s="1" t="s">
        <v>108</v>
      </c>
      <c r="C9989" s="1" t="s">
        <v>2817</v>
      </c>
      <c r="D9989" s="1" t="s">
        <v>604</v>
      </c>
      <c r="E9989" s="1" t="s">
        <v>81</v>
      </c>
      <c r="F9989" s="2" t="s">
        <v>2654</v>
      </c>
      <c r="G9989" s="1">
        <v>79.989999999999995</v>
      </c>
      <c r="H9989" s="1">
        <v>1</v>
      </c>
      <c r="I9989" s="1">
        <v>28.796399999999998</v>
      </c>
    </row>
    <row r="9990" spans="1:9" x14ac:dyDescent="0.35">
      <c r="A9990" s="3" t="s">
        <v>3272</v>
      </c>
      <c r="B9990" s="1" t="s">
        <v>108</v>
      </c>
      <c r="C9990" s="1" t="s">
        <v>2817</v>
      </c>
      <c r="D9990" s="1" t="s">
        <v>604</v>
      </c>
      <c r="E9990" s="1" t="s">
        <v>33</v>
      </c>
      <c r="F9990" s="2" t="s">
        <v>2995</v>
      </c>
      <c r="G9990" s="1">
        <v>206.1</v>
      </c>
      <c r="H9990" s="1">
        <v>5</v>
      </c>
      <c r="I9990" s="1">
        <v>55.646999999999998</v>
      </c>
    </row>
    <row r="9991" spans="1:9" x14ac:dyDescent="0.35">
      <c r="A9991" s="3" t="s">
        <v>3856</v>
      </c>
      <c r="B9991" s="1" t="s">
        <v>1720</v>
      </c>
      <c r="C9991" s="1" t="s">
        <v>672</v>
      </c>
      <c r="D9991" s="1" t="s">
        <v>23</v>
      </c>
      <c r="E9991" s="1" t="s">
        <v>29</v>
      </c>
      <c r="F9991" s="2" t="s">
        <v>1948</v>
      </c>
      <c r="G9991" s="1">
        <v>25.248000000000001</v>
      </c>
      <c r="H9991" s="1">
        <v>3</v>
      </c>
      <c r="I9991" s="1">
        <v>4.1028000000000002</v>
      </c>
    </row>
    <row r="9992" spans="1:9" x14ac:dyDescent="0.35">
      <c r="A9992" s="3" t="s">
        <v>3752</v>
      </c>
      <c r="B9992" s="1" t="s">
        <v>320</v>
      </c>
      <c r="C9992" s="1" t="s">
        <v>799</v>
      </c>
      <c r="D9992" s="1" t="s">
        <v>18</v>
      </c>
      <c r="E9992" s="1" t="s">
        <v>29</v>
      </c>
      <c r="F9992" s="2" t="s">
        <v>2945</v>
      </c>
      <c r="G9992" s="1">
        <v>91.96</v>
      </c>
      <c r="H9992" s="1">
        <v>2</v>
      </c>
      <c r="I9992" s="1">
        <v>15.6332</v>
      </c>
    </row>
    <row r="9993" spans="1:9" x14ac:dyDescent="0.35">
      <c r="A9993" s="3" t="s">
        <v>3752</v>
      </c>
      <c r="B9993" s="1" t="s">
        <v>320</v>
      </c>
      <c r="C9993" s="1" t="s">
        <v>799</v>
      </c>
      <c r="D9993" s="1" t="s">
        <v>18</v>
      </c>
      <c r="E9993" s="1" t="s">
        <v>33</v>
      </c>
      <c r="F9993" s="2" t="s">
        <v>568</v>
      </c>
      <c r="G9993" s="1">
        <v>258.57600000000002</v>
      </c>
      <c r="H9993" s="1">
        <v>2</v>
      </c>
      <c r="I9993" s="1">
        <v>19.3932</v>
      </c>
    </row>
    <row r="9994" spans="1:9" x14ac:dyDescent="0.35">
      <c r="A9994" s="3" t="s">
        <v>3752</v>
      </c>
      <c r="B9994" s="1" t="s">
        <v>320</v>
      </c>
      <c r="C9994" s="1" t="s">
        <v>799</v>
      </c>
      <c r="D9994" s="1" t="s">
        <v>18</v>
      </c>
      <c r="E9994" s="1" t="s">
        <v>44</v>
      </c>
      <c r="F9994" s="2" t="s">
        <v>1608</v>
      </c>
      <c r="G9994" s="1">
        <v>29.6</v>
      </c>
      <c r="H9994" s="1">
        <v>4</v>
      </c>
      <c r="I9994" s="1">
        <v>13.32</v>
      </c>
    </row>
    <row r="9995" spans="1:9" x14ac:dyDescent="0.35">
      <c r="A9995" s="3">
        <v>42830</v>
      </c>
      <c r="B9995" s="1" t="s">
        <v>1524</v>
      </c>
      <c r="C9995" s="1" t="s">
        <v>1694</v>
      </c>
      <c r="D9995" s="1" t="s">
        <v>18</v>
      </c>
      <c r="E9995" s="1" t="s">
        <v>37</v>
      </c>
      <c r="F9995" s="2" t="s">
        <v>353</v>
      </c>
      <c r="G9995" s="1">
        <v>243.16</v>
      </c>
      <c r="H9995" s="1">
        <v>2</v>
      </c>
      <c r="I9995" s="1">
        <v>72.947999999999993</v>
      </c>
    </row>
  </sheetData>
  <phoneticPr fontId="18"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Sale(s-c)</vt:lpstr>
      <vt:lpstr>Sale-c</vt:lpstr>
      <vt:lpstr>Profit-c</vt:lpstr>
      <vt:lpstr>Month(P-S)</vt:lpstr>
      <vt:lpstr>Dashboard</vt:lpstr>
      <vt:lpstr>Sample - Superstore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aditi landge</dc:creator>
  <cp:lastModifiedBy>aditi landge</cp:lastModifiedBy>
  <dcterms:created xsi:type="dcterms:W3CDTF">2025-12-02T19:37:22Z</dcterms:created>
  <dcterms:modified xsi:type="dcterms:W3CDTF">2026-01-03T09:24:25Z</dcterms:modified>
</cp:coreProperties>
</file>